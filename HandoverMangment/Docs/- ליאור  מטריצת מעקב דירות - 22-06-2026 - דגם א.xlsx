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חוברת_עבודה_זו"/>
  <mc:AlternateContent xmlns:mc="http://schemas.openxmlformats.org/markup-compatibility/2006">
    <mc:Choice Requires="x15">
      <x15ac:absPath xmlns:x15ac="http://schemas.microsoft.com/office/spreadsheetml/2010/11/ac" url="C:\Users\lior.h\Desktop\חומר חשוב ליאור\"/>
    </mc:Choice>
  </mc:AlternateContent>
  <xr:revisionPtr revIDLastSave="0" documentId="8_{E55E8187-FF70-4C46-914E-3E1CDC471048}" xr6:coauthVersionLast="47" xr6:coauthVersionMax="47" xr10:uidLastSave="{00000000-0000-0000-0000-000000000000}"/>
  <bookViews>
    <workbookView xWindow="28680" yWindow="-120" windowWidth="29040" windowHeight="15720" firstSheet="1" activeTab="2" xr2:uid="{57AAE17D-4A0A-44AE-98F6-BD83BA2055EC}"/>
  </bookViews>
  <sheets>
    <sheet name="מטריצת סטטוס עם מעליות" sheetId="15" state="hidden" r:id="rId1"/>
    <sheet name="טבלת סטטוס" sheetId="13" r:id="rId2"/>
    <sheet name="מטריצת סטטוס עם הולד" sheetId="18" r:id="rId3"/>
    <sheet name="קודים" sheetId="12" state="hidden" r:id="rId4"/>
  </sheets>
  <definedNames>
    <definedName name="Aps">'מטריצת סטטוס עם מעליות'!$H$7:$AA$18,'מטריצת סטטוס עם מעליות'!$H$19:$AA$74,'מטריצת סטטוס עם מעליות'!$L$75:$AA$198,'מטריצת סטטוס עם מעליות'!$L$199:$U$202,'מטריצת סטטוס עם מעליות'!$O$203:$U$206,'מטריצת סטטוס עם מעליות'!$AO$75:$BC$202,'מטריצת סטטוס עם מעליות'!$AO$7:$BG$74,'מטריצת סטטוס עם מעליות'!$AE$11:$AK$14</definedName>
    <definedName name="Check2">Check[[#All],[סימון2]:[סטטוס גמר ]]</definedName>
    <definedName name="PHL">'מטריצת סטטוס עם מעליות'!$Y$11:$AA$18,'מטריצת סטטוס עם מעליות'!$AY$11:$BG$18</definedName>
    <definedName name="PHR">'מטריצת סטטוס עם מעליות'!$H$11:$O$18,'מטריצת סטטוס עם מעליות'!$AO$11:$AP$18</definedName>
    <definedName name="Sold" localSheetId="0">Table1[]</definedName>
    <definedName name="Sold">Table1[]</definedName>
    <definedName name="Sold1">Table1[]</definedName>
    <definedName name="Tower" localSheetId="0">Table4[#All]</definedName>
    <definedName name="Tower">Table4[#All]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06" i="18" l="1"/>
  <c r="AM105" i="18"/>
  <c r="AM103" i="18"/>
  <c r="AM102" i="18"/>
  <c r="AM101" i="18"/>
  <c r="AF106" i="18"/>
  <c r="AF105" i="18"/>
  <c r="AF103" i="18"/>
  <c r="AF102" i="18"/>
  <c r="AF101" i="18"/>
  <c r="K334" i="13"/>
  <c r="A334" i="13" s="1"/>
  <c r="H147" i="13"/>
  <c r="I147" i="13"/>
  <c r="J147" i="13"/>
  <c r="K147" i="13"/>
  <c r="B147" i="13" s="1"/>
  <c r="A2" i="18"/>
  <c r="AQ67" i="18"/>
  <c r="K3" i="13"/>
  <c r="B3" i="13" s="1"/>
  <c r="K4" i="13"/>
  <c r="A4" i="13" s="1"/>
  <c r="K5" i="13"/>
  <c r="A5" i="13" s="1"/>
  <c r="K6" i="13"/>
  <c r="B6" i="13" s="1"/>
  <c r="K7" i="13"/>
  <c r="A7" i="13" s="1"/>
  <c r="K8" i="13"/>
  <c r="B8" i="13" s="1"/>
  <c r="K9" i="13"/>
  <c r="B9" i="13" s="1"/>
  <c r="K10" i="13"/>
  <c r="B10" i="13" s="1"/>
  <c r="K11" i="13"/>
  <c r="A11" i="13" s="1"/>
  <c r="K12" i="13"/>
  <c r="A12" i="13" s="1"/>
  <c r="K13" i="13"/>
  <c r="A13" i="13" s="1"/>
  <c r="K14" i="13"/>
  <c r="K15" i="13"/>
  <c r="B15" i="13" s="1"/>
  <c r="K16" i="13"/>
  <c r="B16" i="13" s="1"/>
  <c r="K17" i="13"/>
  <c r="B17" i="13" s="1"/>
  <c r="K18" i="13"/>
  <c r="B18" i="13" s="1"/>
  <c r="K19" i="13"/>
  <c r="A19" i="13" s="1"/>
  <c r="K20" i="13"/>
  <c r="A20" i="13" s="1"/>
  <c r="K21" i="13"/>
  <c r="B21" i="13" s="1"/>
  <c r="K22" i="13"/>
  <c r="B22" i="13" s="1"/>
  <c r="K23" i="13"/>
  <c r="A23" i="13" s="1"/>
  <c r="K24" i="13"/>
  <c r="B24" i="13" s="1"/>
  <c r="K25" i="13"/>
  <c r="B25" i="13" s="1"/>
  <c r="K26" i="13"/>
  <c r="A26" i="13" s="1"/>
  <c r="K27" i="13"/>
  <c r="A27" i="13" s="1"/>
  <c r="K28" i="13"/>
  <c r="K29" i="13"/>
  <c r="K30" i="13"/>
  <c r="K31" i="13"/>
  <c r="K32" i="13"/>
  <c r="B32" i="13" s="1"/>
  <c r="K33" i="13"/>
  <c r="B33" i="13" s="1"/>
  <c r="K34" i="13"/>
  <c r="A34" i="13" s="1"/>
  <c r="K35" i="13"/>
  <c r="B35" i="13" s="1"/>
  <c r="K36" i="13"/>
  <c r="B36" i="13" s="1"/>
  <c r="K37" i="13"/>
  <c r="B37" i="13" s="1"/>
  <c r="K38" i="13"/>
  <c r="B38" i="13" s="1"/>
  <c r="K39" i="13"/>
  <c r="B39" i="13" s="1"/>
  <c r="K40" i="13"/>
  <c r="A40" i="13" s="1"/>
  <c r="K41" i="13"/>
  <c r="B41" i="13" s="1"/>
  <c r="K42" i="13"/>
  <c r="B42" i="13" s="1"/>
  <c r="K43" i="13"/>
  <c r="K44" i="13"/>
  <c r="K45" i="13"/>
  <c r="K46" i="13"/>
  <c r="B46" i="13" s="1"/>
  <c r="K47" i="13"/>
  <c r="B47" i="13" s="1"/>
  <c r="K48" i="13"/>
  <c r="B48" i="13" s="1"/>
  <c r="K49" i="13"/>
  <c r="A49" i="13" s="1"/>
  <c r="K50" i="13"/>
  <c r="B50" i="13" s="1"/>
  <c r="K51" i="13"/>
  <c r="B51" i="13" s="1"/>
  <c r="K52" i="13"/>
  <c r="B52" i="13" s="1"/>
  <c r="K53" i="13"/>
  <c r="A53" i="13" s="1"/>
  <c r="K54" i="13"/>
  <c r="B54" i="13" s="1"/>
  <c r="K55" i="13"/>
  <c r="A55" i="13" s="1"/>
  <c r="K56" i="13"/>
  <c r="K57" i="13"/>
  <c r="B57" i="13" s="1"/>
  <c r="K58" i="13"/>
  <c r="K59" i="13"/>
  <c r="K60" i="13"/>
  <c r="B60" i="13" s="1"/>
  <c r="K61" i="13"/>
  <c r="A61" i="13" s="1"/>
  <c r="K62" i="13"/>
  <c r="B62" i="13" s="1"/>
  <c r="K63" i="13"/>
  <c r="B63" i="13" s="1"/>
  <c r="K64" i="13"/>
  <c r="B64" i="13" s="1"/>
  <c r="K65" i="13"/>
  <c r="B65" i="13" s="1"/>
  <c r="K66" i="13"/>
  <c r="B66" i="13" s="1"/>
  <c r="K67" i="13"/>
  <c r="B67" i="13" s="1"/>
  <c r="K68" i="13"/>
  <c r="A68" i="13" s="1"/>
  <c r="K69" i="13"/>
  <c r="B69" i="13" s="1"/>
  <c r="K70" i="13"/>
  <c r="B70" i="13" s="1"/>
  <c r="K71" i="13"/>
  <c r="B71" i="13" s="1"/>
  <c r="K72" i="13"/>
  <c r="B72" i="13" s="1"/>
  <c r="K73" i="13"/>
  <c r="K74" i="13"/>
  <c r="A74" i="13" s="1"/>
  <c r="K75" i="13"/>
  <c r="B75" i="13" s="1"/>
  <c r="K76" i="13"/>
  <c r="B76" i="13" s="1"/>
  <c r="K77" i="13"/>
  <c r="B77" i="13" s="1"/>
  <c r="K78" i="13"/>
  <c r="B78" i="13" s="1"/>
  <c r="K79" i="13"/>
  <c r="B79" i="13" s="1"/>
  <c r="K80" i="13"/>
  <c r="B80" i="13" s="1"/>
  <c r="K81" i="13"/>
  <c r="B81" i="13" s="1"/>
  <c r="K82" i="13"/>
  <c r="B82" i="13" s="1"/>
  <c r="K83" i="13"/>
  <c r="B83" i="13" s="1"/>
  <c r="K84" i="13"/>
  <c r="B84" i="13" s="1"/>
  <c r="K85" i="13"/>
  <c r="B85" i="13" s="1"/>
  <c r="K86" i="13"/>
  <c r="B86" i="13" s="1"/>
  <c r="K87" i="13"/>
  <c r="K88" i="13"/>
  <c r="A88" i="13" s="1"/>
  <c r="K89" i="13"/>
  <c r="A89" i="13" s="1"/>
  <c r="K90" i="13"/>
  <c r="B90" i="13" s="1"/>
  <c r="K91" i="13"/>
  <c r="B91" i="13" s="1"/>
  <c r="K92" i="13"/>
  <c r="B92" i="13" s="1"/>
  <c r="K93" i="13"/>
  <c r="B93" i="13" s="1"/>
  <c r="K94" i="13"/>
  <c r="B94" i="13" s="1"/>
  <c r="K95" i="13"/>
  <c r="A95" i="13" s="1"/>
  <c r="K96" i="13"/>
  <c r="A96" i="13" s="1"/>
  <c r="K97" i="13"/>
  <c r="B97" i="13" s="1"/>
  <c r="K98" i="13"/>
  <c r="K99" i="13"/>
  <c r="B99" i="13" s="1"/>
  <c r="K100" i="13"/>
  <c r="B100" i="13" s="1"/>
  <c r="K101" i="13"/>
  <c r="K102" i="13"/>
  <c r="B102" i="13" s="1"/>
  <c r="K103" i="13"/>
  <c r="A103" i="13" s="1"/>
  <c r="K104" i="13"/>
  <c r="A104" i="13" s="1"/>
  <c r="K105" i="13"/>
  <c r="B105" i="13" s="1"/>
  <c r="K106" i="13"/>
  <c r="B106" i="13" s="1"/>
  <c r="K107" i="13"/>
  <c r="B107" i="13" s="1"/>
  <c r="K108" i="13"/>
  <c r="B108" i="13" s="1"/>
  <c r="K109" i="13"/>
  <c r="B109" i="13" s="1"/>
  <c r="K110" i="13"/>
  <c r="A110" i="13" s="1"/>
  <c r="K111" i="13"/>
  <c r="B111" i="13" s="1"/>
  <c r="K112" i="13"/>
  <c r="B112" i="13" s="1"/>
  <c r="K113" i="13"/>
  <c r="B113" i="13" s="1"/>
  <c r="K114" i="13"/>
  <c r="B114" i="13" s="1"/>
  <c r="K115" i="13"/>
  <c r="B115" i="13" s="1"/>
  <c r="K116" i="13"/>
  <c r="B116" i="13" s="1"/>
  <c r="K117" i="13"/>
  <c r="A117" i="13" s="1"/>
  <c r="K118" i="13"/>
  <c r="A118" i="13" s="1"/>
  <c r="K119" i="13"/>
  <c r="A119" i="13" s="1"/>
  <c r="K120" i="13"/>
  <c r="B120" i="13" s="1"/>
  <c r="K121" i="13"/>
  <c r="A121" i="13" s="1"/>
  <c r="K122" i="13"/>
  <c r="K123" i="13"/>
  <c r="B123" i="13" s="1"/>
  <c r="K124" i="13"/>
  <c r="B124" i="13" s="1"/>
  <c r="K125" i="13"/>
  <c r="A125" i="13" s="1"/>
  <c r="K126" i="13"/>
  <c r="B126" i="13" s="1"/>
  <c r="K127" i="13"/>
  <c r="B127" i="13" s="1"/>
  <c r="K128" i="13"/>
  <c r="B128" i="13" s="1"/>
  <c r="K129" i="13"/>
  <c r="B129" i="13" s="1"/>
  <c r="K130" i="13"/>
  <c r="B130" i="13" s="1"/>
  <c r="K131" i="13"/>
  <c r="B131" i="13" s="1"/>
  <c r="K132" i="13"/>
  <c r="A132" i="13" s="1"/>
  <c r="K133" i="13"/>
  <c r="A133" i="13" s="1"/>
  <c r="K134" i="13"/>
  <c r="B134" i="13" s="1"/>
  <c r="K135" i="13"/>
  <c r="B135" i="13" s="1"/>
  <c r="K136" i="13"/>
  <c r="B136" i="13" s="1"/>
  <c r="K137" i="13"/>
  <c r="A137" i="13" s="1"/>
  <c r="K138" i="13"/>
  <c r="B138" i="13" s="1"/>
  <c r="K139" i="13"/>
  <c r="B139" i="13" s="1"/>
  <c r="K140" i="13"/>
  <c r="K141" i="13"/>
  <c r="B141" i="13" s="1"/>
  <c r="K142" i="13"/>
  <c r="B142" i="13" s="1"/>
  <c r="K143" i="13"/>
  <c r="B143" i="13" s="1"/>
  <c r="K144" i="13"/>
  <c r="B144" i="13" s="1"/>
  <c r="K145" i="13"/>
  <c r="B145" i="13" s="1"/>
  <c r="K146" i="13"/>
  <c r="B146" i="13" s="1"/>
  <c r="K148" i="13"/>
  <c r="B148" i="13" s="1"/>
  <c r="K149" i="13"/>
  <c r="A149" i="13" s="1"/>
  <c r="K150" i="13"/>
  <c r="B150" i="13" s="1"/>
  <c r="K151" i="13"/>
  <c r="A151" i="13" s="1"/>
  <c r="K152" i="13"/>
  <c r="A152" i="13" s="1"/>
  <c r="K153" i="13"/>
  <c r="B153" i="13" s="1"/>
  <c r="K154" i="13"/>
  <c r="B154" i="13" s="1"/>
  <c r="K155" i="13"/>
  <c r="K156" i="13"/>
  <c r="K157" i="13"/>
  <c r="B157" i="13" s="1"/>
  <c r="K158" i="13"/>
  <c r="A158" i="13" s="1"/>
  <c r="K159" i="13"/>
  <c r="B159" i="13" s="1"/>
  <c r="K160" i="13"/>
  <c r="A160" i="13" s="1"/>
  <c r="K161" i="13"/>
  <c r="K162" i="13"/>
  <c r="B162" i="13" s="1"/>
  <c r="K163" i="13"/>
  <c r="A163" i="13" s="1"/>
  <c r="K164" i="13"/>
  <c r="K165" i="13"/>
  <c r="A165" i="13" s="1"/>
  <c r="K166" i="13"/>
  <c r="A166" i="13" s="1"/>
  <c r="K167" i="13"/>
  <c r="B167" i="13" s="1"/>
  <c r="K168" i="13"/>
  <c r="B168" i="13" s="1"/>
  <c r="K169" i="13"/>
  <c r="B169" i="13" s="1"/>
  <c r="K170" i="13"/>
  <c r="K171" i="13"/>
  <c r="B171" i="13" s="1"/>
  <c r="K172" i="13"/>
  <c r="B172" i="13" s="1"/>
  <c r="K173" i="13"/>
  <c r="B173" i="13" s="1"/>
  <c r="K174" i="13"/>
  <c r="B174" i="13" s="1"/>
  <c r="K175" i="13"/>
  <c r="K176" i="13"/>
  <c r="B176" i="13" s="1"/>
  <c r="K177" i="13"/>
  <c r="A177" i="13" s="1"/>
  <c r="K178" i="13"/>
  <c r="K179" i="13"/>
  <c r="A179" i="13" s="1"/>
  <c r="K180" i="13"/>
  <c r="A180" i="13" s="1"/>
  <c r="K181" i="13"/>
  <c r="A181" i="13" s="1"/>
  <c r="K182" i="13"/>
  <c r="B182" i="13" s="1"/>
  <c r="K183" i="13"/>
  <c r="B183" i="13" s="1"/>
  <c r="K184" i="13"/>
  <c r="B184" i="13" s="1"/>
  <c r="K185" i="13"/>
  <c r="K186" i="13"/>
  <c r="B186" i="13" s="1"/>
  <c r="K187" i="13"/>
  <c r="B187" i="13" s="1"/>
  <c r="K188" i="13"/>
  <c r="B188" i="13" s="1"/>
  <c r="K189" i="13"/>
  <c r="B189" i="13" s="1"/>
  <c r="K190" i="13"/>
  <c r="B190" i="13" s="1"/>
  <c r="K191" i="13"/>
  <c r="B191" i="13" s="1"/>
  <c r="K192" i="13"/>
  <c r="B192" i="13" s="1"/>
  <c r="K193" i="13"/>
  <c r="A193" i="13" s="1"/>
  <c r="K194" i="13"/>
  <c r="A194" i="13" s="1"/>
  <c r="K195" i="13"/>
  <c r="A195" i="13" s="1"/>
  <c r="K196" i="13"/>
  <c r="A196" i="13" s="1"/>
  <c r="K197" i="13"/>
  <c r="K198" i="13"/>
  <c r="B198" i="13" s="1"/>
  <c r="K199" i="13"/>
  <c r="B199" i="13" s="1"/>
  <c r="K200" i="13"/>
  <c r="A200" i="13" s="1"/>
  <c r="K201" i="13"/>
  <c r="A201" i="13" s="1"/>
  <c r="K202" i="13"/>
  <c r="B202" i="13" s="1"/>
  <c r="K203" i="13"/>
  <c r="K204" i="13"/>
  <c r="B204" i="13" s="1"/>
  <c r="K205" i="13"/>
  <c r="B205" i="13" s="1"/>
  <c r="K206" i="13"/>
  <c r="B206" i="13" s="1"/>
  <c r="K207" i="13"/>
  <c r="A207" i="13" s="1"/>
  <c r="K208" i="13"/>
  <c r="A208" i="13" s="1"/>
  <c r="K209" i="13"/>
  <c r="A209" i="13" s="1"/>
  <c r="K210" i="13"/>
  <c r="A210" i="13" s="1"/>
  <c r="K211" i="13"/>
  <c r="K212" i="13"/>
  <c r="B212" i="13" s="1"/>
  <c r="K213" i="13"/>
  <c r="B213" i="13" s="1"/>
  <c r="K214" i="13"/>
  <c r="B214" i="13" s="1"/>
  <c r="K215" i="13"/>
  <c r="A215" i="13" s="1"/>
  <c r="K216" i="13"/>
  <c r="A216" i="13" s="1"/>
  <c r="K217" i="13"/>
  <c r="B217" i="13" s="1"/>
  <c r="K218" i="13"/>
  <c r="B218" i="13" s="1"/>
  <c r="K219" i="13"/>
  <c r="A219" i="13" s="1"/>
  <c r="K220" i="13"/>
  <c r="B220" i="13" s="1"/>
  <c r="K221" i="13"/>
  <c r="A221" i="13" s="1"/>
  <c r="K222" i="13"/>
  <c r="A222" i="13" s="1"/>
  <c r="K223" i="13"/>
  <c r="B223" i="13" s="1"/>
  <c r="K224" i="13"/>
  <c r="K225" i="13"/>
  <c r="K226" i="13"/>
  <c r="B226" i="13" s="1"/>
  <c r="K227" i="13"/>
  <c r="B227" i="13" s="1"/>
  <c r="K228" i="13"/>
  <c r="B228" i="13" s="1"/>
  <c r="K229" i="13"/>
  <c r="B229" i="13" s="1"/>
  <c r="K230" i="13"/>
  <c r="A230" i="13" s="1"/>
  <c r="K231" i="13"/>
  <c r="B231" i="13" s="1"/>
  <c r="K232" i="13"/>
  <c r="B232" i="13" s="1"/>
  <c r="K233" i="13"/>
  <c r="B233" i="13" s="1"/>
  <c r="K234" i="13"/>
  <c r="K235" i="13"/>
  <c r="B235" i="13" s="1"/>
  <c r="K236" i="13"/>
  <c r="A236" i="13" s="1"/>
  <c r="K237" i="13"/>
  <c r="A237" i="13" s="1"/>
  <c r="K238" i="13"/>
  <c r="K239" i="13"/>
  <c r="K240" i="13"/>
  <c r="K241" i="13"/>
  <c r="K242" i="13"/>
  <c r="A242" i="13" s="1"/>
  <c r="K243" i="13"/>
  <c r="B243" i="13" s="1"/>
  <c r="K244" i="13"/>
  <c r="B244" i="13" s="1"/>
  <c r="K245" i="13"/>
  <c r="K246" i="13"/>
  <c r="B246" i="13" s="1"/>
  <c r="K247" i="13"/>
  <c r="B247" i="13" s="1"/>
  <c r="K248" i="13"/>
  <c r="B248" i="13" s="1"/>
  <c r="K249" i="13"/>
  <c r="B249" i="13" s="1"/>
  <c r="K250" i="13"/>
  <c r="B250" i="13" s="1"/>
  <c r="K251" i="13"/>
  <c r="A251" i="13" s="1"/>
  <c r="K252" i="13"/>
  <c r="B252" i="13" s="1"/>
  <c r="K253" i="13"/>
  <c r="B253" i="13" s="1"/>
  <c r="K254" i="13"/>
  <c r="K255" i="13"/>
  <c r="K256" i="13"/>
  <c r="A256" i="13" s="1"/>
  <c r="K257" i="13"/>
  <c r="A257" i="13" s="1"/>
  <c r="K258" i="13"/>
  <c r="B258" i="13" s="1"/>
  <c r="K259" i="13"/>
  <c r="B259" i="13" s="1"/>
  <c r="K260" i="13"/>
  <c r="B260" i="13" s="1"/>
  <c r="K261" i="13"/>
  <c r="A261" i="13" s="1"/>
  <c r="K262" i="13"/>
  <c r="B262" i="13" s="1"/>
  <c r="K263" i="13"/>
  <c r="B263" i="13" s="1"/>
  <c r="K264" i="13"/>
  <c r="A264" i="13" s="1"/>
  <c r="K265" i="13"/>
  <c r="B265" i="13" s="1"/>
  <c r="K266" i="13"/>
  <c r="K267" i="13"/>
  <c r="K268" i="13"/>
  <c r="B268" i="13" s="1"/>
  <c r="K269" i="13"/>
  <c r="K270" i="13"/>
  <c r="A270" i="13" s="1"/>
  <c r="K271" i="13"/>
  <c r="B271" i="13" s="1"/>
  <c r="K272" i="13"/>
  <c r="A272" i="13" s="1"/>
  <c r="B273" i="13"/>
  <c r="K274" i="13"/>
  <c r="B274" i="13" s="1"/>
  <c r="K275" i="13"/>
  <c r="B275" i="13" s="1"/>
  <c r="K276" i="13"/>
  <c r="B276" i="13" s="1"/>
  <c r="K277" i="13"/>
  <c r="B277" i="13" s="1"/>
  <c r="B278" i="13"/>
  <c r="K279" i="13"/>
  <c r="B279" i="13" s="1"/>
  <c r="K280" i="13"/>
  <c r="B280" i="13" s="1"/>
  <c r="K281" i="13"/>
  <c r="B281" i="13" s="1"/>
  <c r="K282" i="13"/>
  <c r="B282" i="13" s="1"/>
  <c r="K283" i="13"/>
  <c r="B283" i="13" s="1"/>
  <c r="K284" i="13"/>
  <c r="A284" i="13" s="1"/>
  <c r="K285" i="13"/>
  <c r="A285" i="13" s="1"/>
  <c r="K286" i="13"/>
  <c r="B286" i="13" s="1"/>
  <c r="K287" i="13"/>
  <c r="B287" i="13" s="1"/>
  <c r="K288" i="13"/>
  <c r="B288" i="13" s="1"/>
  <c r="K289" i="13"/>
  <c r="B289" i="13" s="1"/>
  <c r="K290" i="13"/>
  <c r="B290" i="13" s="1"/>
  <c r="K291" i="13"/>
  <c r="B291" i="13" s="1"/>
  <c r="K292" i="13"/>
  <c r="A292" i="13" s="1"/>
  <c r="K293" i="13"/>
  <c r="B293" i="13" s="1"/>
  <c r="K294" i="13"/>
  <c r="B294" i="13" s="1"/>
  <c r="K295" i="13"/>
  <c r="B295" i="13" s="1"/>
  <c r="K296" i="13"/>
  <c r="B296" i="13" s="1"/>
  <c r="K297" i="13"/>
  <c r="B297" i="13" s="1"/>
  <c r="A298" i="13"/>
  <c r="K299" i="13"/>
  <c r="A299" i="13" s="1"/>
  <c r="K300" i="13"/>
  <c r="A300" i="13" s="1"/>
  <c r="K301" i="13"/>
  <c r="B301" i="13" s="1"/>
  <c r="K302" i="13"/>
  <c r="B302" i="13" s="1"/>
  <c r="K303" i="13"/>
  <c r="B303" i="13" s="1"/>
  <c r="K304" i="13"/>
  <c r="B304" i="13" s="1"/>
  <c r="K305" i="13"/>
  <c r="B305" i="13" s="1"/>
  <c r="K306" i="13"/>
  <c r="A306" i="13" s="1"/>
  <c r="K307" i="13"/>
  <c r="A307" i="13" s="1"/>
  <c r="K308" i="13"/>
  <c r="B308" i="13" s="1"/>
  <c r="K309" i="13"/>
  <c r="K310" i="13"/>
  <c r="B310" i="13" s="1"/>
  <c r="K311" i="13"/>
  <c r="B311" i="13" s="1"/>
  <c r="K312" i="13"/>
  <c r="B312" i="13" s="1"/>
  <c r="K313" i="13"/>
  <c r="A313" i="13" s="1"/>
  <c r="K314" i="13"/>
  <c r="A314" i="13" s="1"/>
  <c r="K315" i="13"/>
  <c r="K316" i="13"/>
  <c r="B316" i="13" s="1"/>
  <c r="K317" i="13"/>
  <c r="B317" i="13" s="1"/>
  <c r="K318" i="13"/>
  <c r="B318" i="13" s="1"/>
  <c r="K319" i="13"/>
  <c r="B319" i="13" s="1"/>
  <c r="K320" i="13"/>
  <c r="B320" i="13" s="1"/>
  <c r="K321" i="13"/>
  <c r="A321" i="13" s="1"/>
  <c r="K322" i="13"/>
  <c r="B322" i="13" s="1"/>
  <c r="K323" i="13"/>
  <c r="B323" i="13" s="1"/>
  <c r="K324" i="13"/>
  <c r="B324" i="13" s="1"/>
  <c r="K325" i="13"/>
  <c r="B325" i="13" s="1"/>
  <c r="K326" i="13"/>
  <c r="A326" i="13" s="1"/>
  <c r="K327" i="13"/>
  <c r="A327" i="13" s="1"/>
  <c r="K328" i="13"/>
  <c r="A328" i="13" s="1"/>
  <c r="K329" i="13"/>
  <c r="K330" i="13"/>
  <c r="B330" i="13" s="1"/>
  <c r="K331" i="13"/>
  <c r="B331" i="13" s="1"/>
  <c r="K332" i="13"/>
  <c r="K333" i="13"/>
  <c r="A333" i="13" s="1"/>
  <c r="K335" i="13"/>
  <c r="B335" i="13" s="1"/>
  <c r="K336" i="13"/>
  <c r="K337" i="13"/>
  <c r="B337" i="13" s="1"/>
  <c r="K338" i="13"/>
  <c r="B338" i="13" s="1"/>
  <c r="K339" i="13"/>
  <c r="B339" i="13" s="1"/>
  <c r="K340" i="13"/>
  <c r="B340" i="13" s="1"/>
  <c r="K341" i="13"/>
  <c r="B341" i="13" s="1"/>
  <c r="K342" i="13"/>
  <c r="B342" i="13" s="1"/>
  <c r="K343" i="13"/>
  <c r="K344" i="13"/>
  <c r="B344" i="13" s="1"/>
  <c r="K345" i="13"/>
  <c r="A345" i="13" s="1"/>
  <c r="K346" i="13"/>
  <c r="K347" i="13"/>
  <c r="A347" i="13" s="1"/>
  <c r="K348" i="13"/>
  <c r="A348" i="13" s="1"/>
  <c r="K349" i="13"/>
  <c r="B349" i="13" s="1"/>
  <c r="K350" i="13"/>
  <c r="B350" i="13" s="1"/>
  <c r="K351" i="13"/>
  <c r="K352" i="13"/>
  <c r="K353" i="13"/>
  <c r="B353" i="13" s="1"/>
  <c r="K354" i="13"/>
  <c r="B354" i="13" s="1"/>
  <c r="K355" i="13"/>
  <c r="B355" i="13" s="1"/>
  <c r="K356" i="13"/>
  <c r="B356" i="13" s="1"/>
  <c r="K357" i="13"/>
  <c r="B357" i="13" s="1"/>
  <c r="K358" i="13"/>
  <c r="B358" i="13" s="1"/>
  <c r="K359" i="13"/>
  <c r="A359" i="13" s="1"/>
  <c r="K360" i="13"/>
  <c r="K361" i="13"/>
  <c r="B361" i="13" s="1"/>
  <c r="K362" i="13"/>
  <c r="A362" i="13" s="1"/>
  <c r="K363" i="13"/>
  <c r="A363" i="13" s="1"/>
  <c r="K364" i="13"/>
  <c r="B364" i="13" s="1"/>
  <c r="K365" i="13"/>
  <c r="B365" i="13" s="1"/>
  <c r="K366" i="13"/>
  <c r="K367" i="13"/>
  <c r="A367" i="13" s="1"/>
  <c r="K368" i="13"/>
  <c r="B368" i="13" s="1"/>
  <c r="K369" i="13"/>
  <c r="A369" i="13" s="1"/>
  <c r="K370" i="13"/>
  <c r="B370" i="13" s="1"/>
  <c r="K371" i="13"/>
  <c r="K372" i="13"/>
  <c r="B372" i="13" s="1"/>
  <c r="K373" i="13"/>
  <c r="B373" i="13" s="1"/>
  <c r="K374" i="13"/>
  <c r="K375" i="13"/>
  <c r="A375" i="13" s="1"/>
  <c r="K376" i="13"/>
  <c r="A376" i="13" s="1"/>
  <c r="K377" i="13"/>
  <c r="B377" i="13" s="1"/>
  <c r="K378" i="13"/>
  <c r="B378" i="13" s="1"/>
  <c r="K379" i="13"/>
  <c r="B379" i="13" s="1"/>
  <c r="K380" i="13"/>
  <c r="B380" i="13" s="1"/>
  <c r="K381" i="13"/>
  <c r="A381" i="13" s="1"/>
  <c r="K382" i="13"/>
  <c r="B382" i="13" s="1"/>
  <c r="K383" i="13"/>
  <c r="B383" i="13" s="1"/>
  <c r="K384" i="13"/>
  <c r="B384" i="13" s="1"/>
  <c r="K385" i="13"/>
  <c r="B385" i="13" s="1"/>
  <c r="K386" i="13"/>
  <c r="B386" i="13" s="1"/>
  <c r="K387" i="13"/>
  <c r="A387" i="13" s="1"/>
  <c r="K388" i="13"/>
  <c r="K389" i="13"/>
  <c r="A389" i="13" s="1"/>
  <c r="K390" i="13"/>
  <c r="A390" i="13" s="1"/>
  <c r="K391" i="13"/>
  <c r="A391" i="13" s="1"/>
  <c r="K392" i="13"/>
  <c r="B392" i="13" s="1"/>
  <c r="K393" i="13"/>
  <c r="K394" i="13"/>
  <c r="B394" i="13" s="1"/>
  <c r="K395" i="13"/>
  <c r="B395" i="13" s="1"/>
  <c r="K396" i="13"/>
  <c r="A396" i="13" s="1"/>
  <c r="K397" i="13"/>
  <c r="B397" i="13" s="1"/>
  <c r="K398" i="13"/>
  <c r="B398" i="13" s="1"/>
  <c r="K399" i="13"/>
  <c r="B399" i="13" s="1"/>
  <c r="K400" i="13"/>
  <c r="B400" i="13" s="1"/>
  <c r="K401" i="13"/>
  <c r="B401" i="13" s="1"/>
  <c r="K402" i="13"/>
  <c r="B402" i="13" s="1"/>
  <c r="K403" i="13"/>
  <c r="B403" i="13" s="1"/>
  <c r="K404" i="13"/>
  <c r="A404" i="13" s="1"/>
  <c r="K405" i="13"/>
  <c r="A405" i="13" s="1"/>
  <c r="K406" i="13"/>
  <c r="K407" i="13"/>
  <c r="K408" i="13"/>
  <c r="K409" i="13"/>
  <c r="B409" i="13" s="1"/>
  <c r="K410" i="13"/>
  <c r="B410" i="13" s="1"/>
  <c r="K411" i="13"/>
  <c r="A411" i="13" s="1"/>
  <c r="K412" i="13"/>
  <c r="A412" i="13" s="1"/>
  <c r="K413" i="13"/>
  <c r="B413" i="13" s="1"/>
  <c r="K414" i="13"/>
  <c r="B414" i="13" s="1"/>
  <c r="K415" i="13"/>
  <c r="B415" i="13" s="1"/>
  <c r="K416" i="13"/>
  <c r="B416" i="13" s="1"/>
  <c r="K417" i="13"/>
  <c r="B417" i="13" s="1"/>
  <c r="K418" i="13"/>
  <c r="A418" i="13" s="1"/>
  <c r="K419" i="13"/>
  <c r="B419" i="13" s="1"/>
  <c r="K420" i="13"/>
  <c r="K421" i="13"/>
  <c r="K422" i="13"/>
  <c r="K423" i="13"/>
  <c r="B423" i="13" s="1"/>
  <c r="K424" i="13"/>
  <c r="B424" i="13" s="1"/>
  <c r="K425" i="13"/>
  <c r="B425" i="13" s="1"/>
  <c r="K426" i="13"/>
  <c r="A426" i="13" s="1"/>
  <c r="K427" i="13"/>
  <c r="K428" i="13"/>
  <c r="B428" i="13" s="1"/>
  <c r="K429" i="13"/>
  <c r="B429" i="13" s="1"/>
  <c r="K430" i="13"/>
  <c r="K431" i="13"/>
  <c r="B431" i="13" s="1"/>
  <c r="K432" i="13"/>
  <c r="A432" i="13" s="1"/>
  <c r="K433" i="13"/>
  <c r="A433" i="13" s="1"/>
  <c r="K434" i="13"/>
  <c r="B434" i="13" s="1"/>
  <c r="K435" i="13"/>
  <c r="K436" i="13"/>
  <c r="K437" i="13"/>
  <c r="B437" i="13" s="1"/>
  <c r="K438" i="13"/>
  <c r="B438" i="13" s="1"/>
  <c r="K439" i="13"/>
  <c r="B439" i="13" s="1"/>
  <c r="K440" i="13"/>
  <c r="B440" i="13" s="1"/>
  <c r="K441" i="13"/>
  <c r="K442" i="13"/>
  <c r="B442" i="13" s="1"/>
  <c r="K443" i="13"/>
  <c r="A443" i="13" s="1"/>
  <c r="K444" i="13"/>
  <c r="B444" i="13" s="1"/>
  <c r="K445" i="13"/>
  <c r="A445" i="13" s="1"/>
  <c r="K446" i="13"/>
  <c r="B446" i="13" s="1"/>
  <c r="K447" i="13"/>
  <c r="A447" i="13" s="1"/>
  <c r="K448" i="13"/>
  <c r="K449" i="13"/>
  <c r="K450" i="13"/>
  <c r="K451" i="13"/>
  <c r="A451" i="13" s="1"/>
  <c r="K452" i="13"/>
  <c r="A452" i="13" s="1"/>
  <c r="K453" i="13"/>
  <c r="A453" i="13" s="1"/>
  <c r="K454" i="13"/>
  <c r="B454" i="13" s="1"/>
  <c r="K455" i="13"/>
  <c r="B455" i="13" s="1"/>
  <c r="K456" i="13"/>
  <c r="B456" i="13" s="1"/>
  <c r="K457" i="13"/>
  <c r="B457" i="13" s="1"/>
  <c r="K458" i="13"/>
  <c r="K459" i="13"/>
  <c r="B459" i="13" s="1"/>
  <c r="K460" i="13"/>
  <c r="A460" i="13" s="1"/>
  <c r="K461" i="13"/>
  <c r="B461" i="13" s="1"/>
  <c r="K462" i="13"/>
  <c r="B462" i="13" s="1"/>
  <c r="K463" i="13"/>
  <c r="K464" i="13"/>
  <c r="K465" i="13"/>
  <c r="A465" i="13" s="1"/>
  <c r="K466" i="13"/>
  <c r="A466" i="13" s="1"/>
  <c r="K467" i="13"/>
  <c r="A467" i="13" s="1"/>
  <c r="K468" i="13"/>
  <c r="A468" i="13" s="1"/>
  <c r="K469" i="13"/>
  <c r="B469" i="13" s="1"/>
  <c r="K470" i="13"/>
  <c r="B470" i="13" s="1"/>
  <c r="K471" i="13"/>
  <c r="B471" i="13" s="1"/>
  <c r="K472" i="13"/>
  <c r="B472" i="13" s="1"/>
  <c r="K473" i="13"/>
  <c r="B473" i="13" s="1"/>
  <c r="K474" i="13"/>
  <c r="B474" i="13" s="1"/>
  <c r="K475" i="13"/>
  <c r="B475" i="13" s="1"/>
  <c r="K476" i="13"/>
  <c r="B476" i="13" s="1"/>
  <c r="K477" i="13"/>
  <c r="B477" i="13" s="1"/>
  <c r="K478" i="13"/>
  <c r="B478" i="13" s="1"/>
  <c r="K479" i="13"/>
  <c r="B479" i="13" s="1"/>
  <c r="K480" i="13"/>
  <c r="A480" i="13" s="1"/>
  <c r="K481" i="13"/>
  <c r="A481" i="13" s="1"/>
  <c r="K482" i="13"/>
  <c r="B482" i="13" s="1"/>
  <c r="K483" i="13"/>
  <c r="K484" i="13"/>
  <c r="B484" i="13" s="1"/>
  <c r="K485" i="13"/>
  <c r="B485" i="13" s="1"/>
  <c r="K486" i="13"/>
  <c r="B486" i="13" s="1"/>
  <c r="K487" i="13"/>
  <c r="B487" i="13" s="1"/>
  <c r="K488" i="13"/>
  <c r="A488" i="13" s="1"/>
  <c r="K489" i="13"/>
  <c r="B489" i="13" s="1"/>
  <c r="K490" i="13"/>
  <c r="B490" i="13" s="1"/>
  <c r="K491" i="13"/>
  <c r="B491" i="13" s="1"/>
  <c r="K492" i="13"/>
  <c r="B492" i="13" s="1"/>
  <c r="K493" i="13"/>
  <c r="B493" i="13" s="1"/>
  <c r="K494" i="13"/>
  <c r="B494" i="13" s="1"/>
  <c r="K495" i="13"/>
  <c r="A495" i="13" s="1"/>
  <c r="K496" i="13"/>
  <c r="A496" i="13" s="1"/>
  <c r="K497" i="13"/>
  <c r="B497" i="13" s="1"/>
  <c r="K498" i="13"/>
  <c r="B498" i="13" s="1"/>
  <c r="K499" i="13"/>
  <c r="A499" i="13" s="1"/>
  <c r="K500" i="13"/>
  <c r="B500" i="13" s="1"/>
  <c r="K501" i="13"/>
  <c r="B501" i="13" s="1"/>
  <c r="K502" i="13"/>
  <c r="A502" i="13" s="1"/>
  <c r="K503" i="13"/>
  <c r="B503" i="13" s="1"/>
  <c r="K504" i="13"/>
  <c r="B504" i="13" s="1"/>
  <c r="K505" i="13"/>
  <c r="B505" i="13" s="1"/>
  <c r="K506" i="13"/>
  <c r="B506" i="13" s="1"/>
  <c r="K507" i="13"/>
  <c r="B507" i="13" s="1"/>
  <c r="K508" i="13"/>
  <c r="B508" i="13" s="1"/>
  <c r="K509" i="13"/>
  <c r="B509" i="13" s="1"/>
  <c r="K510" i="13"/>
  <c r="A510" i="13" s="1"/>
  <c r="K511" i="13"/>
  <c r="K512" i="13"/>
  <c r="B512" i="13" s="1"/>
  <c r="K513" i="13"/>
  <c r="A513" i="13" s="1"/>
  <c r="K514" i="13"/>
  <c r="K515" i="13"/>
  <c r="B515" i="13" s="1"/>
  <c r="K516" i="13"/>
  <c r="B516" i="13" s="1"/>
  <c r="K517" i="13"/>
  <c r="A517" i="13" s="1"/>
  <c r="K518" i="13"/>
  <c r="B518" i="13" s="1"/>
  <c r="K519" i="13"/>
  <c r="B519" i="13" s="1"/>
  <c r="K520" i="13"/>
  <c r="B520" i="13" s="1"/>
  <c r="K521" i="13"/>
  <c r="B521" i="13" s="1"/>
  <c r="K522" i="13"/>
  <c r="A522" i="13" s="1"/>
  <c r="K523" i="13"/>
  <c r="B523" i="13" s="1"/>
  <c r="K524" i="13"/>
  <c r="A524" i="13" s="1"/>
  <c r="K525" i="13"/>
  <c r="K526" i="13"/>
  <c r="B526" i="13" s="1"/>
  <c r="K527" i="13"/>
  <c r="B527" i="13" s="1"/>
  <c r="K528" i="13"/>
  <c r="B528" i="13" s="1"/>
  <c r="K529" i="13"/>
  <c r="B529" i="13" s="1"/>
  <c r="K530" i="13"/>
  <c r="B530" i="13" s="1"/>
  <c r="K531" i="13"/>
  <c r="B531" i="13" s="1"/>
  <c r="K532" i="13"/>
  <c r="B532" i="13" s="1"/>
  <c r="K533" i="13"/>
  <c r="K534" i="13"/>
  <c r="B534" i="13" s="1"/>
  <c r="K535" i="13"/>
  <c r="B535" i="13" s="1"/>
  <c r="K536" i="13"/>
  <c r="B536" i="13" s="1"/>
  <c r="K537" i="13"/>
  <c r="A537" i="13" s="1"/>
  <c r="K538" i="13"/>
  <c r="A538" i="13" s="1"/>
  <c r="K539" i="13"/>
  <c r="K540" i="13"/>
  <c r="B540" i="13" s="1"/>
  <c r="K541" i="13"/>
  <c r="B541" i="13" s="1"/>
  <c r="K542" i="13"/>
  <c r="K543" i="13"/>
  <c r="B543" i="13" s="1"/>
  <c r="K544" i="13"/>
  <c r="A544" i="13" s="1"/>
  <c r="K545" i="13"/>
  <c r="B545" i="13" s="1"/>
  <c r="K546" i="13"/>
  <c r="B546" i="13" s="1"/>
  <c r="K547" i="13"/>
  <c r="B547" i="13" s="1"/>
  <c r="K548" i="13"/>
  <c r="B548" i="13" s="1"/>
  <c r="K549" i="13"/>
  <c r="B549" i="13" s="1"/>
  <c r="K550" i="13"/>
  <c r="B550" i="13" s="1"/>
  <c r="K551" i="13"/>
  <c r="B551" i="13" s="1"/>
  <c r="K552" i="13"/>
  <c r="A552" i="13" s="1"/>
  <c r="K553" i="13"/>
  <c r="K554" i="13"/>
  <c r="B554" i="13" s="1"/>
  <c r="K555" i="13"/>
  <c r="A555" i="13" s="1"/>
  <c r="K556" i="13"/>
  <c r="K557" i="13"/>
  <c r="A557" i="13" s="1"/>
  <c r="K558" i="13"/>
  <c r="A558" i="13" s="1"/>
  <c r="K559" i="13"/>
  <c r="A559" i="13" s="1"/>
  <c r="K560" i="13"/>
  <c r="B560" i="13" s="1"/>
  <c r="K561" i="13"/>
  <c r="B561" i="13" s="1"/>
  <c r="K562" i="13"/>
  <c r="B562" i="13" s="1"/>
  <c r="K563" i="13"/>
  <c r="B563" i="13" s="1"/>
  <c r="K564" i="13"/>
  <c r="B564" i="13" s="1"/>
  <c r="K565" i="13"/>
  <c r="B565" i="13" s="1"/>
  <c r="K566" i="13"/>
  <c r="B566" i="13" s="1"/>
  <c r="K567" i="13"/>
  <c r="K568" i="13"/>
  <c r="B568" i="13" s="1"/>
  <c r="K569" i="13"/>
  <c r="B569" i="13" s="1"/>
  <c r="K570" i="13"/>
  <c r="K571" i="13"/>
  <c r="B571" i="13" s="1"/>
  <c r="K572" i="13"/>
  <c r="A572" i="13" s="1"/>
  <c r="K573" i="13"/>
  <c r="B573" i="13" s="1"/>
  <c r="K574" i="13"/>
  <c r="K575" i="13"/>
  <c r="B575" i="13" s="1"/>
  <c r="K576" i="13"/>
  <c r="B576" i="13" s="1"/>
  <c r="K577" i="13"/>
  <c r="A577" i="13" s="1"/>
  <c r="K578" i="13"/>
  <c r="A578" i="13" s="1"/>
  <c r="K579" i="13"/>
  <c r="B579" i="13" s="1"/>
  <c r="K580" i="13"/>
  <c r="A580" i="13" s="1"/>
  <c r="K581" i="13"/>
  <c r="B581" i="13" s="1"/>
  <c r="K582" i="13"/>
  <c r="B582" i="13" s="1"/>
  <c r="K583" i="13"/>
  <c r="A583" i="13" s="1"/>
  <c r="K584" i="13"/>
  <c r="B584" i="13" s="1"/>
  <c r="K585" i="13"/>
  <c r="B585" i="13" s="1"/>
  <c r="K586" i="13"/>
  <c r="A586" i="13" s="1"/>
  <c r="K587" i="13"/>
  <c r="B587" i="13" s="1"/>
  <c r="K588" i="13"/>
  <c r="K589" i="13"/>
  <c r="B589" i="13" s="1"/>
  <c r="K590" i="13"/>
  <c r="B590" i="13" s="1"/>
  <c r="K591" i="13"/>
  <c r="B591" i="13" s="1"/>
  <c r="K592" i="13"/>
  <c r="A592" i="13" s="1"/>
  <c r="K593" i="13"/>
  <c r="A593" i="13" s="1"/>
  <c r="K594" i="13"/>
  <c r="B594" i="13" s="1"/>
  <c r="K595" i="13"/>
  <c r="K596" i="13"/>
  <c r="B596" i="13" s="1"/>
  <c r="K597" i="13"/>
  <c r="B597" i="13" s="1"/>
  <c r="K598" i="13"/>
  <c r="B598" i="13" s="1"/>
  <c r="K599" i="13"/>
  <c r="B599" i="13" s="1"/>
  <c r="K600" i="13"/>
  <c r="A600" i="13" s="1"/>
  <c r="K601" i="13"/>
  <c r="B601" i="13" s="1"/>
  <c r="K602" i="13"/>
  <c r="B602" i="13" s="1"/>
  <c r="K603" i="13"/>
  <c r="B603" i="13" s="1"/>
  <c r="K604" i="13"/>
  <c r="K605" i="13"/>
  <c r="B605" i="13" s="1"/>
  <c r="K606" i="13"/>
  <c r="B606" i="13" s="1"/>
  <c r="K607" i="13"/>
  <c r="B607" i="13" s="1"/>
  <c r="K608" i="13"/>
  <c r="B608" i="13" s="1"/>
  <c r="K609" i="13"/>
  <c r="B609" i="13" s="1"/>
  <c r="K610" i="13"/>
  <c r="B610" i="13" s="1"/>
  <c r="K611" i="13"/>
  <c r="B611" i="13" s="1"/>
  <c r="K612" i="13"/>
  <c r="B612" i="13" s="1"/>
  <c r="K613" i="13"/>
  <c r="B613" i="13" s="1"/>
  <c r="K614" i="13"/>
  <c r="A614" i="13" s="1"/>
  <c r="K615" i="13"/>
  <c r="B615" i="13" s="1"/>
  <c r="K616" i="13"/>
  <c r="B616" i="13" s="1"/>
  <c r="K617" i="13"/>
  <c r="A617" i="13" s="1"/>
  <c r="K618" i="13"/>
  <c r="B618" i="13" s="1"/>
  <c r="K619" i="13"/>
  <c r="A619" i="13" s="1"/>
  <c r="K620" i="13"/>
  <c r="B620" i="13" s="1"/>
  <c r="K621" i="13"/>
  <c r="B621" i="13" s="1"/>
  <c r="K622" i="13"/>
  <c r="A622" i="13" s="1"/>
  <c r="K623" i="13"/>
  <c r="K624" i="13"/>
  <c r="B624" i="13" s="1"/>
  <c r="K625" i="13"/>
  <c r="B625" i="13" s="1"/>
  <c r="K626" i="13"/>
  <c r="B626" i="13" s="1"/>
  <c r="K627" i="13"/>
  <c r="B627" i="13" s="1"/>
  <c r="K628" i="13"/>
  <c r="A628" i="13" s="1"/>
  <c r="K629" i="13"/>
  <c r="B629" i="13" s="1"/>
  <c r="K630" i="13"/>
  <c r="B630" i="13" s="1"/>
  <c r="K631" i="13"/>
  <c r="B631" i="13" s="1"/>
  <c r="K632" i="13"/>
  <c r="B632" i="13" s="1"/>
  <c r="K633" i="13"/>
  <c r="B633" i="13" s="1"/>
  <c r="K634" i="13"/>
  <c r="A634" i="13" s="1"/>
  <c r="K635" i="13"/>
  <c r="B635" i="13" s="1"/>
  <c r="K636" i="13"/>
  <c r="B636" i="13" s="1"/>
  <c r="K637" i="13"/>
  <c r="K638" i="13"/>
  <c r="B638" i="13" s="1"/>
  <c r="K639" i="13"/>
  <c r="B639" i="13" s="1"/>
  <c r="K640" i="13"/>
  <c r="B640" i="13" s="1"/>
  <c r="K641" i="13"/>
  <c r="A641" i="13" s="1"/>
  <c r="K642" i="13"/>
  <c r="B642" i="13" s="1"/>
  <c r="K643" i="13"/>
  <c r="A643" i="13" s="1"/>
  <c r="K644" i="13"/>
  <c r="K645" i="13"/>
  <c r="B645" i="13" s="1"/>
  <c r="K646" i="13"/>
  <c r="B646" i="13" s="1"/>
  <c r="K647" i="13"/>
  <c r="B647" i="13" s="1"/>
  <c r="K648" i="13"/>
  <c r="B648" i="13" s="1"/>
  <c r="K649" i="13"/>
  <c r="A649" i="13" s="1"/>
  <c r="K650" i="13"/>
  <c r="B650" i="13" s="1"/>
  <c r="K651" i="13"/>
  <c r="B651" i="13" s="1"/>
  <c r="K652" i="13"/>
  <c r="B652" i="13" s="1"/>
  <c r="K653" i="13"/>
  <c r="B653" i="13" s="1"/>
  <c r="K654" i="13"/>
  <c r="B654" i="13" s="1"/>
  <c r="K655" i="13"/>
  <c r="B655" i="13" s="1"/>
  <c r="K656" i="13"/>
  <c r="A656" i="13" s="1"/>
  <c r="K657" i="13"/>
  <c r="B657" i="13" s="1"/>
  <c r="K658" i="13"/>
  <c r="B658" i="13" s="1"/>
  <c r="K659" i="13"/>
  <c r="B659" i="13" s="1"/>
  <c r="K660" i="13"/>
  <c r="B660" i="13" s="1"/>
  <c r="K661" i="13"/>
  <c r="B661" i="13" s="1"/>
  <c r="K662" i="13"/>
  <c r="B662" i="13" s="1"/>
  <c r="K663" i="13"/>
  <c r="B663" i="13" s="1"/>
  <c r="K664" i="13"/>
  <c r="A664" i="13" s="1"/>
  <c r="K665" i="13"/>
  <c r="B665" i="13" s="1"/>
  <c r="K666" i="13"/>
  <c r="B666" i="13" s="1"/>
  <c r="K667" i="13"/>
  <c r="B667" i="13" s="1"/>
  <c r="K668" i="13"/>
  <c r="B668" i="13" s="1"/>
  <c r="K669" i="13"/>
  <c r="A669" i="13" s="1"/>
  <c r="K670" i="13"/>
  <c r="A670" i="13" s="1"/>
  <c r="AH164" i="18"/>
  <c r="AH160" i="18"/>
  <c r="AH156" i="18"/>
  <c r="AH152" i="18"/>
  <c r="AH148" i="18"/>
  <c r="AH144" i="18"/>
  <c r="AH140" i="18"/>
  <c r="AH136" i="18"/>
  <c r="AH132" i="18"/>
  <c r="B208" i="13" l="1"/>
  <c r="B381" i="13"/>
  <c r="B387" i="13"/>
  <c r="B580" i="13"/>
  <c r="B117" i="13"/>
  <c r="B5" i="13"/>
  <c r="B524" i="13"/>
  <c r="B89" i="13"/>
  <c r="B513" i="13"/>
  <c r="B359" i="13"/>
  <c r="B88" i="13"/>
  <c r="B510" i="13"/>
  <c r="B201" i="13"/>
  <c r="B61" i="13"/>
  <c r="B4" i="13"/>
  <c r="B300" i="13"/>
  <c r="B166" i="13"/>
  <c r="B468" i="13"/>
  <c r="B299" i="13"/>
  <c r="B165" i="13"/>
  <c r="B53" i="13"/>
  <c r="B432" i="13"/>
  <c r="B160" i="13"/>
  <c r="B426" i="13"/>
  <c r="B285" i="13"/>
  <c r="B34" i="13"/>
  <c r="B215" i="13"/>
  <c r="B622" i="13"/>
  <c r="B412" i="13"/>
  <c r="B257" i="13"/>
  <c r="B118" i="13"/>
  <c r="B19" i="13"/>
  <c r="B670" i="13"/>
  <c r="B334" i="13"/>
  <c r="B251" i="13"/>
  <c r="B292" i="13"/>
  <c r="B559" i="13"/>
  <c r="B405" i="13"/>
  <c r="B327" i="13"/>
  <c r="B236" i="13"/>
  <c r="B194" i="13"/>
  <c r="B149" i="13"/>
  <c r="B74" i="13"/>
  <c r="B619" i="13"/>
  <c r="B572" i="13"/>
  <c r="B466" i="13"/>
  <c r="B617" i="13"/>
  <c r="B465" i="13"/>
  <c r="B333" i="13"/>
  <c r="B195" i="13"/>
  <c r="B152" i="13"/>
  <c r="B614" i="13"/>
  <c r="B558" i="13"/>
  <c r="B502" i="13"/>
  <c r="B460" i="13"/>
  <c r="B404" i="13"/>
  <c r="B367" i="13"/>
  <c r="B193" i="13"/>
  <c r="B110" i="13"/>
  <c r="B376" i="13"/>
  <c r="B496" i="13"/>
  <c r="B363" i="13"/>
  <c r="B230" i="13"/>
  <c r="B27" i="13"/>
  <c r="B656" i="13"/>
  <c r="B447" i="13"/>
  <c r="B391" i="13"/>
  <c r="B362" i="13"/>
  <c r="B314" i="13"/>
  <c r="B272" i="13"/>
  <c r="B103" i="13"/>
  <c r="B26" i="13"/>
  <c r="B125" i="13"/>
  <c r="B538" i="13"/>
  <c r="B488" i="13"/>
  <c r="B390" i="13"/>
  <c r="B313" i="13"/>
  <c r="B180" i="13"/>
  <c r="B600" i="13"/>
  <c r="B537" i="13"/>
  <c r="B307" i="13"/>
  <c r="B264" i="13"/>
  <c r="B222" i="13"/>
  <c r="B177" i="13"/>
  <c r="B481" i="13"/>
  <c r="B306" i="13"/>
  <c r="B261" i="13"/>
  <c r="B221" i="13"/>
  <c r="B137" i="13"/>
  <c r="B95" i="13"/>
  <c r="B55" i="13"/>
  <c r="B517" i="13"/>
  <c r="B643" i="13"/>
  <c r="B583" i="13"/>
  <c r="B480" i="13"/>
  <c r="B433" i="13"/>
  <c r="B345" i="13"/>
  <c r="B216" i="13"/>
  <c r="B11" i="13"/>
  <c r="A332" i="13"/>
  <c r="B332" i="13"/>
  <c r="B121" i="13"/>
  <c r="A388" i="13"/>
  <c r="B388" i="13"/>
  <c r="B669" i="13"/>
  <c r="B389" i="13"/>
  <c r="A329" i="13"/>
  <c r="B329" i="13"/>
  <c r="A315" i="13"/>
  <c r="B315" i="13"/>
  <c r="A245" i="13"/>
  <c r="B245" i="13"/>
  <c r="A203" i="13"/>
  <c r="B203" i="13"/>
  <c r="A175" i="13"/>
  <c r="B175" i="13"/>
  <c r="A161" i="13"/>
  <c r="B161" i="13"/>
  <c r="B664" i="13"/>
  <c r="B578" i="13"/>
  <c r="B557" i="13"/>
  <c r="B411" i="13"/>
  <c r="B284" i="13"/>
  <c r="B256" i="13"/>
  <c r="B200" i="13"/>
  <c r="A556" i="13"/>
  <c r="B556" i="13"/>
  <c r="A514" i="13"/>
  <c r="B514" i="13"/>
  <c r="A595" i="13"/>
  <c r="B595" i="13"/>
  <c r="A567" i="13"/>
  <c r="B567" i="13"/>
  <c r="A553" i="13"/>
  <c r="B553" i="13"/>
  <c r="A539" i="13"/>
  <c r="B539" i="13"/>
  <c r="A525" i="13"/>
  <c r="B525" i="13"/>
  <c r="A511" i="13"/>
  <c r="B511" i="13"/>
  <c r="A483" i="13"/>
  <c r="B483" i="13"/>
  <c r="A441" i="13"/>
  <c r="B441" i="13"/>
  <c r="A427" i="13"/>
  <c r="B427" i="13"/>
  <c r="A371" i="13"/>
  <c r="B371" i="13"/>
  <c r="A343" i="13"/>
  <c r="B343" i="13"/>
  <c r="B577" i="13"/>
  <c r="B555" i="13"/>
  <c r="A458" i="13"/>
  <c r="B458" i="13"/>
  <c r="A430" i="13"/>
  <c r="B430" i="13"/>
  <c r="A234" i="13"/>
  <c r="B234" i="13"/>
  <c r="A31" i="13"/>
  <c r="B31" i="13"/>
  <c r="A241" i="13"/>
  <c r="B241" i="13"/>
  <c r="B593" i="13"/>
  <c r="B219" i="13"/>
  <c r="A254" i="13"/>
  <c r="B254" i="13"/>
  <c r="A29" i="13"/>
  <c r="B29" i="13"/>
  <c r="B452" i="13"/>
  <c r="B328" i="13"/>
  <c r="B132" i="13"/>
  <c r="B104" i="13"/>
  <c r="B20" i="13"/>
  <c r="A374" i="13"/>
  <c r="B374" i="13"/>
  <c r="A185" i="13"/>
  <c r="B185" i="13"/>
  <c r="B592" i="13"/>
  <c r="A309" i="13"/>
  <c r="B309" i="13"/>
  <c r="A267" i="13"/>
  <c r="B267" i="13"/>
  <c r="A140" i="13"/>
  <c r="B140" i="13"/>
  <c r="A30" i="13"/>
  <c r="B30" i="13"/>
  <c r="A240" i="13"/>
  <c r="B240" i="13"/>
  <c r="A366" i="13"/>
  <c r="B366" i="13"/>
  <c r="A14" i="13"/>
  <c r="B14" i="13"/>
  <c r="B499" i="13"/>
  <c r="A448" i="13"/>
  <c r="B448" i="13"/>
  <c r="A542" i="13"/>
  <c r="B542" i="13"/>
  <c r="A346" i="13"/>
  <c r="B346" i="13"/>
  <c r="B641" i="13"/>
  <c r="B163" i="13"/>
  <c r="B23" i="13"/>
  <c r="A170" i="13"/>
  <c r="B170" i="13"/>
  <c r="A43" i="13"/>
  <c r="B43" i="13"/>
  <c r="A604" i="13"/>
  <c r="B604" i="13"/>
  <c r="A450" i="13"/>
  <c r="B450" i="13"/>
  <c r="A436" i="13"/>
  <c r="B436" i="13"/>
  <c r="A422" i="13"/>
  <c r="B422" i="13"/>
  <c r="A352" i="13"/>
  <c r="B352" i="13"/>
  <c r="A239" i="13"/>
  <c r="B239" i="13"/>
  <c r="A155" i="13"/>
  <c r="B155" i="13"/>
  <c r="A98" i="13"/>
  <c r="B98" i="13"/>
  <c r="B451" i="13"/>
  <c r="A463" i="13"/>
  <c r="B463" i="13"/>
  <c r="A449" i="13"/>
  <c r="B449" i="13"/>
  <c r="A435" i="13"/>
  <c r="B435" i="13"/>
  <c r="A421" i="13"/>
  <c r="B421" i="13"/>
  <c r="A407" i="13"/>
  <c r="B407" i="13"/>
  <c r="A393" i="13"/>
  <c r="B393" i="13"/>
  <c r="A351" i="13"/>
  <c r="B351" i="13"/>
  <c r="A266" i="13"/>
  <c r="B266" i="13"/>
  <c r="A238" i="13"/>
  <c r="B238" i="13"/>
  <c r="B375" i="13"/>
  <c r="B326" i="13"/>
  <c r="B270" i="13"/>
  <c r="B158" i="13"/>
  <c r="A588" i="13"/>
  <c r="B588" i="13"/>
  <c r="A574" i="13"/>
  <c r="B574" i="13"/>
  <c r="A420" i="13"/>
  <c r="B420" i="13"/>
  <c r="A406" i="13"/>
  <c r="B406" i="13"/>
  <c r="A336" i="13"/>
  <c r="B336" i="13"/>
  <c r="B544" i="13"/>
  <c r="B495" i="13"/>
  <c r="B348" i="13"/>
  <c r="B321" i="13"/>
  <c r="B237" i="13"/>
  <c r="B209" i="13"/>
  <c r="B181" i="13"/>
  <c r="B586" i="13"/>
  <c r="B445" i="13"/>
  <c r="B396" i="13"/>
  <c r="B347" i="13"/>
  <c r="B96" i="13"/>
  <c r="B68" i="13"/>
  <c r="B40" i="13"/>
  <c r="A178" i="13"/>
  <c r="B178" i="13"/>
  <c r="A164" i="13"/>
  <c r="B164" i="13"/>
  <c r="A570" i="13"/>
  <c r="B570" i="13"/>
  <c r="A360" i="13"/>
  <c r="B360" i="13"/>
  <c r="A637" i="13"/>
  <c r="B637" i="13"/>
  <c r="A623" i="13"/>
  <c r="B623" i="13"/>
  <c r="B552" i="13"/>
  <c r="A101" i="13"/>
  <c r="B101" i="13"/>
  <c r="A87" i="13"/>
  <c r="B87" i="13"/>
  <c r="A73" i="13"/>
  <c r="B73" i="13"/>
  <c r="A59" i="13"/>
  <c r="B59" i="13"/>
  <c r="A45" i="13"/>
  <c r="B45" i="13"/>
  <c r="A269" i="13"/>
  <c r="B269" i="13"/>
  <c r="A255" i="13"/>
  <c r="B255" i="13"/>
  <c r="A58" i="13"/>
  <c r="B58" i="13"/>
  <c r="A44" i="13"/>
  <c r="B44" i="13"/>
  <c r="B453" i="13"/>
  <c r="A156" i="13"/>
  <c r="B156" i="13"/>
  <c r="A464" i="13"/>
  <c r="B464" i="13"/>
  <c r="A408" i="13"/>
  <c r="B408" i="13"/>
  <c r="A225" i="13"/>
  <c r="B225" i="13"/>
  <c r="A211" i="13"/>
  <c r="B211" i="13"/>
  <c r="A197" i="13"/>
  <c r="B197" i="13"/>
  <c r="A56" i="13"/>
  <c r="B56" i="13"/>
  <c r="A28" i="13"/>
  <c r="B28" i="13"/>
  <c r="B634" i="13"/>
  <c r="A533" i="13"/>
  <c r="B533" i="13"/>
  <c r="A224" i="13"/>
  <c r="B224" i="13"/>
  <c r="B522" i="13"/>
  <c r="B298" i="13"/>
  <c r="B242" i="13"/>
  <c r="A644" i="13"/>
  <c r="B644" i="13"/>
  <c r="A122" i="13"/>
  <c r="B122" i="13"/>
  <c r="B649" i="13"/>
  <c r="B628" i="13"/>
  <c r="B467" i="13"/>
  <c r="B443" i="13"/>
  <c r="B418" i="13"/>
  <c r="B369" i="13"/>
  <c r="B207" i="13"/>
  <c r="B179" i="13"/>
  <c r="B151" i="13"/>
  <c r="B210" i="13"/>
  <c r="B196" i="13"/>
  <c r="B13" i="13"/>
  <c r="B7" i="13"/>
  <c r="B133" i="13"/>
  <c r="B119" i="13"/>
  <c r="B49" i="13"/>
  <c r="B12" i="13"/>
  <c r="A291" i="13"/>
  <c r="A283" i="13"/>
  <c r="A9" i="13"/>
  <c r="A479" i="13"/>
  <c r="A188" i="13"/>
  <c r="A135" i="13"/>
  <c r="A47" i="13"/>
  <c r="A632" i="13"/>
  <c r="A616" i="13"/>
  <c r="A187" i="13"/>
  <c r="A548" i="13"/>
  <c r="A403" i="13"/>
  <c r="A243" i="13"/>
  <c r="A136" i="13"/>
  <c r="A661" i="13"/>
  <c r="A547" i="13"/>
  <c r="A380" i="13"/>
  <c r="A235" i="13"/>
  <c r="A659" i="13"/>
  <c r="A546" i="13"/>
  <c r="A377" i="13"/>
  <c r="A227" i="13"/>
  <c r="A107" i="13"/>
  <c r="A651" i="13"/>
  <c r="A535" i="13"/>
  <c r="A365" i="13"/>
  <c r="A223" i="13"/>
  <c r="A80" i="13"/>
  <c r="A650" i="13"/>
  <c r="A532" i="13"/>
  <c r="A361" i="13"/>
  <c r="A212" i="13"/>
  <c r="A72" i="13"/>
  <c r="A647" i="13"/>
  <c r="A493" i="13"/>
  <c r="A206" i="13"/>
  <c r="A71" i="13"/>
  <c r="A46" i="13"/>
  <c r="A646" i="13"/>
  <c r="A491" i="13"/>
  <c r="A323" i="13"/>
  <c r="A192" i="13"/>
  <c r="A66" i="13"/>
  <c r="A615" i="13"/>
  <c r="A476" i="13"/>
  <c r="A282" i="13"/>
  <c r="A169" i="13"/>
  <c r="A39" i="13"/>
  <c r="A613" i="13"/>
  <c r="A434" i="13"/>
  <c r="A265" i="13"/>
  <c r="A38" i="13"/>
  <c r="A605" i="13"/>
  <c r="A262" i="13"/>
  <c r="A147" i="13"/>
  <c r="A16" i="13"/>
  <c r="A482" i="13"/>
  <c r="A602" i="13"/>
  <c r="A423" i="13"/>
  <c r="A249" i="13"/>
  <c r="A145" i="13"/>
  <c r="A10" i="13"/>
  <c r="A549" i="13"/>
  <c r="A417" i="13"/>
  <c r="A244" i="13"/>
  <c r="A144" i="13"/>
  <c r="A92" i="13"/>
  <c r="A50" i="13"/>
  <c r="A91" i="13"/>
  <c r="A78" i="13"/>
  <c r="A601" i="13"/>
  <c r="A280" i="13"/>
  <c r="A35" i="13"/>
  <c r="A645" i="13"/>
  <c r="A599" i="13"/>
  <c r="A531" i="13"/>
  <c r="A473" i="13"/>
  <c r="A402" i="13"/>
  <c r="A277" i="13"/>
  <c r="A226" i="13"/>
  <c r="A69" i="13"/>
  <c r="A33" i="13"/>
  <c r="A191" i="13"/>
  <c r="A289" i="13"/>
  <c r="A475" i="13"/>
  <c r="A173" i="13"/>
  <c r="A130" i="13"/>
  <c r="A598" i="13"/>
  <c r="A529" i="13"/>
  <c r="A472" i="13"/>
  <c r="A399" i="13"/>
  <c r="A271" i="13"/>
  <c r="A168" i="13"/>
  <c r="A116" i="13"/>
  <c r="A32" i="13"/>
  <c r="A636" i="13"/>
  <c r="A590" i="13"/>
  <c r="A528" i="13"/>
  <c r="A462" i="13"/>
  <c r="A398" i="13"/>
  <c r="A268" i="13"/>
  <c r="A167" i="13"/>
  <c r="A112" i="13"/>
  <c r="A65" i="13"/>
  <c r="A24" i="13"/>
  <c r="A589" i="13"/>
  <c r="A519" i="13"/>
  <c r="A461" i="13"/>
  <c r="A385" i="13"/>
  <c r="A111" i="13"/>
  <c r="A60" i="13"/>
  <c r="A357" i="13"/>
  <c r="A416" i="13"/>
  <c r="A356" i="13"/>
  <c r="A174" i="13"/>
  <c r="A631" i="13"/>
  <c r="A585" i="13"/>
  <c r="A518" i="13"/>
  <c r="A455" i="13"/>
  <c r="A384" i="13"/>
  <c r="A322" i="13"/>
  <c r="A263" i="13"/>
  <c r="A108" i="13"/>
  <c r="A57" i="13"/>
  <c r="A15" i="13"/>
  <c r="A630" i="13"/>
  <c r="A584" i="13"/>
  <c r="A454" i="13"/>
  <c r="A319" i="13"/>
  <c r="A154" i="13"/>
  <c r="A303" i="13"/>
  <c r="A665" i="13"/>
  <c r="A629" i="13"/>
  <c r="A573" i="13"/>
  <c r="A500" i="13"/>
  <c r="A438" i="13"/>
  <c r="A379" i="13"/>
  <c r="A318" i="13"/>
  <c r="A205" i="13"/>
  <c r="A102" i="13"/>
  <c r="A52" i="13"/>
  <c r="A246" i="13"/>
  <c r="A662" i="13"/>
  <c r="A571" i="13"/>
  <c r="A494" i="13"/>
  <c r="A437" i="13"/>
  <c r="A378" i="13"/>
  <c r="A308" i="13"/>
  <c r="A202" i="13"/>
  <c r="A150" i="13"/>
  <c r="A97" i="13"/>
  <c r="A51" i="13"/>
  <c r="A344" i="13"/>
  <c r="A635" i="13"/>
  <c r="A620" i="13"/>
  <c r="A288" i="13"/>
  <c r="A231" i="13"/>
  <c r="A115" i="13"/>
  <c r="A594" i="13"/>
  <c r="A566" i="13"/>
  <c r="A663" i="13"/>
  <c r="A648" i="13"/>
  <c r="A633" i="13"/>
  <c r="A618" i="13"/>
  <c r="A603" i="13"/>
  <c r="A587" i="13"/>
  <c r="A569" i="13"/>
  <c r="A550" i="13"/>
  <c r="A515" i="13"/>
  <c r="A497" i="13"/>
  <c r="A477" i="13"/>
  <c r="A439" i="13"/>
  <c r="A419" i="13"/>
  <c r="A400" i="13"/>
  <c r="A382" i="13"/>
  <c r="A342" i="13"/>
  <c r="A324" i="13"/>
  <c r="A304" i="13"/>
  <c r="A286" i="13"/>
  <c r="A247" i="13"/>
  <c r="A228" i="13"/>
  <c r="A189" i="13"/>
  <c r="A171" i="13"/>
  <c r="A131" i="13"/>
  <c r="A113" i="13"/>
  <c r="A93" i="13"/>
  <c r="A75" i="13"/>
  <c r="A36" i="13"/>
  <c r="A17" i="13"/>
  <c r="A568" i="13"/>
  <c r="A660" i="13"/>
  <c r="A564" i="13"/>
  <c r="A512" i="13"/>
  <c r="A492" i="13"/>
  <c r="A415" i="13"/>
  <c r="A397" i="13"/>
  <c r="A339" i="13"/>
  <c r="A301" i="13"/>
  <c r="A281" i="13"/>
  <c r="A204" i="13"/>
  <c r="A186" i="13"/>
  <c r="A146" i="13"/>
  <c r="A128" i="13"/>
  <c r="A90" i="13"/>
  <c r="A70" i="13"/>
  <c r="A658" i="13"/>
  <c r="A627" i="13"/>
  <c r="A612" i="13"/>
  <c r="A597" i="13"/>
  <c r="A579" i="13"/>
  <c r="A562" i="13"/>
  <c r="A545" i="13"/>
  <c r="A527" i="13"/>
  <c r="A508" i="13"/>
  <c r="A490" i="13"/>
  <c r="A470" i="13"/>
  <c r="A431" i="13"/>
  <c r="A413" i="13"/>
  <c r="A394" i="13"/>
  <c r="A373" i="13"/>
  <c r="A355" i="13"/>
  <c r="A337" i="13"/>
  <c r="A317" i="13"/>
  <c r="A297" i="13"/>
  <c r="A279" i="13"/>
  <c r="A259" i="13"/>
  <c r="A220" i="13"/>
  <c r="A183" i="13"/>
  <c r="A162" i="13"/>
  <c r="A126" i="13"/>
  <c r="A106" i="13"/>
  <c r="A86" i="13"/>
  <c r="A67" i="13"/>
  <c r="A48" i="13"/>
  <c r="A457" i="13"/>
  <c r="A341" i="13"/>
  <c r="A340" i="13"/>
  <c r="A129" i="13"/>
  <c r="A509" i="13"/>
  <c r="A138" i="13"/>
  <c r="A124" i="13"/>
  <c r="A82" i="13"/>
  <c r="A54" i="13"/>
  <c r="A657" i="13"/>
  <c r="A626" i="13"/>
  <c r="A611" i="13"/>
  <c r="A596" i="13"/>
  <c r="A561" i="13"/>
  <c r="A543" i="13"/>
  <c r="A526" i="13"/>
  <c r="A507" i="13"/>
  <c r="A489" i="13"/>
  <c r="A469" i="13"/>
  <c r="A372" i="13"/>
  <c r="A354" i="13"/>
  <c r="A335" i="13"/>
  <c r="A316" i="13"/>
  <c r="A296" i="13"/>
  <c r="A258" i="13"/>
  <c r="A182" i="13"/>
  <c r="A143" i="13"/>
  <c r="A123" i="13"/>
  <c r="A105" i="13"/>
  <c r="A85" i="13"/>
  <c r="A8" i="13"/>
  <c r="A302" i="13"/>
  <c r="A127" i="13"/>
  <c r="A320" i="13"/>
  <c r="A278" i="13"/>
  <c r="A250" i="13"/>
  <c r="A109" i="13"/>
  <c r="A655" i="13"/>
  <c r="A640" i="13"/>
  <c r="A625" i="13"/>
  <c r="A610" i="13"/>
  <c r="A560" i="13"/>
  <c r="A523" i="13"/>
  <c r="A506" i="13"/>
  <c r="A487" i="13"/>
  <c r="A429" i="13"/>
  <c r="A410" i="13"/>
  <c r="A392" i="13"/>
  <c r="A353" i="13"/>
  <c r="A295" i="13"/>
  <c r="A276" i="13"/>
  <c r="A218" i="13"/>
  <c r="A199" i="13"/>
  <c r="A142" i="13"/>
  <c r="A84" i="13"/>
  <c r="A25" i="13"/>
  <c r="A565" i="13"/>
  <c r="A582" i="13"/>
  <c r="A563" i="13"/>
  <c r="A338" i="13"/>
  <c r="A642" i="13"/>
  <c r="A530" i="13"/>
  <c r="A516" i="13"/>
  <c r="A474" i="13"/>
  <c r="A446" i="13"/>
  <c r="A654" i="13"/>
  <c r="A639" i="13"/>
  <c r="A624" i="13"/>
  <c r="A609" i="13"/>
  <c r="A576" i="13"/>
  <c r="A541" i="13"/>
  <c r="A505" i="13"/>
  <c r="A485" i="13"/>
  <c r="A428" i="13"/>
  <c r="A409" i="13"/>
  <c r="A370" i="13"/>
  <c r="A312" i="13"/>
  <c r="A294" i="13"/>
  <c r="A274" i="13"/>
  <c r="A217" i="13"/>
  <c r="A198" i="13"/>
  <c r="A159" i="13"/>
  <c r="A141" i="13"/>
  <c r="A83" i="13"/>
  <c r="A63" i="13"/>
  <c r="A6" i="13"/>
  <c r="A358" i="13"/>
  <c r="A414" i="13"/>
  <c r="A395" i="13"/>
  <c r="A501" i="13"/>
  <c r="A290" i="13"/>
  <c r="A79" i="13"/>
  <c r="A668" i="13"/>
  <c r="A653" i="13"/>
  <c r="A638" i="13"/>
  <c r="A608" i="13"/>
  <c r="A575" i="13"/>
  <c r="A540" i="13"/>
  <c r="A521" i="13"/>
  <c r="A504" i="13"/>
  <c r="A484" i="13"/>
  <c r="A350" i="13"/>
  <c r="A331" i="13"/>
  <c r="A311" i="13"/>
  <c r="A293" i="13"/>
  <c r="A273" i="13"/>
  <c r="A253" i="13"/>
  <c r="A176" i="13"/>
  <c r="A139" i="13"/>
  <c r="A120" i="13"/>
  <c r="A100" i="13"/>
  <c r="A81" i="13"/>
  <c r="A62" i="13"/>
  <c r="A42" i="13"/>
  <c r="A184" i="13"/>
  <c r="A486" i="13"/>
  <c r="A275" i="13"/>
  <c r="A134" i="13"/>
  <c r="A64" i="13"/>
  <c r="A667" i="13"/>
  <c r="A652" i="13"/>
  <c r="A607" i="13"/>
  <c r="A591" i="13"/>
  <c r="A520" i="13"/>
  <c r="A503" i="13"/>
  <c r="A444" i="13"/>
  <c r="A425" i="13"/>
  <c r="A386" i="13"/>
  <c r="A368" i="13"/>
  <c r="A349" i="13"/>
  <c r="A310" i="13"/>
  <c r="A252" i="13"/>
  <c r="A233" i="13"/>
  <c r="A214" i="13"/>
  <c r="A157" i="13"/>
  <c r="A99" i="13"/>
  <c r="A41" i="13"/>
  <c r="A22" i="13"/>
  <c r="A3" i="13"/>
  <c r="A471" i="13"/>
  <c r="A330" i="13"/>
  <c r="A260" i="13"/>
  <c r="A148" i="13"/>
  <c r="A666" i="13"/>
  <c r="A621" i="13"/>
  <c r="A606" i="13"/>
  <c r="A536" i="13"/>
  <c r="A424" i="13"/>
  <c r="A232" i="13"/>
  <c r="A213" i="13"/>
  <c r="A21" i="13"/>
  <c r="A456" i="13"/>
  <c r="A554" i="13"/>
  <c r="A442" i="13"/>
  <c r="A77" i="13"/>
  <c r="A581" i="13"/>
  <c r="A551" i="13"/>
  <c r="A534" i="13"/>
  <c r="A498" i="13"/>
  <c r="A478" i="13"/>
  <c r="A459" i="13"/>
  <c r="A440" i="13"/>
  <c r="A401" i="13"/>
  <c r="A383" i="13"/>
  <c r="A364" i="13"/>
  <c r="A325" i="13"/>
  <c r="A287" i="13"/>
  <c r="A248" i="13"/>
  <c r="A229" i="13"/>
  <c r="A190" i="13"/>
  <c r="A172" i="13"/>
  <c r="A153" i="13"/>
  <c r="A114" i="13"/>
  <c r="A76" i="13"/>
  <c r="A37" i="13"/>
  <c r="A18" i="13"/>
  <c r="A305" i="13"/>
  <c r="A94" i="13"/>
  <c r="O204" i="18" l="1"/>
  <c r="O206" i="18" s="1"/>
  <c r="L200" i="18"/>
  <c r="L202" i="18" s="1"/>
  <c r="M200" i="18"/>
  <c r="M201" i="18" s="1"/>
  <c r="X196" i="18"/>
  <c r="X197" i="18" s="1"/>
  <c r="L196" i="18"/>
  <c r="L198" i="18" s="1"/>
  <c r="AJ89" i="18"/>
  <c r="AQ128" i="18"/>
  <c r="AQ130" i="18" s="1"/>
  <c r="O200" i="18"/>
  <c r="O201" i="18" s="1"/>
  <c r="AJ147" i="18"/>
  <c r="AI147" i="18" s="1"/>
  <c r="M196" i="18"/>
  <c r="M197" i="18" s="1"/>
  <c r="AE37" i="18"/>
  <c r="AD85" i="18"/>
  <c r="AE51" i="18"/>
  <c r="Z196" i="18"/>
  <c r="Z198" i="18" s="1"/>
  <c r="AL87" i="18"/>
  <c r="AD33" i="18"/>
  <c r="AL85" i="18"/>
  <c r="AF133" i="18"/>
  <c r="AJ77" i="18"/>
  <c r="AG153" i="18"/>
  <c r="AL29" i="18"/>
  <c r="AF141" i="18"/>
  <c r="S200" i="18"/>
  <c r="S201" i="18" s="1"/>
  <c r="AK43" i="18"/>
  <c r="AQ12" i="18"/>
  <c r="AQ13" i="18" s="1"/>
  <c r="AG150" i="18"/>
  <c r="AE83" i="18"/>
  <c r="AO196" i="18"/>
  <c r="AO197" i="18" s="1"/>
  <c r="AJ146" i="18"/>
  <c r="AI146" i="18" s="1"/>
  <c r="AF57" i="18"/>
  <c r="AG130" i="18"/>
  <c r="AL91" i="18"/>
  <c r="P120" i="18"/>
  <c r="P122" i="18" s="1"/>
  <c r="H8" i="18"/>
  <c r="H10" i="18" s="1"/>
  <c r="AJ45" i="18"/>
  <c r="AF73" i="18"/>
  <c r="AW72" i="18"/>
  <c r="AW73" i="18" s="1"/>
  <c r="AF81" i="18"/>
  <c r="AL41" i="18"/>
  <c r="O196" i="18"/>
  <c r="O198" i="18" s="1"/>
  <c r="AF145" i="18"/>
  <c r="AG162" i="18"/>
  <c r="AF157" i="18"/>
  <c r="AJ158" i="18"/>
  <c r="AI158" i="18" s="1"/>
  <c r="AG137" i="18"/>
  <c r="BC200" i="18"/>
  <c r="BC201" i="18" s="1"/>
  <c r="BB128" i="18"/>
  <c r="BB130" i="18" s="1"/>
  <c r="AS128" i="18"/>
  <c r="AS130" i="18" s="1"/>
  <c r="H12" i="18"/>
  <c r="H13" i="18" s="1"/>
  <c r="AO128" i="18"/>
  <c r="AO129" i="18" s="1"/>
  <c r="AF167" i="18"/>
  <c r="AE53" i="18"/>
  <c r="AK87" i="18"/>
  <c r="AL83" i="18"/>
  <c r="AE41" i="18"/>
  <c r="AL27" i="18"/>
  <c r="AF89" i="18"/>
  <c r="AD77" i="18"/>
  <c r="AE47" i="18"/>
  <c r="AK81" i="18"/>
  <c r="AE69" i="18"/>
  <c r="AF91" i="18"/>
  <c r="AD79" i="18"/>
  <c r="AJ63" i="18"/>
  <c r="AG141" i="18"/>
  <c r="AL61" i="18"/>
  <c r="AD35" i="18"/>
  <c r="AF153" i="18"/>
  <c r="V72" i="18"/>
  <c r="V74" i="18" s="1"/>
  <c r="AE29" i="18"/>
  <c r="AG139" i="18"/>
  <c r="AS168" i="18"/>
  <c r="AS169" i="18" s="1"/>
  <c r="AJ31" i="18"/>
  <c r="AF39" i="18"/>
  <c r="AJ49" i="18"/>
  <c r="AS196" i="18"/>
  <c r="AS198" i="18" s="1"/>
  <c r="AL79" i="18"/>
  <c r="AE33" i="18"/>
  <c r="AJ65" i="18"/>
  <c r="AJ163" i="18"/>
  <c r="AI163" i="18" s="1"/>
  <c r="AJ131" i="18"/>
  <c r="AI131" i="18" s="1"/>
  <c r="AD73" i="18"/>
  <c r="AG133" i="18"/>
  <c r="AU168" i="18"/>
  <c r="AU170" i="18" s="1"/>
  <c r="AJ35" i="18"/>
  <c r="AK33" i="18"/>
  <c r="AJ27" i="18"/>
  <c r="AK59" i="18"/>
  <c r="AG154" i="18"/>
  <c r="H16" i="18"/>
  <c r="H17" i="18" s="1"/>
  <c r="AD45" i="18"/>
  <c r="AD63" i="18"/>
  <c r="AK41" i="18"/>
  <c r="AE39" i="18"/>
  <c r="AG142" i="18"/>
  <c r="AG167" i="18"/>
  <c r="AJ142" i="18"/>
  <c r="AI142" i="18" s="1"/>
  <c r="Q200" i="18"/>
  <c r="Q202" i="18" s="1"/>
  <c r="AD49" i="18"/>
  <c r="AL39" i="18"/>
  <c r="AL35" i="18"/>
  <c r="AE67" i="18"/>
  <c r="AL53" i="18"/>
  <c r="AJ41" i="18"/>
  <c r="AD47" i="18"/>
  <c r="AF47" i="18"/>
  <c r="AJ73" i="18"/>
  <c r="AL55" i="18"/>
  <c r="AJ43" i="18"/>
  <c r="AD53" i="18"/>
  <c r="AF83" i="18"/>
  <c r="AL81" i="18"/>
  <c r="BA72" i="18"/>
  <c r="BA73" i="18" s="1"/>
  <c r="AE27" i="18"/>
  <c r="AD91" i="18"/>
  <c r="AJ151" i="18"/>
  <c r="AI151" i="18" s="1"/>
  <c r="X164" i="18"/>
  <c r="X166" i="18" s="1"/>
  <c r="AF41" i="18"/>
  <c r="AD39" i="18"/>
  <c r="AF158" i="18"/>
  <c r="AL57" i="18"/>
  <c r="AF43" i="18"/>
  <c r="AG138" i="18"/>
  <c r="AJ134" i="18"/>
  <c r="AI134" i="18" s="1"/>
  <c r="AJ165" i="18"/>
  <c r="AI165" i="18" s="1"/>
  <c r="P204" i="18"/>
  <c r="P206" i="18" s="1"/>
  <c r="AK31" i="18"/>
  <c r="AF37" i="18"/>
  <c r="AK47" i="18"/>
  <c r="AJ155" i="18"/>
  <c r="AI155" i="18" s="1"/>
  <c r="AG163" i="18"/>
  <c r="AF165" i="18"/>
  <c r="AY196" i="18"/>
  <c r="AY197" i="18" s="1"/>
  <c r="AR168" i="18"/>
  <c r="AR169" i="18" s="1"/>
  <c r="AX128" i="18"/>
  <c r="AX130" i="18" s="1"/>
  <c r="BB168" i="18"/>
  <c r="BB169" i="18" s="1"/>
  <c r="P200" i="18"/>
  <c r="P202" i="18" s="1"/>
  <c r="S196" i="18"/>
  <c r="S197" i="18" s="1"/>
  <c r="AO72" i="18"/>
  <c r="AP72" i="18" s="1"/>
  <c r="AQ72" i="18" s="1"/>
  <c r="AF53" i="18"/>
  <c r="AE45" i="18"/>
  <c r="AD41" i="18"/>
  <c r="AJ71" i="18"/>
  <c r="AD59" i="18"/>
  <c r="AL45" i="18"/>
  <c r="AD51" i="18"/>
  <c r="AF51" i="18"/>
  <c r="AK77" i="18"/>
  <c r="AL59" i="18"/>
  <c r="AJ47" i="18"/>
  <c r="AE61" i="18"/>
  <c r="AJ83" i="18"/>
  <c r="AQ16" i="18"/>
  <c r="AQ18" i="18" s="1"/>
  <c r="N120" i="18"/>
  <c r="N122" i="18" s="1"/>
  <c r="AE57" i="18"/>
  <c r="AF150" i="18"/>
  <c r="AD29" i="18"/>
  <c r="AF137" i="18"/>
  <c r="AG129" i="18"/>
  <c r="AK37" i="18"/>
  <c r="AF154" i="18"/>
  <c r="P16" i="18"/>
  <c r="P17" i="18" s="1"/>
  <c r="T164" i="18"/>
  <c r="T165" i="18" s="1"/>
  <c r="AK49" i="18"/>
  <c r="AL63" i="18"/>
  <c r="AJ161" i="18"/>
  <c r="AI161" i="18" s="1"/>
  <c r="AF138" i="18"/>
  <c r="AS200" i="18"/>
  <c r="AS202" i="18" s="1"/>
  <c r="AG166" i="18"/>
  <c r="AG157" i="18"/>
  <c r="AF162" i="18"/>
  <c r="AP168" i="18"/>
  <c r="AP169" i="18" s="1"/>
  <c r="S204" i="18"/>
  <c r="S205" i="18" s="1"/>
  <c r="AJ61" i="18"/>
  <c r="AL49" i="18"/>
  <c r="AF149" i="18"/>
  <c r="AK57" i="18"/>
  <c r="AF87" i="18"/>
  <c r="AG151" i="18"/>
  <c r="Y72" i="18"/>
  <c r="Y73" i="18" s="1"/>
  <c r="AD67" i="18"/>
  <c r="AJ51" i="18"/>
  <c r="AJ133" i="18"/>
  <c r="AI133" i="18" s="1"/>
  <c r="AY128" i="18"/>
  <c r="AY130" i="18" s="1"/>
  <c r="AV200" i="18"/>
  <c r="AV202" i="18" s="1"/>
  <c r="AK39" i="18"/>
  <c r="AF33" i="18"/>
  <c r="AE35" i="18"/>
  <c r="AF142" i="18"/>
  <c r="AJ138" i="18"/>
  <c r="AI138" i="18" s="1"/>
  <c r="BC196" i="18"/>
  <c r="BC197" i="18" s="1"/>
  <c r="V164" i="18"/>
  <c r="V165" i="18" s="1"/>
  <c r="AK35" i="18"/>
  <c r="AD43" i="18"/>
  <c r="AK51" i="18"/>
  <c r="AF77" i="18"/>
  <c r="AJ91" i="18"/>
  <c r="AL67" i="18"/>
  <c r="AL69" i="18"/>
  <c r="AF71" i="18"/>
  <c r="AE73" i="18"/>
  <c r="AD75" i="18"/>
  <c r="AJ75" i="18"/>
  <c r="AE91" i="18"/>
  <c r="AE79" i="18"/>
  <c r="AK85" i="18"/>
  <c r="AJ87" i="18"/>
  <c r="AD89" i="18"/>
  <c r="AK89" i="18"/>
  <c r="AL89" i="18"/>
  <c r="AG145" i="18"/>
  <c r="AG165" i="18"/>
  <c r="AF147" i="18"/>
  <c r="AR196" i="18"/>
  <c r="AR198" i="18" s="1"/>
  <c r="P196" i="18"/>
  <c r="P197" i="18" s="1"/>
  <c r="AF135" i="18"/>
  <c r="AY16" i="18"/>
  <c r="AY17" i="18" s="1"/>
  <c r="AJ153" i="18"/>
  <c r="AI153" i="18" s="1"/>
  <c r="AG143" i="18"/>
  <c r="AO8" i="18"/>
  <c r="AO9" i="18" s="1"/>
  <c r="BA200" i="18"/>
  <c r="BA201" i="18" s="1"/>
  <c r="AS72" i="18"/>
  <c r="AS73" i="18" s="1"/>
  <c r="AX196" i="18"/>
  <c r="AX198" i="18" s="1"/>
  <c r="V120" i="18"/>
  <c r="V122" i="18" s="1"/>
  <c r="N164" i="18"/>
  <c r="N165" i="18" s="1"/>
  <c r="AF166" i="18"/>
  <c r="AE49" i="18"/>
  <c r="AF45" i="18"/>
  <c r="AK75" i="18"/>
  <c r="AE63" i="18"/>
  <c r="AE55" i="18"/>
  <c r="AJ55" i="18"/>
  <c r="AD87" i="18"/>
  <c r="AD65" i="18"/>
  <c r="AL51" i="18"/>
  <c r="AF65" i="18"/>
  <c r="AG155" i="18"/>
  <c r="AJ166" i="18"/>
  <c r="AI166" i="18" s="1"/>
  <c r="AF155" i="18"/>
  <c r="AJ137" i="18"/>
  <c r="AI137" i="18" s="1"/>
  <c r="AF146" i="18"/>
  <c r="AX168" i="18"/>
  <c r="AX169" i="18" s="1"/>
  <c r="AF131" i="18"/>
  <c r="Y12" i="18"/>
  <c r="Y14" i="18" s="1"/>
  <c r="AJ139" i="18"/>
  <c r="AI139" i="18" s="1"/>
  <c r="AP196" i="18"/>
  <c r="AP197" i="18" s="1"/>
  <c r="V196" i="18"/>
  <c r="V197" i="18" s="1"/>
  <c r="U200" i="18"/>
  <c r="U202" i="18" s="1"/>
  <c r="AR72" i="18"/>
  <c r="AR74" i="18" s="1"/>
  <c r="AK65" i="18"/>
  <c r="AJ57" i="18"/>
  <c r="AF49" i="18"/>
  <c r="AD81" i="18"/>
  <c r="AF67" i="18"/>
  <c r="AD55" i="18"/>
  <c r="AF59" i="18"/>
  <c r="AJ59" i="18"/>
  <c r="AK29" i="18"/>
  <c r="AF69" i="18"/>
  <c r="AD57" i="18"/>
  <c r="AK69" i="18"/>
  <c r="AE75" i="18"/>
  <c r="AG135" i="18"/>
  <c r="Z164" i="18"/>
  <c r="Z165" i="18" s="1"/>
  <c r="AF55" i="18"/>
  <c r="H72" i="18"/>
  <c r="H73" i="18" s="1"/>
  <c r="AK53" i="18"/>
  <c r="AF35" i="18"/>
  <c r="AR200" i="18"/>
  <c r="AR202" i="18" s="1"/>
  <c r="Y120" i="18"/>
  <c r="Y122" i="18" s="1"/>
  <c r="AK45" i="18"/>
  <c r="AJ81" i="18"/>
  <c r="AJ130" i="18"/>
  <c r="AI130" i="18" s="1"/>
  <c r="AF159" i="18"/>
  <c r="AG158" i="18"/>
  <c r="AF139" i="18"/>
  <c r="AG131" i="18"/>
  <c r="AF130" i="18"/>
  <c r="AO16" i="18"/>
  <c r="AO18" i="18" s="1"/>
  <c r="AV128" i="18"/>
  <c r="AV130" i="18" s="1"/>
  <c r="AP200" i="18"/>
  <c r="AP202" i="18" s="1"/>
  <c r="O72" i="18"/>
  <c r="O74" i="18" s="1"/>
  <c r="S120" i="18"/>
  <c r="S121" i="18" s="1"/>
  <c r="Q164" i="18"/>
  <c r="Q166" i="18" s="1"/>
  <c r="Q196" i="18"/>
  <c r="Q198" i="18" s="1"/>
  <c r="AF31" i="18"/>
  <c r="AD71" i="18"/>
  <c r="AK61" i="18"/>
  <c r="AJ53" i="18"/>
  <c r="AE85" i="18"/>
  <c r="AK71" i="18"/>
  <c r="AE59" i="18"/>
  <c r="AF29" i="18"/>
  <c r="AK63" i="18"/>
  <c r="AL33" i="18"/>
  <c r="AK73" i="18"/>
  <c r="AD61" i="18"/>
  <c r="AE31" i="18"/>
  <c r="AD27" i="18"/>
  <c r="AJ129" i="18"/>
  <c r="AI129" i="18" s="1"/>
  <c r="AE77" i="18"/>
  <c r="BA196" i="18"/>
  <c r="BA197" i="18" s="1"/>
  <c r="AF27" i="18"/>
  <c r="AD31" i="18"/>
  <c r="AJ162" i="18"/>
  <c r="AI162" i="18" s="1"/>
  <c r="AG161" i="18"/>
  <c r="AF143" i="18"/>
  <c r="AG149" i="18"/>
  <c r="AJ150" i="18"/>
  <c r="AI150" i="18" s="1"/>
  <c r="AJ141" i="18"/>
  <c r="AI141" i="18" s="1"/>
  <c r="AY12" i="18"/>
  <c r="AY14" i="18" s="1"/>
  <c r="AJ167" i="18"/>
  <c r="AI167" i="18" s="1"/>
  <c r="AG134" i="18"/>
  <c r="AO168" i="18"/>
  <c r="AO170" i="18" s="1"/>
  <c r="AF129" i="18"/>
  <c r="Q120" i="18"/>
  <c r="Q121" i="18" s="1"/>
  <c r="U196" i="18"/>
  <c r="U197" i="18" s="1"/>
  <c r="L164" i="18"/>
  <c r="L165" i="18" s="1"/>
  <c r="AJ39" i="18"/>
  <c r="AF75" i="18"/>
  <c r="AL65" i="18"/>
  <c r="AK27" i="18"/>
  <c r="AE89" i="18"/>
  <c r="AL75" i="18"/>
  <c r="AF63" i="18"/>
  <c r="AJ33" i="18"/>
  <c r="AD69" i="18"/>
  <c r="AL37" i="18"/>
  <c r="AL77" i="18"/>
  <c r="AE65" i="18"/>
  <c r="AF79" i="18"/>
  <c r="AF163" i="18"/>
  <c r="AJ29" i="18"/>
  <c r="AG159" i="18"/>
  <c r="AJ143" i="18"/>
  <c r="AI143" i="18" s="1"/>
  <c r="AO12" i="18"/>
  <c r="AO13" i="18" s="1"/>
  <c r="AF134" i="18"/>
  <c r="AJ135" i="18"/>
  <c r="AI135" i="18" s="1"/>
  <c r="P164" i="18"/>
  <c r="P166" i="18" s="1"/>
  <c r="AL43" i="18"/>
  <c r="AE71" i="18"/>
  <c r="AK67" i="18"/>
  <c r="AJ67" i="18"/>
  <c r="AJ37" i="18"/>
  <c r="AE43" i="18"/>
  <c r="AD83" i="18"/>
  <c r="AJ69" i="18"/>
  <c r="AK91" i="18"/>
  <c r="AY168" i="18"/>
  <c r="AY169" i="18" s="1"/>
  <c r="AJ149" i="18"/>
  <c r="AI149" i="18" s="1"/>
  <c r="AF151" i="18"/>
  <c r="AJ159" i="18"/>
  <c r="AI159" i="18" s="1"/>
  <c r="AJ154" i="18"/>
  <c r="AI154" i="18" s="1"/>
  <c r="AY200" i="18"/>
  <c r="AY201" i="18" s="1"/>
  <c r="P12" i="18"/>
  <c r="P14" i="18" s="1"/>
  <c r="AJ79" i="18"/>
  <c r="AL31" i="18"/>
  <c r="AE81" i="18"/>
  <c r="AF161" i="18"/>
  <c r="AJ157" i="18"/>
  <c r="AI157" i="18" s="1"/>
  <c r="AG147" i="18"/>
  <c r="AJ145" i="18"/>
  <c r="AI145" i="18" s="1"/>
  <c r="AG146" i="18"/>
  <c r="Y16" i="18"/>
  <c r="Y17" i="18" s="1"/>
  <c r="AV196" i="18"/>
  <c r="AV198" i="18" s="1"/>
  <c r="AO200" i="18"/>
  <c r="AO202" i="18" s="1"/>
  <c r="AT196" i="18"/>
  <c r="AT198" i="18" s="1"/>
  <c r="R72" i="18"/>
  <c r="R73" i="18" s="1"/>
  <c r="L120" i="18"/>
  <c r="L121" i="18" s="1"/>
  <c r="AL47" i="18"/>
  <c r="AK83" i="18"/>
  <c r="AK79" i="18"/>
  <c r="AD37" i="18"/>
  <c r="AJ85" i="18"/>
  <c r="AF85" i="18"/>
  <c r="AL71" i="18"/>
  <c r="AK55" i="18"/>
  <c r="AE87" i="18"/>
  <c r="AL73" i="18"/>
  <c r="AF61" i="18"/>
  <c r="L201" i="18"/>
  <c r="O205" i="18"/>
  <c r="BM203" i="18"/>
  <c r="B203" i="18"/>
  <c r="BM200" i="18"/>
  <c r="BM199" i="18" s="1"/>
  <c r="B200" i="18"/>
  <c r="B199" i="18" s="1"/>
  <c r="BM194" i="18"/>
  <c r="BM190" i="18" s="1"/>
  <c r="BM186" i="18" s="1"/>
  <c r="BM182" i="18" s="1"/>
  <c r="BM178" i="18" s="1"/>
  <c r="BM174" i="18" s="1"/>
  <c r="BM170" i="18" s="1"/>
  <c r="BM166" i="18" s="1"/>
  <c r="BM162" i="18" s="1"/>
  <c r="BM158" i="18" s="1"/>
  <c r="BM154" i="18" s="1"/>
  <c r="BM150" i="18" s="1"/>
  <c r="BM146" i="18" s="1"/>
  <c r="BM142" i="18" s="1"/>
  <c r="BM138" i="18" s="1"/>
  <c r="BM134" i="18" s="1"/>
  <c r="BM130" i="18" s="1"/>
  <c r="BM126" i="18" s="1"/>
  <c r="BM122" i="18" s="1"/>
  <c r="BM118" i="18" s="1"/>
  <c r="BM114" i="18" s="1"/>
  <c r="BM110" i="18" s="1"/>
  <c r="BM106" i="18" s="1"/>
  <c r="BM102" i="18" s="1"/>
  <c r="BM98" i="18" s="1"/>
  <c r="BM94" i="18" s="1"/>
  <c r="BM90" i="18" s="1"/>
  <c r="BM86" i="18" s="1"/>
  <c r="BM82" i="18" s="1"/>
  <c r="BM78" i="18" s="1"/>
  <c r="BM74" i="18" s="1"/>
  <c r="BM70" i="18" s="1"/>
  <c r="BM66" i="18" s="1"/>
  <c r="BM62" i="18" s="1"/>
  <c r="BM58" i="18" s="1"/>
  <c r="BM54" i="18" s="1"/>
  <c r="BM50" i="18" s="1"/>
  <c r="BM46" i="18" s="1"/>
  <c r="BM42" i="18" s="1"/>
  <c r="BM38" i="18" s="1"/>
  <c r="BM34" i="18" s="1"/>
  <c r="BM30" i="18" s="1"/>
  <c r="BM26" i="18" s="1"/>
  <c r="BM22" i="18" s="1"/>
  <c r="BM18" i="18" s="1"/>
  <c r="BM14" i="18" s="1"/>
  <c r="BM10" i="18" s="1"/>
  <c r="B194" i="18"/>
  <c r="B190" i="18" s="1"/>
  <c r="B186" i="18" s="1"/>
  <c r="B182" i="18" s="1"/>
  <c r="B178" i="18" s="1"/>
  <c r="B174" i="18" s="1"/>
  <c r="B170" i="18" s="1"/>
  <c r="B166" i="18" s="1"/>
  <c r="B162" i="18" s="1"/>
  <c r="B158" i="18" s="1"/>
  <c r="B154" i="18" s="1"/>
  <c r="B150" i="18" s="1"/>
  <c r="B146" i="18" s="1"/>
  <c r="B142" i="18" s="1"/>
  <c r="B138" i="18" s="1"/>
  <c r="B134" i="18" s="1"/>
  <c r="B130" i="18" s="1"/>
  <c r="B126" i="18" s="1"/>
  <c r="B122" i="18" s="1"/>
  <c r="B118" i="18" s="1"/>
  <c r="B114" i="18" s="1"/>
  <c r="B110" i="18" s="1"/>
  <c r="B106" i="18" s="1"/>
  <c r="B102" i="18" s="1"/>
  <c r="B98" i="18" s="1"/>
  <c r="B94" i="18" s="1"/>
  <c r="B90" i="18" s="1"/>
  <c r="B86" i="18" s="1"/>
  <c r="B82" i="18" s="1"/>
  <c r="B78" i="18" s="1"/>
  <c r="B74" i="18" s="1"/>
  <c r="B70" i="18" s="1"/>
  <c r="B66" i="18" s="1"/>
  <c r="B62" i="18" s="1"/>
  <c r="B58" i="18" s="1"/>
  <c r="B54" i="18" s="1"/>
  <c r="B50" i="18" s="1"/>
  <c r="B46" i="18" s="1"/>
  <c r="B42" i="18" s="1"/>
  <c r="B38" i="18" s="1"/>
  <c r="B34" i="18" s="1"/>
  <c r="B30" i="18" s="1"/>
  <c r="B26" i="18" s="1"/>
  <c r="B22" i="18" s="1"/>
  <c r="B18" i="18" s="1"/>
  <c r="B14" i="18" s="1"/>
  <c r="B10" i="18" s="1"/>
  <c r="BC191" i="18"/>
  <c r="BC192" i="18" s="1"/>
  <c r="BA191" i="18"/>
  <c r="BA192" i="18" s="1"/>
  <c r="AY191" i="18"/>
  <c r="AY192" i="18" s="1"/>
  <c r="AX191" i="18"/>
  <c r="AX192" i="18" s="1"/>
  <c r="AV191" i="18"/>
  <c r="AV192" i="18" s="1"/>
  <c r="AT191" i="18"/>
  <c r="AT192" i="18" s="1"/>
  <c r="AS191" i="18"/>
  <c r="AS192" i="18" s="1"/>
  <c r="AR191" i="18"/>
  <c r="AR192" i="18" s="1"/>
  <c r="AP191" i="18"/>
  <c r="AP192" i="18" s="1"/>
  <c r="AO191" i="18"/>
  <c r="AO192" i="18" s="1"/>
  <c r="Z191" i="18"/>
  <c r="Z192" i="18" s="1"/>
  <c r="X191" i="18"/>
  <c r="X192" i="18" s="1"/>
  <c r="V191" i="18"/>
  <c r="V192" i="18" s="1"/>
  <c r="U191" i="18"/>
  <c r="U192" i="18" s="1"/>
  <c r="S191" i="18"/>
  <c r="S192" i="18" s="1"/>
  <c r="Q191" i="18"/>
  <c r="Q192" i="18" s="1"/>
  <c r="P191" i="18"/>
  <c r="P192" i="18" s="1"/>
  <c r="O191" i="18"/>
  <c r="O192" i="18" s="1"/>
  <c r="M191" i="18"/>
  <c r="M192" i="18" s="1"/>
  <c r="L191" i="18"/>
  <c r="L192" i="18" s="1"/>
  <c r="BB163" i="18"/>
  <c r="BB164" i="18" s="1"/>
  <c r="AY163" i="18"/>
  <c r="AY164" i="18" s="1"/>
  <c r="AX163" i="18"/>
  <c r="AX164" i="18" s="1"/>
  <c r="AU163" i="18"/>
  <c r="AU164" i="18" s="1"/>
  <c r="AS163" i="18"/>
  <c r="AS164" i="18" s="1"/>
  <c r="AR163" i="18"/>
  <c r="AR164" i="18" s="1"/>
  <c r="AP163" i="18"/>
  <c r="AP164" i="18" s="1"/>
  <c r="AO163" i="18"/>
  <c r="AO164" i="18" s="1"/>
  <c r="Z159" i="18"/>
  <c r="Z160" i="18" s="1"/>
  <c r="X159" i="18"/>
  <c r="X160" i="18" s="1"/>
  <c r="V159" i="18"/>
  <c r="V160" i="18" s="1"/>
  <c r="T159" i="18"/>
  <c r="T160" i="18" s="1"/>
  <c r="Q159" i="18"/>
  <c r="Q160" i="18" s="1"/>
  <c r="P159" i="18"/>
  <c r="P160" i="18" s="1"/>
  <c r="N159" i="18"/>
  <c r="N160" i="18" s="1"/>
  <c r="L159" i="18"/>
  <c r="L160" i="18" s="1"/>
  <c r="BB123" i="18"/>
  <c r="BB124" i="18" s="1"/>
  <c r="AY123" i="18"/>
  <c r="AY124" i="18" s="1"/>
  <c r="AX123" i="18"/>
  <c r="AX124" i="18" s="1"/>
  <c r="AV123" i="18"/>
  <c r="AV124" i="18" s="1"/>
  <c r="AS123" i="18"/>
  <c r="AS124" i="18" s="1"/>
  <c r="AQ123" i="18"/>
  <c r="AQ124" i="18" s="1"/>
  <c r="AO123" i="18"/>
  <c r="AO124" i="18" s="1"/>
  <c r="Y115" i="18"/>
  <c r="Y116" i="18" s="1"/>
  <c r="V115" i="18"/>
  <c r="V116" i="18" s="1"/>
  <c r="S115" i="18"/>
  <c r="S116" i="18" s="1"/>
  <c r="Q115" i="18"/>
  <c r="Q116" i="18" s="1"/>
  <c r="P115" i="18"/>
  <c r="P116" i="18" s="1"/>
  <c r="N115" i="18"/>
  <c r="N116" i="18" s="1"/>
  <c r="L115" i="18"/>
  <c r="L116" i="18" s="1"/>
  <c r="BA67" i="18"/>
  <c r="BA68" i="18" s="1"/>
  <c r="AW67" i="18"/>
  <c r="AW68" i="18" s="1"/>
  <c r="AS67" i="18"/>
  <c r="AS68" i="18" s="1"/>
  <c r="AQ68" i="18"/>
  <c r="AO67" i="18"/>
  <c r="AO68" i="18" s="1"/>
  <c r="Y67" i="18"/>
  <c r="Y68" i="18" s="1"/>
  <c r="V67" i="18"/>
  <c r="V68" i="18" s="1"/>
  <c r="R67" i="18"/>
  <c r="R68" i="18" s="1"/>
  <c r="O67" i="18"/>
  <c r="O68" i="18" s="1"/>
  <c r="H67" i="18"/>
  <c r="H68" i="18" s="1"/>
  <c r="BM203" i="15"/>
  <c r="BM200" i="15"/>
  <c r="BM196" i="15" s="1"/>
  <c r="BM199" i="15"/>
  <c r="BM194" i="15"/>
  <c r="BM190" i="15" s="1"/>
  <c r="BM186" i="15" s="1"/>
  <c r="BM182" i="15" s="1"/>
  <c r="BM178" i="15" s="1"/>
  <c r="BM174" i="15" s="1"/>
  <c r="BM170" i="15" s="1"/>
  <c r="BM166" i="15" s="1"/>
  <c r="BM162" i="15" s="1"/>
  <c r="BM158" i="15" s="1"/>
  <c r="BM154" i="15" s="1"/>
  <c r="BM150" i="15" s="1"/>
  <c r="BM146" i="15" s="1"/>
  <c r="BM142" i="15" s="1"/>
  <c r="BM138" i="15" s="1"/>
  <c r="BM134" i="15" s="1"/>
  <c r="BM130" i="15" s="1"/>
  <c r="BM126" i="15" s="1"/>
  <c r="BM122" i="15" s="1"/>
  <c r="BM118" i="15" s="1"/>
  <c r="BM114" i="15" s="1"/>
  <c r="BM110" i="15" s="1"/>
  <c r="BM106" i="15" s="1"/>
  <c r="BM102" i="15" s="1"/>
  <c r="BM98" i="15" s="1"/>
  <c r="BM94" i="15" s="1"/>
  <c r="BM90" i="15" s="1"/>
  <c r="BM86" i="15" s="1"/>
  <c r="BM82" i="15" s="1"/>
  <c r="BM78" i="15" s="1"/>
  <c r="BM74" i="15" s="1"/>
  <c r="BM70" i="15" s="1"/>
  <c r="BM66" i="15" s="1"/>
  <c r="BM62" i="15" s="1"/>
  <c r="BM58" i="15" s="1"/>
  <c r="BM54" i="15" s="1"/>
  <c r="BM50" i="15" s="1"/>
  <c r="BM46" i="15" s="1"/>
  <c r="BM42" i="15" s="1"/>
  <c r="BM38" i="15" s="1"/>
  <c r="BM34" i="15" s="1"/>
  <c r="BM30" i="15" s="1"/>
  <c r="BM26" i="15" s="1"/>
  <c r="BM22" i="15" s="1"/>
  <c r="BM18" i="15" s="1"/>
  <c r="BM14" i="15" s="1"/>
  <c r="BM10" i="15" s="1"/>
  <c r="AQ67" i="15"/>
  <c r="AQ63" i="15" s="1"/>
  <c r="Z159" i="15"/>
  <c r="Z155" i="15" s="1"/>
  <c r="X159" i="15"/>
  <c r="V159" i="15"/>
  <c r="T159" i="15"/>
  <c r="T155" i="15" s="1"/>
  <c r="T151" i="15" s="1"/>
  <c r="T147" i="15" s="1"/>
  <c r="T143" i="15" s="1"/>
  <c r="T139" i="15" s="1"/>
  <c r="T135" i="15" s="1"/>
  <c r="T131" i="15" s="1"/>
  <c r="Q159" i="15"/>
  <c r="Q155" i="15" s="1"/>
  <c r="Q151" i="15" s="1"/>
  <c r="Q147" i="15" s="1"/>
  <c r="P159" i="15"/>
  <c r="N159" i="15"/>
  <c r="N155" i="15" s="1"/>
  <c r="N151" i="15" s="1"/>
  <c r="L159" i="15"/>
  <c r="Z191" i="15"/>
  <c r="Z187" i="15" s="1"/>
  <c r="B194" i="15"/>
  <c r="B190" i="15" s="1"/>
  <c r="B186" i="15" s="1"/>
  <c r="B182" i="15" s="1"/>
  <c r="B178" i="15" s="1"/>
  <c r="B174" i="15" s="1"/>
  <c r="B170" i="15" s="1"/>
  <c r="B166" i="15" s="1"/>
  <c r="B162" i="15" s="1"/>
  <c r="B158" i="15" s="1"/>
  <c r="B154" i="15" s="1"/>
  <c r="B150" i="15" s="1"/>
  <c r="B146" i="15" s="1"/>
  <c r="B142" i="15" s="1"/>
  <c r="B138" i="15" s="1"/>
  <c r="B134" i="15" s="1"/>
  <c r="B130" i="15" s="1"/>
  <c r="B126" i="15" s="1"/>
  <c r="B122" i="15" s="1"/>
  <c r="B118" i="15" s="1"/>
  <c r="B114" i="15" s="1"/>
  <c r="B110" i="15" s="1"/>
  <c r="B106" i="15" s="1"/>
  <c r="B102" i="15" s="1"/>
  <c r="B98" i="15" s="1"/>
  <c r="B94" i="15" s="1"/>
  <c r="B90" i="15" s="1"/>
  <c r="B86" i="15" s="1"/>
  <c r="B82" i="15" s="1"/>
  <c r="B78" i="15" s="1"/>
  <c r="B74" i="15" s="1"/>
  <c r="B70" i="15" s="1"/>
  <c r="B66" i="15" s="1"/>
  <c r="B62" i="15" s="1"/>
  <c r="B58" i="15" s="1"/>
  <c r="B54" i="15" s="1"/>
  <c r="B50" i="15" s="1"/>
  <c r="B46" i="15" s="1"/>
  <c r="B42" i="15" s="1"/>
  <c r="B38" i="15" s="1"/>
  <c r="B34" i="15" s="1"/>
  <c r="B30" i="15" s="1"/>
  <c r="B26" i="15" s="1"/>
  <c r="B22" i="15" s="1"/>
  <c r="B18" i="15" s="1"/>
  <c r="B14" i="15" s="1"/>
  <c r="B10" i="15" s="1"/>
  <c r="B200" i="15"/>
  <c r="B199" i="15" s="1"/>
  <c r="B203" i="15"/>
  <c r="AY191" i="15"/>
  <c r="AY163" i="15"/>
  <c r="AY159" i="15" s="1"/>
  <c r="AY123" i="15"/>
  <c r="V191" i="15"/>
  <c r="V187" i="15" s="1"/>
  <c r="Y67" i="15"/>
  <c r="V67" i="15"/>
  <c r="V63" i="15" s="1"/>
  <c r="H67" i="15"/>
  <c r="BC191" i="15"/>
  <c r="BC187" i="15" s="1"/>
  <c r="BC183" i="15" s="1"/>
  <c r="BC179" i="15" s="1"/>
  <c r="BC175" i="15" s="1"/>
  <c r="BC171" i="15" s="1"/>
  <c r="BA191" i="15"/>
  <c r="BA187" i="15" s="1"/>
  <c r="BA183" i="15" s="1"/>
  <c r="BA179" i="15" s="1"/>
  <c r="BA175" i="15" s="1"/>
  <c r="BA171" i="15" s="1"/>
  <c r="AX191" i="15"/>
  <c r="AX187" i="15" s="1"/>
  <c r="AX183" i="15" s="1"/>
  <c r="AX179" i="15" s="1"/>
  <c r="AX175" i="15" s="1"/>
  <c r="AX171" i="15" s="1"/>
  <c r="AV191" i="15"/>
  <c r="AV187" i="15" s="1"/>
  <c r="AV183" i="15" s="1"/>
  <c r="AV179" i="15" s="1"/>
  <c r="AT191" i="15"/>
  <c r="AT187" i="15" s="1"/>
  <c r="AT183" i="15" s="1"/>
  <c r="AT179" i="15" s="1"/>
  <c r="AS191" i="15"/>
  <c r="AS187" i="15" s="1"/>
  <c r="AS183" i="15" s="1"/>
  <c r="AS179" i="15" s="1"/>
  <c r="AR191" i="15"/>
  <c r="AR187" i="15" s="1"/>
  <c r="AR183" i="15" s="1"/>
  <c r="AP191" i="15"/>
  <c r="AP187" i="15" s="1"/>
  <c r="AP183" i="15" s="1"/>
  <c r="AP179" i="15" s="1"/>
  <c r="AP175" i="15" s="1"/>
  <c r="AP171" i="15" s="1"/>
  <c r="AO191" i="15"/>
  <c r="AO187" i="15" s="1"/>
  <c r="AO183" i="15" s="1"/>
  <c r="AO179" i="15" s="1"/>
  <c r="AO175" i="15" s="1"/>
  <c r="AO171" i="15" s="1"/>
  <c r="X191" i="15"/>
  <c r="X187" i="15" s="1"/>
  <c r="U191" i="15"/>
  <c r="U187" i="15" s="1"/>
  <c r="S191" i="15"/>
  <c r="S187" i="15" s="1"/>
  <c r="S183" i="15" s="1"/>
  <c r="S179" i="15" s="1"/>
  <c r="Q191" i="15"/>
  <c r="Q187" i="15" s="1"/>
  <c r="P191" i="15"/>
  <c r="P187" i="15" s="1"/>
  <c r="P183" i="15" s="1"/>
  <c r="P179" i="15" s="1"/>
  <c r="O191" i="15"/>
  <c r="O187" i="15" s="1"/>
  <c r="O183" i="15" s="1"/>
  <c r="M191" i="15"/>
  <c r="M187" i="15" s="1"/>
  <c r="L191" i="15"/>
  <c r="L187" i="15" s="1"/>
  <c r="BB163" i="15"/>
  <c r="BB159" i="15" s="1"/>
  <c r="AX163" i="15"/>
  <c r="AX159" i="15" s="1"/>
  <c r="AU163" i="15"/>
  <c r="AU159" i="15" s="1"/>
  <c r="AS163" i="15"/>
  <c r="AS159" i="15" s="1"/>
  <c r="AR163" i="15"/>
  <c r="AR159" i="15" s="1"/>
  <c r="AP163" i="15"/>
  <c r="AP159" i="15" s="1"/>
  <c r="AO163" i="15"/>
  <c r="AO159" i="15" s="1"/>
  <c r="BB123" i="15"/>
  <c r="BB119" i="15" s="1"/>
  <c r="AX123" i="15"/>
  <c r="AX119" i="15" s="1"/>
  <c r="AV123" i="15"/>
  <c r="AV119" i="15" s="1"/>
  <c r="AS123" i="15"/>
  <c r="AS119" i="15" s="1"/>
  <c r="AQ123" i="15"/>
  <c r="AQ119" i="15" s="1"/>
  <c r="AO123" i="15"/>
  <c r="AO119" i="15" s="1"/>
  <c r="Y115" i="15"/>
  <c r="Y111" i="15" s="1"/>
  <c r="V115" i="15"/>
  <c r="V111" i="15" s="1"/>
  <c r="S115" i="15"/>
  <c r="S111" i="15" s="1"/>
  <c r="Q115" i="15"/>
  <c r="Q111" i="15" s="1"/>
  <c r="Q107" i="15" s="1"/>
  <c r="Q103" i="15" s="1"/>
  <c r="Q99" i="15" s="1"/>
  <c r="Q95" i="15" s="1"/>
  <c r="P115" i="15"/>
  <c r="P111" i="15" s="1"/>
  <c r="P107" i="15" s="1"/>
  <c r="N115" i="15"/>
  <c r="N111" i="15" s="1"/>
  <c r="N107" i="15" s="1"/>
  <c r="L115" i="15"/>
  <c r="BA67" i="15"/>
  <c r="BA63" i="15" s="1"/>
  <c r="AW67" i="15"/>
  <c r="AW63" i="15" s="1"/>
  <c r="AS67" i="15"/>
  <c r="AS63" i="15" s="1"/>
  <c r="AO67" i="15"/>
  <c r="AO63" i="15" s="1"/>
  <c r="AO59" i="15" s="1"/>
  <c r="AO55" i="15" s="1"/>
  <c r="R67" i="15"/>
  <c r="R63" i="15" s="1"/>
  <c r="R59" i="15" s="1"/>
  <c r="R55" i="15" s="1"/>
  <c r="R51" i="15" s="1"/>
  <c r="R47" i="15" s="1"/>
  <c r="R43" i="15" s="1"/>
  <c r="O67" i="15"/>
  <c r="O63" i="15" s="1"/>
  <c r="M202" i="18" l="1"/>
  <c r="X198" i="18"/>
  <c r="L197" i="18"/>
  <c r="BB129" i="18"/>
  <c r="P121" i="18"/>
  <c r="O197" i="18"/>
  <c r="AQ129" i="18"/>
  <c r="AS129" i="18"/>
  <c r="AY198" i="18"/>
  <c r="H9" i="18"/>
  <c r="AO198" i="18"/>
  <c r="S198" i="18"/>
  <c r="AI83" i="18"/>
  <c r="Y74" i="18"/>
  <c r="AI63" i="18"/>
  <c r="AG83" i="18"/>
  <c r="O202" i="18"/>
  <c r="AG29" i="18"/>
  <c r="AI51" i="18"/>
  <c r="P18" i="18"/>
  <c r="AS74" i="18"/>
  <c r="M198" i="18"/>
  <c r="AH153" i="18"/>
  <c r="H14" i="18"/>
  <c r="AQ14" i="18"/>
  <c r="H18" i="18"/>
  <c r="AR73" i="18"/>
  <c r="BA74" i="18"/>
  <c r="Z166" i="18"/>
  <c r="AH157" i="18"/>
  <c r="AS197" i="18"/>
  <c r="AH137" i="18"/>
  <c r="AH155" i="18"/>
  <c r="AH133" i="18"/>
  <c r="AH147" i="18"/>
  <c r="AG51" i="18"/>
  <c r="AQ17" i="18"/>
  <c r="V73" i="18"/>
  <c r="AH166" i="18"/>
  <c r="AH165" i="18"/>
  <c r="AG41" i="18"/>
  <c r="AH146" i="18"/>
  <c r="AH162" i="18"/>
  <c r="Z197" i="18"/>
  <c r="Q201" i="18"/>
  <c r="AU169" i="18"/>
  <c r="BA202" i="18"/>
  <c r="N121" i="18"/>
  <c r="AO74" i="18"/>
  <c r="AI57" i="18"/>
  <c r="P205" i="18"/>
  <c r="AO17" i="18"/>
  <c r="AO73" i="18"/>
  <c r="AH129" i="18"/>
  <c r="AO14" i="18"/>
  <c r="AH163" i="18"/>
  <c r="AG77" i="18"/>
  <c r="AH151" i="18"/>
  <c r="AH134" i="18"/>
  <c r="Q197" i="18"/>
  <c r="AI89" i="18"/>
  <c r="AG59" i="18"/>
  <c r="AH154" i="18"/>
  <c r="S206" i="18"/>
  <c r="AR201" i="18"/>
  <c r="X165" i="18"/>
  <c r="P198" i="18"/>
  <c r="AY202" i="18"/>
  <c r="AG69" i="18"/>
  <c r="AV197" i="18"/>
  <c r="AP170" i="18"/>
  <c r="AH150" i="18"/>
  <c r="AO201" i="18"/>
  <c r="AR197" i="18"/>
  <c r="AV201" i="18"/>
  <c r="O73" i="18"/>
  <c r="AI71" i="18"/>
  <c r="AH145" i="18"/>
  <c r="AI33" i="18"/>
  <c r="AX170" i="18"/>
  <c r="AI27" i="18"/>
  <c r="AG49" i="18"/>
  <c r="AS170" i="18"/>
  <c r="AY129" i="18"/>
  <c r="V121" i="18"/>
  <c r="N166" i="18"/>
  <c r="Y121" i="18"/>
  <c r="AI39" i="18"/>
  <c r="AS201" i="18"/>
  <c r="AO169" i="18"/>
  <c r="H74" i="18"/>
  <c r="Q165" i="18"/>
  <c r="P165" i="18"/>
  <c r="AG37" i="18"/>
  <c r="AH161" i="18"/>
  <c r="AG43" i="18"/>
  <c r="AG85" i="18"/>
  <c r="AT197" i="18"/>
  <c r="AI79" i="18"/>
  <c r="AG81" i="18"/>
  <c r="AI37" i="18"/>
  <c r="AG27" i="18"/>
  <c r="AI53" i="18"/>
  <c r="AG87" i="18"/>
  <c r="AH143" i="18"/>
  <c r="AI73" i="18"/>
  <c r="AI41" i="18"/>
  <c r="AH167" i="18"/>
  <c r="BC202" i="18"/>
  <c r="AI31" i="18"/>
  <c r="AI67" i="18"/>
  <c r="AH159" i="18"/>
  <c r="AG57" i="18"/>
  <c r="AI77" i="18"/>
  <c r="AH158" i="18"/>
  <c r="AG33" i="18"/>
  <c r="AG73" i="18"/>
  <c r="AH130" i="18"/>
  <c r="AG55" i="18"/>
  <c r="AG45" i="18"/>
  <c r="AI45" i="18"/>
  <c r="AD93" i="18"/>
  <c r="AH139" i="18"/>
  <c r="AG65" i="18"/>
  <c r="AI49" i="18"/>
  <c r="AI47" i="18"/>
  <c r="AI55" i="18"/>
  <c r="AE93" i="18"/>
  <c r="AI61" i="18"/>
  <c r="AG53" i="18"/>
  <c r="AW74" i="18"/>
  <c r="AO130" i="18"/>
  <c r="AG71" i="18"/>
  <c r="AH71" i="18" s="1"/>
  <c r="AL93" i="18"/>
  <c r="AI29" i="18"/>
  <c r="AG63" i="18"/>
  <c r="AH135" i="18"/>
  <c r="Y18" i="18"/>
  <c r="AG47" i="18"/>
  <c r="AR170" i="18"/>
  <c r="AX129" i="18"/>
  <c r="AG61" i="18"/>
  <c r="S202" i="18"/>
  <c r="AH141" i="18"/>
  <c r="AI91" i="18"/>
  <c r="AH149" i="18"/>
  <c r="AY13" i="18"/>
  <c r="AP198" i="18"/>
  <c r="R74" i="18"/>
  <c r="AI69" i="18"/>
  <c r="AI65" i="18"/>
  <c r="AY18" i="18"/>
  <c r="AP201" i="18"/>
  <c r="AX197" i="18"/>
  <c r="AH138" i="18"/>
  <c r="AI43" i="18"/>
  <c r="AH142" i="18"/>
  <c r="AH131" i="18"/>
  <c r="AG35" i="18"/>
  <c r="AI87" i="18"/>
  <c r="Y13" i="18"/>
  <c r="V166" i="18"/>
  <c r="AI85" i="18"/>
  <c r="L166" i="18"/>
  <c r="AF93" i="18"/>
  <c r="AJ93" i="18"/>
  <c r="AK93" i="18"/>
  <c r="AG39" i="18"/>
  <c r="AG79" i="18"/>
  <c r="AO10" i="18"/>
  <c r="AY170" i="18"/>
  <c r="AG31" i="18"/>
  <c r="AI75" i="18"/>
  <c r="BC198" i="18"/>
  <c r="Q122" i="18"/>
  <c r="AI59" i="18"/>
  <c r="AI81" i="18"/>
  <c r="L122" i="18"/>
  <c r="T166" i="18"/>
  <c r="AG91" i="18"/>
  <c r="AI35" i="18"/>
  <c r="AG89" i="18"/>
  <c r="P13" i="18"/>
  <c r="V198" i="18"/>
  <c r="BA198" i="18"/>
  <c r="S122" i="18"/>
  <c r="AV129" i="18"/>
  <c r="U201" i="18"/>
  <c r="P201" i="18"/>
  <c r="AG67" i="18"/>
  <c r="BB170" i="18"/>
  <c r="U198" i="18"/>
  <c r="AG75" i="18"/>
  <c r="AY125" i="18"/>
  <c r="AY126" i="18"/>
  <c r="N118" i="18"/>
  <c r="N117" i="18"/>
  <c r="AU166" i="18"/>
  <c r="AU165" i="18"/>
  <c r="V193" i="18"/>
  <c r="V194" i="18"/>
  <c r="AY165" i="18"/>
  <c r="AY166" i="18"/>
  <c r="L117" i="18"/>
  <c r="L118" i="18"/>
  <c r="BB125" i="18"/>
  <c r="BB126" i="18"/>
  <c r="AX193" i="18"/>
  <c r="AX194" i="18"/>
  <c r="P117" i="18"/>
  <c r="P118" i="18"/>
  <c r="O70" i="18"/>
  <c r="O69" i="18"/>
  <c r="AS165" i="18"/>
  <c r="AS166" i="18"/>
  <c r="U194" i="18"/>
  <c r="U193" i="18"/>
  <c r="S118" i="18"/>
  <c r="S117" i="18"/>
  <c r="L162" i="18"/>
  <c r="L161" i="18"/>
  <c r="BC193" i="18"/>
  <c r="BC194" i="18"/>
  <c r="AX166" i="18"/>
  <c r="AX165" i="18"/>
  <c r="X193" i="18"/>
  <c r="X194" i="18"/>
  <c r="Y117" i="18"/>
  <c r="Y118" i="18"/>
  <c r="AO125" i="18"/>
  <c r="AO126" i="18"/>
  <c r="BB166" i="18"/>
  <c r="BB165" i="18"/>
  <c r="AQ69" i="18"/>
  <c r="AQ70" i="18"/>
  <c r="AQ126" i="18"/>
  <c r="AQ125" i="18"/>
  <c r="T161" i="18"/>
  <c r="T162" i="18"/>
  <c r="AP194" i="18"/>
  <c r="AP193" i="18"/>
  <c r="AS70" i="18"/>
  <c r="AS69" i="18"/>
  <c r="AS126" i="18"/>
  <c r="AS125" i="18"/>
  <c r="V161" i="18"/>
  <c r="V162" i="18"/>
  <c r="L194" i="18"/>
  <c r="L193" i="18"/>
  <c r="AR194" i="18"/>
  <c r="AR193" i="18"/>
  <c r="AV194" i="18"/>
  <c r="AV193" i="18"/>
  <c r="AR166" i="18"/>
  <c r="AR165" i="18"/>
  <c r="S194" i="18"/>
  <c r="S193" i="18"/>
  <c r="BA193" i="18"/>
  <c r="BA194" i="18"/>
  <c r="V70" i="18"/>
  <c r="V69" i="18"/>
  <c r="Y70" i="18"/>
  <c r="Y69" i="18"/>
  <c r="P162" i="18"/>
  <c r="P161" i="18"/>
  <c r="Z193" i="18"/>
  <c r="Z194" i="18"/>
  <c r="AW70" i="18"/>
  <c r="AW69" i="18"/>
  <c r="AV126" i="18"/>
  <c r="AV125" i="18"/>
  <c r="X161" i="18"/>
  <c r="X162" i="18"/>
  <c r="M194" i="18"/>
  <c r="M193" i="18"/>
  <c r="AS194" i="18"/>
  <c r="AS193" i="18"/>
  <c r="AO165" i="18"/>
  <c r="AO166" i="18"/>
  <c r="P194" i="18"/>
  <c r="P193" i="18"/>
  <c r="AP165" i="18"/>
  <c r="AP166" i="18"/>
  <c r="Q194" i="18"/>
  <c r="Q193" i="18"/>
  <c r="H69" i="18"/>
  <c r="H70" i="18"/>
  <c r="AY193" i="18"/>
  <c r="AY194" i="18"/>
  <c r="Q118" i="18"/>
  <c r="Q117" i="18"/>
  <c r="R70" i="18"/>
  <c r="R69" i="18"/>
  <c r="V117" i="18"/>
  <c r="V118" i="18"/>
  <c r="N162" i="18"/>
  <c r="N161" i="18"/>
  <c r="AO69" i="18"/>
  <c r="AO70" i="18"/>
  <c r="Q162" i="18"/>
  <c r="Q161" i="18"/>
  <c r="AO194" i="18"/>
  <c r="AO193" i="18"/>
  <c r="BA70" i="18"/>
  <c r="BA69" i="18"/>
  <c r="AX125" i="18"/>
  <c r="AX126" i="18"/>
  <c r="Z161" i="18"/>
  <c r="Z162" i="18"/>
  <c r="O194" i="18"/>
  <c r="O193" i="18"/>
  <c r="AT194" i="18"/>
  <c r="AT193" i="18"/>
  <c r="AY119" i="18"/>
  <c r="AY120" i="18" s="1"/>
  <c r="S187" i="18"/>
  <c r="S188" i="18" s="1"/>
  <c r="L155" i="18"/>
  <c r="L156" i="18" s="1"/>
  <c r="AU159" i="18"/>
  <c r="AU160" i="18" s="1"/>
  <c r="V111" i="18"/>
  <c r="N155" i="18"/>
  <c r="N156" i="18" s="1"/>
  <c r="Y111" i="18"/>
  <c r="Y112" i="18" s="1"/>
  <c r="P155" i="18"/>
  <c r="AO187" i="18"/>
  <c r="AO188" i="18" s="1"/>
  <c r="AQ63" i="18"/>
  <c r="AV187" i="18"/>
  <c r="AV188" i="18" s="1"/>
  <c r="U187" i="18"/>
  <c r="U188" i="18" s="1"/>
  <c r="AO119" i="18"/>
  <c r="AO120" i="18" s="1"/>
  <c r="Q155" i="18"/>
  <c r="Q156" i="18" s="1"/>
  <c r="AS63" i="18"/>
  <c r="AS119" i="18"/>
  <c r="AS120" i="18" s="1"/>
  <c r="AR187" i="18"/>
  <c r="AR188" i="18" s="1"/>
  <c r="AV119" i="18"/>
  <c r="M187" i="18"/>
  <c r="M188" i="18" s="1"/>
  <c r="AS187" i="18"/>
  <c r="AS188" i="18" s="1"/>
  <c r="O63" i="18"/>
  <c r="AT187" i="18"/>
  <c r="AT188" i="18" s="1"/>
  <c r="X155" i="18"/>
  <c r="X156" i="18" s="1"/>
  <c r="R63" i="18"/>
  <c r="R64" i="18" s="1"/>
  <c r="N111" i="18"/>
  <c r="N112" i="18" s="1"/>
  <c r="AO63" i="18"/>
  <c r="AO64" i="18" s="1"/>
  <c r="BA187" i="18"/>
  <c r="BA188" i="18" s="1"/>
  <c r="L111" i="18"/>
  <c r="L112" i="18" s="1"/>
  <c r="BB119" i="18"/>
  <c r="BB120" i="18" s="1"/>
  <c r="AO159" i="18"/>
  <c r="AO160" i="18" s="1"/>
  <c r="AX119" i="18"/>
  <c r="AX120" i="18" s="1"/>
  <c r="AR159" i="18"/>
  <c r="AR160" i="18" s="1"/>
  <c r="O187" i="18"/>
  <c r="O188" i="18" s="1"/>
  <c r="P187" i="18"/>
  <c r="P188" i="18" s="1"/>
  <c r="AX187" i="18"/>
  <c r="AX188" i="18" s="1"/>
  <c r="AY187" i="18"/>
  <c r="AY188" i="18" s="1"/>
  <c r="V63" i="18"/>
  <c r="V64" i="18" s="1"/>
  <c r="T155" i="18"/>
  <c r="T156" i="18" s="1"/>
  <c r="AS159" i="18"/>
  <c r="AS160" i="18" s="1"/>
  <c r="BA63" i="18"/>
  <c r="BA64" i="18" s="1"/>
  <c r="BM196" i="18"/>
  <c r="BB159" i="18"/>
  <c r="BB160" i="18" s="1"/>
  <c r="B196" i="18"/>
  <c r="B195" i="18" s="1"/>
  <c r="V187" i="18"/>
  <c r="V188" i="18" s="1"/>
  <c r="AQ119" i="18"/>
  <c r="AQ120" i="18" s="1"/>
  <c r="Y63" i="18"/>
  <c r="Y64" i="18" s="1"/>
  <c r="V155" i="18"/>
  <c r="V156" i="18" s="1"/>
  <c r="Q111" i="18"/>
  <c r="Q112" i="18" s="1"/>
  <c r="H63" i="18"/>
  <c r="H64" i="18" s="1"/>
  <c r="S111" i="18"/>
  <c r="S112" i="18" s="1"/>
  <c r="Z155" i="18"/>
  <c r="Z156" i="18" s="1"/>
  <c r="AP159" i="18"/>
  <c r="AP160" i="18" s="1"/>
  <c r="AW63" i="18"/>
  <c r="AW64" i="18" s="1"/>
  <c r="AX159" i="18"/>
  <c r="AX160" i="18" s="1"/>
  <c r="P111" i="18"/>
  <c r="P112" i="18" s="1"/>
  <c r="X187" i="18"/>
  <c r="X188" i="18" s="1"/>
  <c r="AP187" i="18"/>
  <c r="AP188" i="18" s="1"/>
  <c r="L187" i="18"/>
  <c r="L188" i="18" s="1"/>
  <c r="BC187" i="18"/>
  <c r="BC188" i="18" s="1"/>
  <c r="AY159" i="18"/>
  <c r="AY160" i="18" s="1"/>
  <c r="Z187" i="18"/>
  <c r="Z188" i="18" s="1"/>
  <c r="Q187" i="18"/>
  <c r="Q188" i="18" s="1"/>
  <c r="Q183" i="15"/>
  <c r="AO155" i="15"/>
  <c r="AO151" i="15" s="1"/>
  <c r="AO147" i="15" s="1"/>
  <c r="Z183" i="15"/>
  <c r="Z179" i="15" s="1"/>
  <c r="Z175" i="15" s="1"/>
  <c r="AP155" i="15"/>
  <c r="AP151" i="15" s="1"/>
  <c r="AP147" i="15" s="1"/>
  <c r="AU155" i="15"/>
  <c r="AX155" i="15"/>
  <c r="BB155" i="15"/>
  <c r="BB151" i="15" s="1"/>
  <c r="L183" i="15"/>
  <c r="L179" i="15" s="1"/>
  <c r="L175" i="15" s="1"/>
  <c r="AR155" i="15"/>
  <c r="AS155" i="15"/>
  <c r="AW59" i="15"/>
  <c r="AS59" i="15"/>
  <c r="M183" i="15"/>
  <c r="M179" i="15" s="1"/>
  <c r="BA59" i="15"/>
  <c r="AY155" i="15"/>
  <c r="P155" i="15"/>
  <c r="P151" i="15" s="1"/>
  <c r="P147" i="15" s="1"/>
  <c r="U183" i="15"/>
  <c r="U179" i="15" s="1"/>
  <c r="U175" i="15" s="1"/>
  <c r="V183" i="15"/>
  <c r="V179" i="15" s="1"/>
  <c r="AQ59" i="15"/>
  <c r="BM195" i="15"/>
  <c r="BM192" i="15"/>
  <c r="BM191" i="15" s="1"/>
  <c r="BM188" i="15"/>
  <c r="AO51" i="15"/>
  <c r="Z151" i="15"/>
  <c r="O179" i="15"/>
  <c r="S175" i="15"/>
  <c r="P175" i="15"/>
  <c r="X183" i="15"/>
  <c r="B196" i="15"/>
  <c r="Y63" i="15"/>
  <c r="Y59" i="15" s="1"/>
  <c r="Y55" i="15" s="1"/>
  <c r="AY119" i="15"/>
  <c r="AY187" i="15"/>
  <c r="AY183" i="15" s="1"/>
  <c r="AY179" i="15" s="1"/>
  <c r="Y107" i="15"/>
  <c r="V59" i="15"/>
  <c r="V55" i="15" s="1"/>
  <c r="V155" i="15"/>
  <c r="V151" i="15" s="1"/>
  <c r="V147" i="15" s="1"/>
  <c r="V107" i="15"/>
  <c r="AX115" i="15"/>
  <c r="AX111" i="15" s="1"/>
  <c r="BB115" i="15"/>
  <c r="AO115" i="15"/>
  <c r="AQ115" i="15"/>
  <c r="AS115" i="15"/>
  <c r="AV115" i="15"/>
  <c r="H63" i="15"/>
  <c r="R39" i="15"/>
  <c r="O59" i="15"/>
  <c r="Q91" i="15"/>
  <c r="S107" i="15"/>
  <c r="P103" i="15"/>
  <c r="Q143" i="15"/>
  <c r="N147" i="15"/>
  <c r="T127" i="15"/>
  <c r="N103" i="15"/>
  <c r="L111" i="15"/>
  <c r="X155" i="15"/>
  <c r="AR179" i="15"/>
  <c r="AS175" i="15"/>
  <c r="AT175" i="15"/>
  <c r="AV175" i="15"/>
  <c r="H4" i="13"/>
  <c r="I4" i="13"/>
  <c r="J4" i="13"/>
  <c r="H5" i="13"/>
  <c r="I5" i="13"/>
  <c r="J5" i="13"/>
  <c r="H6" i="13"/>
  <c r="I6" i="13"/>
  <c r="J6" i="13"/>
  <c r="H7" i="13"/>
  <c r="I7" i="13"/>
  <c r="J7" i="13"/>
  <c r="H8" i="13"/>
  <c r="I8" i="13"/>
  <c r="J8" i="13"/>
  <c r="H9" i="13"/>
  <c r="I9" i="13"/>
  <c r="J9" i="13"/>
  <c r="H10" i="13"/>
  <c r="I10" i="13"/>
  <c r="J10" i="13"/>
  <c r="H11" i="13"/>
  <c r="I11" i="13"/>
  <c r="J11" i="13"/>
  <c r="H12" i="13"/>
  <c r="I12" i="13"/>
  <c r="J12" i="13"/>
  <c r="H13" i="13"/>
  <c r="I13" i="13"/>
  <c r="J13" i="13"/>
  <c r="H14" i="13"/>
  <c r="I14" i="13"/>
  <c r="J14" i="13"/>
  <c r="H15" i="13"/>
  <c r="I15" i="13"/>
  <c r="J15" i="13"/>
  <c r="H16" i="13"/>
  <c r="I16" i="13"/>
  <c r="J16" i="13"/>
  <c r="H17" i="13"/>
  <c r="I17" i="13"/>
  <c r="J17" i="13"/>
  <c r="H18" i="13"/>
  <c r="I18" i="13"/>
  <c r="J18" i="13"/>
  <c r="H19" i="13"/>
  <c r="I19" i="13"/>
  <c r="J19" i="13"/>
  <c r="H20" i="13"/>
  <c r="I20" i="13"/>
  <c r="J20" i="13"/>
  <c r="H21" i="13"/>
  <c r="I21" i="13"/>
  <c r="J21" i="13"/>
  <c r="H22" i="13"/>
  <c r="I22" i="13"/>
  <c r="J22" i="13"/>
  <c r="H23" i="13"/>
  <c r="I23" i="13"/>
  <c r="J23" i="13"/>
  <c r="H24" i="13"/>
  <c r="I24" i="13"/>
  <c r="J24" i="13"/>
  <c r="H25" i="13"/>
  <c r="I25" i="13"/>
  <c r="J25" i="13"/>
  <c r="H26" i="13"/>
  <c r="I26" i="13"/>
  <c r="J26" i="13"/>
  <c r="H27" i="13"/>
  <c r="I27" i="13"/>
  <c r="J27" i="13"/>
  <c r="H28" i="13"/>
  <c r="I28" i="13"/>
  <c r="J28" i="13"/>
  <c r="H29" i="13"/>
  <c r="I29" i="13"/>
  <c r="J29" i="13"/>
  <c r="H30" i="13"/>
  <c r="I30" i="13"/>
  <c r="J30" i="13"/>
  <c r="H31" i="13"/>
  <c r="I31" i="13"/>
  <c r="J31" i="13"/>
  <c r="H32" i="13"/>
  <c r="I32" i="13"/>
  <c r="J32" i="13"/>
  <c r="H33" i="13"/>
  <c r="I33" i="13"/>
  <c r="J33" i="13"/>
  <c r="H34" i="13"/>
  <c r="I34" i="13"/>
  <c r="J34" i="13"/>
  <c r="H35" i="13"/>
  <c r="I35" i="13"/>
  <c r="J35" i="13"/>
  <c r="H36" i="13"/>
  <c r="I36" i="13"/>
  <c r="J36" i="13"/>
  <c r="H37" i="13"/>
  <c r="I37" i="13"/>
  <c r="J37" i="13"/>
  <c r="H38" i="13"/>
  <c r="I38" i="13"/>
  <c r="J38" i="13"/>
  <c r="H39" i="13"/>
  <c r="I39" i="13"/>
  <c r="J39" i="13"/>
  <c r="H40" i="13"/>
  <c r="I40" i="13"/>
  <c r="J40" i="13"/>
  <c r="H41" i="13"/>
  <c r="I41" i="13"/>
  <c r="J41" i="13"/>
  <c r="H42" i="13"/>
  <c r="I42" i="13"/>
  <c r="J42" i="13"/>
  <c r="H43" i="13"/>
  <c r="I43" i="13"/>
  <c r="J43" i="13"/>
  <c r="H44" i="13"/>
  <c r="I44" i="13"/>
  <c r="J44" i="13"/>
  <c r="H45" i="13"/>
  <c r="I45" i="13"/>
  <c r="J45" i="13"/>
  <c r="H46" i="13"/>
  <c r="I46" i="13"/>
  <c r="J46" i="13"/>
  <c r="H47" i="13"/>
  <c r="I47" i="13"/>
  <c r="J47" i="13"/>
  <c r="H48" i="13"/>
  <c r="I48" i="13"/>
  <c r="J48" i="13"/>
  <c r="H49" i="13"/>
  <c r="I49" i="13"/>
  <c r="J49" i="13"/>
  <c r="H50" i="13"/>
  <c r="I50" i="13"/>
  <c r="J50" i="13"/>
  <c r="H51" i="13"/>
  <c r="I51" i="13"/>
  <c r="J51" i="13"/>
  <c r="H52" i="13"/>
  <c r="I52" i="13"/>
  <c r="J52" i="13"/>
  <c r="H53" i="13"/>
  <c r="I53" i="13"/>
  <c r="J53" i="13"/>
  <c r="H54" i="13"/>
  <c r="I54" i="13"/>
  <c r="J54" i="13"/>
  <c r="H55" i="13"/>
  <c r="I55" i="13"/>
  <c r="J55" i="13"/>
  <c r="H56" i="13"/>
  <c r="I56" i="13"/>
  <c r="J56" i="13"/>
  <c r="H57" i="13"/>
  <c r="I57" i="13"/>
  <c r="J57" i="13"/>
  <c r="H58" i="13"/>
  <c r="I58" i="13"/>
  <c r="J58" i="13"/>
  <c r="H59" i="13"/>
  <c r="I59" i="13"/>
  <c r="J59" i="13"/>
  <c r="H60" i="13"/>
  <c r="I60" i="13"/>
  <c r="J60" i="13"/>
  <c r="H61" i="13"/>
  <c r="I61" i="13"/>
  <c r="J61" i="13"/>
  <c r="H62" i="13"/>
  <c r="I62" i="13"/>
  <c r="J62" i="13"/>
  <c r="H63" i="13"/>
  <c r="I63" i="13"/>
  <c r="J63" i="13"/>
  <c r="H64" i="13"/>
  <c r="I64" i="13"/>
  <c r="J64" i="13"/>
  <c r="H65" i="13"/>
  <c r="I65" i="13"/>
  <c r="J65" i="13"/>
  <c r="H66" i="13"/>
  <c r="I66" i="13"/>
  <c r="J66" i="13"/>
  <c r="H67" i="13"/>
  <c r="I67" i="13"/>
  <c r="J67" i="13"/>
  <c r="H68" i="13"/>
  <c r="I68" i="13"/>
  <c r="J68" i="13"/>
  <c r="H69" i="13"/>
  <c r="I69" i="13"/>
  <c r="J69" i="13"/>
  <c r="H70" i="13"/>
  <c r="I70" i="13"/>
  <c r="J70" i="13"/>
  <c r="H71" i="13"/>
  <c r="I71" i="13"/>
  <c r="J71" i="13"/>
  <c r="H72" i="13"/>
  <c r="I72" i="13"/>
  <c r="J72" i="13"/>
  <c r="H73" i="13"/>
  <c r="I73" i="13"/>
  <c r="J73" i="13"/>
  <c r="H74" i="13"/>
  <c r="I74" i="13"/>
  <c r="J74" i="13"/>
  <c r="H75" i="13"/>
  <c r="I75" i="13"/>
  <c r="J75" i="13"/>
  <c r="H76" i="13"/>
  <c r="I76" i="13"/>
  <c r="J76" i="13"/>
  <c r="H77" i="13"/>
  <c r="I77" i="13"/>
  <c r="J77" i="13"/>
  <c r="H78" i="13"/>
  <c r="I78" i="13"/>
  <c r="J78" i="13"/>
  <c r="H79" i="13"/>
  <c r="I79" i="13"/>
  <c r="J79" i="13"/>
  <c r="H80" i="13"/>
  <c r="I80" i="13"/>
  <c r="J80" i="13"/>
  <c r="H81" i="13"/>
  <c r="I81" i="13"/>
  <c r="J81" i="13"/>
  <c r="H82" i="13"/>
  <c r="I82" i="13"/>
  <c r="J82" i="13"/>
  <c r="H83" i="13"/>
  <c r="I83" i="13"/>
  <c r="J83" i="13"/>
  <c r="H84" i="13"/>
  <c r="I84" i="13"/>
  <c r="J84" i="13"/>
  <c r="H85" i="13"/>
  <c r="I85" i="13"/>
  <c r="J85" i="13"/>
  <c r="H86" i="13"/>
  <c r="I86" i="13"/>
  <c r="J86" i="13"/>
  <c r="H87" i="13"/>
  <c r="I87" i="13"/>
  <c r="J87" i="13"/>
  <c r="H88" i="13"/>
  <c r="I88" i="13"/>
  <c r="J88" i="13"/>
  <c r="H89" i="13"/>
  <c r="I89" i="13"/>
  <c r="J89" i="13"/>
  <c r="H90" i="13"/>
  <c r="I90" i="13"/>
  <c r="J90" i="13"/>
  <c r="H91" i="13"/>
  <c r="I91" i="13"/>
  <c r="J91" i="13"/>
  <c r="H92" i="13"/>
  <c r="I92" i="13"/>
  <c r="J92" i="13"/>
  <c r="H93" i="13"/>
  <c r="I93" i="13"/>
  <c r="J93" i="13"/>
  <c r="H94" i="13"/>
  <c r="I94" i="13"/>
  <c r="J94" i="13"/>
  <c r="H95" i="13"/>
  <c r="I95" i="13"/>
  <c r="J95" i="13"/>
  <c r="H96" i="13"/>
  <c r="I96" i="13"/>
  <c r="J96" i="13"/>
  <c r="H97" i="13"/>
  <c r="I97" i="13"/>
  <c r="J97" i="13"/>
  <c r="H98" i="13"/>
  <c r="I98" i="13"/>
  <c r="J98" i="13"/>
  <c r="H99" i="13"/>
  <c r="I99" i="13"/>
  <c r="J99" i="13"/>
  <c r="H100" i="13"/>
  <c r="I100" i="13"/>
  <c r="J100" i="13"/>
  <c r="H101" i="13"/>
  <c r="I101" i="13"/>
  <c r="J101" i="13"/>
  <c r="H102" i="13"/>
  <c r="I102" i="13"/>
  <c r="J102" i="13"/>
  <c r="H103" i="13"/>
  <c r="I103" i="13"/>
  <c r="J103" i="13"/>
  <c r="H104" i="13"/>
  <c r="I104" i="13"/>
  <c r="J104" i="13"/>
  <c r="H105" i="13"/>
  <c r="I105" i="13"/>
  <c r="J105" i="13"/>
  <c r="H106" i="13"/>
  <c r="I106" i="13"/>
  <c r="J106" i="13"/>
  <c r="H107" i="13"/>
  <c r="I107" i="13"/>
  <c r="J107" i="13"/>
  <c r="H108" i="13"/>
  <c r="I108" i="13"/>
  <c r="J108" i="13"/>
  <c r="H109" i="13"/>
  <c r="I109" i="13"/>
  <c r="J109" i="13"/>
  <c r="H110" i="13"/>
  <c r="I110" i="13"/>
  <c r="J110" i="13"/>
  <c r="H111" i="13"/>
  <c r="I111" i="13"/>
  <c r="J111" i="13"/>
  <c r="H112" i="13"/>
  <c r="I112" i="13"/>
  <c r="J112" i="13"/>
  <c r="H113" i="13"/>
  <c r="I113" i="13"/>
  <c r="J113" i="13"/>
  <c r="H114" i="13"/>
  <c r="I114" i="13"/>
  <c r="J114" i="13"/>
  <c r="H115" i="13"/>
  <c r="I115" i="13"/>
  <c r="J115" i="13"/>
  <c r="H116" i="13"/>
  <c r="I116" i="13"/>
  <c r="J116" i="13"/>
  <c r="H117" i="13"/>
  <c r="I117" i="13"/>
  <c r="J117" i="13"/>
  <c r="H118" i="13"/>
  <c r="I118" i="13"/>
  <c r="J118" i="13"/>
  <c r="H119" i="13"/>
  <c r="I119" i="13"/>
  <c r="J119" i="13"/>
  <c r="H120" i="13"/>
  <c r="I120" i="13"/>
  <c r="J120" i="13"/>
  <c r="H121" i="13"/>
  <c r="I121" i="13"/>
  <c r="J121" i="13"/>
  <c r="H122" i="13"/>
  <c r="I122" i="13"/>
  <c r="J122" i="13"/>
  <c r="H123" i="13"/>
  <c r="I123" i="13"/>
  <c r="J123" i="13"/>
  <c r="H124" i="13"/>
  <c r="I124" i="13"/>
  <c r="J124" i="13"/>
  <c r="H125" i="13"/>
  <c r="I125" i="13"/>
  <c r="J125" i="13"/>
  <c r="H126" i="13"/>
  <c r="I126" i="13"/>
  <c r="J126" i="13"/>
  <c r="H127" i="13"/>
  <c r="I127" i="13"/>
  <c r="J127" i="13"/>
  <c r="H128" i="13"/>
  <c r="I128" i="13"/>
  <c r="J128" i="13"/>
  <c r="H129" i="13"/>
  <c r="I129" i="13"/>
  <c r="J129" i="13"/>
  <c r="H130" i="13"/>
  <c r="I130" i="13"/>
  <c r="J130" i="13"/>
  <c r="H131" i="13"/>
  <c r="I131" i="13"/>
  <c r="J131" i="13"/>
  <c r="H132" i="13"/>
  <c r="I132" i="13"/>
  <c r="J132" i="13"/>
  <c r="H133" i="13"/>
  <c r="I133" i="13"/>
  <c r="J133" i="13"/>
  <c r="H134" i="13"/>
  <c r="I134" i="13"/>
  <c r="J134" i="13"/>
  <c r="H135" i="13"/>
  <c r="I135" i="13"/>
  <c r="J135" i="13"/>
  <c r="H136" i="13"/>
  <c r="I136" i="13"/>
  <c r="J136" i="13"/>
  <c r="H137" i="13"/>
  <c r="I137" i="13"/>
  <c r="J137" i="13"/>
  <c r="H138" i="13"/>
  <c r="I138" i="13"/>
  <c r="J138" i="13"/>
  <c r="H139" i="13"/>
  <c r="I139" i="13"/>
  <c r="J139" i="13"/>
  <c r="H140" i="13"/>
  <c r="I140" i="13"/>
  <c r="J140" i="13"/>
  <c r="H141" i="13"/>
  <c r="I141" i="13"/>
  <c r="J141" i="13"/>
  <c r="H142" i="13"/>
  <c r="I142" i="13"/>
  <c r="J142" i="13"/>
  <c r="H143" i="13"/>
  <c r="I143" i="13"/>
  <c r="J143" i="13"/>
  <c r="H144" i="13"/>
  <c r="I144" i="13"/>
  <c r="J144" i="13"/>
  <c r="H145" i="13"/>
  <c r="I145" i="13"/>
  <c r="J145" i="13"/>
  <c r="H146" i="13"/>
  <c r="I146" i="13"/>
  <c r="J146" i="13"/>
  <c r="H148" i="13"/>
  <c r="I148" i="13"/>
  <c r="J148" i="13"/>
  <c r="H149" i="13"/>
  <c r="I149" i="13"/>
  <c r="J149" i="13"/>
  <c r="H150" i="13"/>
  <c r="I150" i="13"/>
  <c r="J150" i="13"/>
  <c r="H151" i="13"/>
  <c r="I151" i="13"/>
  <c r="J151" i="13"/>
  <c r="H152" i="13"/>
  <c r="I152" i="13"/>
  <c r="J152" i="13"/>
  <c r="H153" i="13"/>
  <c r="I153" i="13"/>
  <c r="J153" i="13"/>
  <c r="H154" i="13"/>
  <c r="I154" i="13"/>
  <c r="J154" i="13"/>
  <c r="H155" i="13"/>
  <c r="I155" i="13"/>
  <c r="J155" i="13"/>
  <c r="H156" i="13"/>
  <c r="I156" i="13"/>
  <c r="J156" i="13"/>
  <c r="H157" i="13"/>
  <c r="I157" i="13"/>
  <c r="J157" i="13"/>
  <c r="H158" i="13"/>
  <c r="I158" i="13"/>
  <c r="J158" i="13"/>
  <c r="H159" i="13"/>
  <c r="I159" i="13"/>
  <c r="J159" i="13"/>
  <c r="H160" i="13"/>
  <c r="I160" i="13"/>
  <c r="J160" i="13"/>
  <c r="H161" i="13"/>
  <c r="I161" i="13"/>
  <c r="J161" i="13"/>
  <c r="H162" i="13"/>
  <c r="I162" i="13"/>
  <c r="J162" i="13"/>
  <c r="H163" i="13"/>
  <c r="I163" i="13"/>
  <c r="J163" i="13"/>
  <c r="H164" i="13"/>
  <c r="I164" i="13"/>
  <c r="J164" i="13"/>
  <c r="H165" i="13"/>
  <c r="I165" i="13"/>
  <c r="J165" i="13"/>
  <c r="H166" i="13"/>
  <c r="I166" i="13"/>
  <c r="J166" i="13"/>
  <c r="H167" i="13"/>
  <c r="I167" i="13"/>
  <c r="J167" i="13"/>
  <c r="H168" i="13"/>
  <c r="I168" i="13"/>
  <c r="J168" i="13"/>
  <c r="H169" i="13"/>
  <c r="I169" i="13"/>
  <c r="J169" i="13"/>
  <c r="H170" i="13"/>
  <c r="I170" i="13"/>
  <c r="J170" i="13"/>
  <c r="H171" i="13"/>
  <c r="I171" i="13"/>
  <c r="J171" i="13"/>
  <c r="H172" i="13"/>
  <c r="I172" i="13"/>
  <c r="J172" i="13"/>
  <c r="H173" i="13"/>
  <c r="I173" i="13"/>
  <c r="J173" i="13"/>
  <c r="H174" i="13"/>
  <c r="I174" i="13"/>
  <c r="J174" i="13"/>
  <c r="H175" i="13"/>
  <c r="I175" i="13"/>
  <c r="J175" i="13"/>
  <c r="H176" i="13"/>
  <c r="I176" i="13"/>
  <c r="J176" i="13"/>
  <c r="H177" i="13"/>
  <c r="I177" i="13"/>
  <c r="J177" i="13"/>
  <c r="H178" i="13"/>
  <c r="I178" i="13"/>
  <c r="J178" i="13"/>
  <c r="H179" i="13"/>
  <c r="I179" i="13"/>
  <c r="J179" i="13"/>
  <c r="H180" i="13"/>
  <c r="I180" i="13"/>
  <c r="J180" i="13"/>
  <c r="H181" i="13"/>
  <c r="I181" i="13"/>
  <c r="J181" i="13"/>
  <c r="H182" i="13"/>
  <c r="I182" i="13"/>
  <c r="J182" i="13"/>
  <c r="H183" i="13"/>
  <c r="I183" i="13"/>
  <c r="J183" i="13"/>
  <c r="H184" i="13"/>
  <c r="I184" i="13"/>
  <c r="J184" i="13"/>
  <c r="H185" i="13"/>
  <c r="I185" i="13"/>
  <c r="J185" i="13"/>
  <c r="H186" i="13"/>
  <c r="I186" i="13"/>
  <c r="J186" i="13"/>
  <c r="H187" i="13"/>
  <c r="I187" i="13"/>
  <c r="J187" i="13"/>
  <c r="H188" i="13"/>
  <c r="I188" i="13"/>
  <c r="J188" i="13"/>
  <c r="H189" i="13"/>
  <c r="I189" i="13"/>
  <c r="J189" i="13"/>
  <c r="H190" i="13"/>
  <c r="I190" i="13"/>
  <c r="J190" i="13"/>
  <c r="H191" i="13"/>
  <c r="I191" i="13"/>
  <c r="J191" i="13"/>
  <c r="H192" i="13"/>
  <c r="I192" i="13"/>
  <c r="J192" i="13"/>
  <c r="H193" i="13"/>
  <c r="I193" i="13"/>
  <c r="J193" i="13"/>
  <c r="H194" i="13"/>
  <c r="I194" i="13"/>
  <c r="J194" i="13"/>
  <c r="H195" i="13"/>
  <c r="I195" i="13"/>
  <c r="J195" i="13"/>
  <c r="H196" i="13"/>
  <c r="I196" i="13"/>
  <c r="J196" i="13"/>
  <c r="H197" i="13"/>
  <c r="I197" i="13"/>
  <c r="J197" i="13"/>
  <c r="H198" i="13"/>
  <c r="I198" i="13"/>
  <c r="J198" i="13"/>
  <c r="H199" i="13"/>
  <c r="I199" i="13"/>
  <c r="J199" i="13"/>
  <c r="H200" i="13"/>
  <c r="I200" i="13"/>
  <c r="J200" i="13"/>
  <c r="H201" i="13"/>
  <c r="I201" i="13"/>
  <c r="J201" i="13"/>
  <c r="H202" i="13"/>
  <c r="I202" i="13"/>
  <c r="J202" i="13"/>
  <c r="H203" i="13"/>
  <c r="I203" i="13"/>
  <c r="J203" i="13"/>
  <c r="H204" i="13"/>
  <c r="I204" i="13"/>
  <c r="J204" i="13"/>
  <c r="H205" i="13"/>
  <c r="I205" i="13"/>
  <c r="J205" i="13"/>
  <c r="H206" i="13"/>
  <c r="I206" i="13"/>
  <c r="J206" i="13"/>
  <c r="H207" i="13"/>
  <c r="I207" i="13"/>
  <c r="J207" i="13"/>
  <c r="H208" i="13"/>
  <c r="I208" i="13"/>
  <c r="J208" i="13"/>
  <c r="H209" i="13"/>
  <c r="I209" i="13"/>
  <c r="J209" i="13"/>
  <c r="H210" i="13"/>
  <c r="I210" i="13"/>
  <c r="J210" i="13"/>
  <c r="H211" i="13"/>
  <c r="I211" i="13"/>
  <c r="J211" i="13"/>
  <c r="H212" i="13"/>
  <c r="I212" i="13"/>
  <c r="J212" i="13"/>
  <c r="H213" i="13"/>
  <c r="I213" i="13"/>
  <c r="J213" i="13"/>
  <c r="H214" i="13"/>
  <c r="I214" i="13"/>
  <c r="J214" i="13"/>
  <c r="H215" i="13"/>
  <c r="I215" i="13"/>
  <c r="J215" i="13"/>
  <c r="H216" i="13"/>
  <c r="I216" i="13"/>
  <c r="J216" i="13"/>
  <c r="H217" i="13"/>
  <c r="I217" i="13"/>
  <c r="J217" i="13"/>
  <c r="H218" i="13"/>
  <c r="I218" i="13"/>
  <c r="J218" i="13"/>
  <c r="H219" i="13"/>
  <c r="I219" i="13"/>
  <c r="J219" i="13"/>
  <c r="H220" i="13"/>
  <c r="I220" i="13"/>
  <c r="J220" i="13"/>
  <c r="H221" i="13"/>
  <c r="I221" i="13"/>
  <c r="J221" i="13"/>
  <c r="H222" i="13"/>
  <c r="I222" i="13"/>
  <c r="J222" i="13"/>
  <c r="H223" i="13"/>
  <c r="I223" i="13"/>
  <c r="J223" i="13"/>
  <c r="H224" i="13"/>
  <c r="I224" i="13"/>
  <c r="J224" i="13"/>
  <c r="H225" i="13"/>
  <c r="I225" i="13"/>
  <c r="J225" i="13"/>
  <c r="H226" i="13"/>
  <c r="I226" i="13"/>
  <c r="J226" i="13"/>
  <c r="H227" i="13"/>
  <c r="I227" i="13"/>
  <c r="J227" i="13"/>
  <c r="H228" i="13"/>
  <c r="I228" i="13"/>
  <c r="J228" i="13"/>
  <c r="H229" i="13"/>
  <c r="I229" i="13"/>
  <c r="J229" i="13"/>
  <c r="H230" i="13"/>
  <c r="I230" i="13"/>
  <c r="J230" i="13"/>
  <c r="H231" i="13"/>
  <c r="I231" i="13"/>
  <c r="J231" i="13"/>
  <c r="H232" i="13"/>
  <c r="I232" i="13"/>
  <c r="J232" i="13"/>
  <c r="H233" i="13"/>
  <c r="I233" i="13"/>
  <c r="J233" i="13"/>
  <c r="H234" i="13"/>
  <c r="I234" i="13"/>
  <c r="J234" i="13"/>
  <c r="H235" i="13"/>
  <c r="I235" i="13"/>
  <c r="J235" i="13"/>
  <c r="H236" i="13"/>
  <c r="I236" i="13"/>
  <c r="J236" i="13"/>
  <c r="H237" i="13"/>
  <c r="I237" i="13"/>
  <c r="J237" i="13"/>
  <c r="H238" i="13"/>
  <c r="I238" i="13"/>
  <c r="J238" i="13"/>
  <c r="H239" i="13"/>
  <c r="I239" i="13"/>
  <c r="J239" i="13"/>
  <c r="H240" i="13"/>
  <c r="I240" i="13"/>
  <c r="J240" i="13"/>
  <c r="H241" i="13"/>
  <c r="I241" i="13"/>
  <c r="J241" i="13"/>
  <c r="H242" i="13"/>
  <c r="I242" i="13"/>
  <c r="J242" i="13"/>
  <c r="H243" i="13"/>
  <c r="I243" i="13"/>
  <c r="J243" i="13"/>
  <c r="H244" i="13"/>
  <c r="I244" i="13"/>
  <c r="J244" i="13"/>
  <c r="H245" i="13"/>
  <c r="I245" i="13"/>
  <c r="J245" i="13"/>
  <c r="H246" i="13"/>
  <c r="I246" i="13"/>
  <c r="J246" i="13"/>
  <c r="H247" i="13"/>
  <c r="I247" i="13"/>
  <c r="J247" i="13"/>
  <c r="H248" i="13"/>
  <c r="I248" i="13"/>
  <c r="J248" i="13"/>
  <c r="H249" i="13"/>
  <c r="I249" i="13"/>
  <c r="J249" i="13"/>
  <c r="H250" i="13"/>
  <c r="I250" i="13"/>
  <c r="J250" i="13"/>
  <c r="H251" i="13"/>
  <c r="I251" i="13"/>
  <c r="J251" i="13"/>
  <c r="H252" i="13"/>
  <c r="I252" i="13"/>
  <c r="J252" i="13"/>
  <c r="H253" i="13"/>
  <c r="I253" i="13"/>
  <c r="J253" i="13"/>
  <c r="H254" i="13"/>
  <c r="I254" i="13"/>
  <c r="J254" i="13"/>
  <c r="H255" i="13"/>
  <c r="I255" i="13"/>
  <c r="J255" i="13"/>
  <c r="H256" i="13"/>
  <c r="I256" i="13"/>
  <c r="J256" i="13"/>
  <c r="H257" i="13"/>
  <c r="I257" i="13"/>
  <c r="J257" i="13"/>
  <c r="H258" i="13"/>
  <c r="I258" i="13"/>
  <c r="J258" i="13"/>
  <c r="H259" i="13"/>
  <c r="I259" i="13"/>
  <c r="J259" i="13"/>
  <c r="H260" i="13"/>
  <c r="I260" i="13"/>
  <c r="J260" i="13"/>
  <c r="H261" i="13"/>
  <c r="I261" i="13"/>
  <c r="J261" i="13"/>
  <c r="H262" i="13"/>
  <c r="I262" i="13"/>
  <c r="J262" i="13"/>
  <c r="H263" i="13"/>
  <c r="I263" i="13"/>
  <c r="J263" i="13"/>
  <c r="H264" i="13"/>
  <c r="I264" i="13"/>
  <c r="J264" i="13"/>
  <c r="H265" i="13"/>
  <c r="I265" i="13"/>
  <c r="J265" i="13"/>
  <c r="H266" i="13"/>
  <c r="I266" i="13"/>
  <c r="J266" i="13"/>
  <c r="H267" i="13"/>
  <c r="I267" i="13"/>
  <c r="J267" i="13"/>
  <c r="H268" i="13"/>
  <c r="I268" i="13"/>
  <c r="J268" i="13"/>
  <c r="H269" i="13"/>
  <c r="I269" i="13"/>
  <c r="J269" i="13"/>
  <c r="H270" i="13"/>
  <c r="I270" i="13"/>
  <c r="J270" i="13"/>
  <c r="H271" i="13"/>
  <c r="I271" i="13"/>
  <c r="J271" i="13"/>
  <c r="H272" i="13"/>
  <c r="I272" i="13"/>
  <c r="J272" i="13"/>
  <c r="H273" i="13"/>
  <c r="I273" i="13"/>
  <c r="J273" i="13"/>
  <c r="H274" i="13"/>
  <c r="I274" i="13"/>
  <c r="J274" i="13"/>
  <c r="H275" i="13"/>
  <c r="I275" i="13"/>
  <c r="J275" i="13"/>
  <c r="H276" i="13"/>
  <c r="I276" i="13"/>
  <c r="J276" i="13"/>
  <c r="H277" i="13"/>
  <c r="I277" i="13"/>
  <c r="J277" i="13"/>
  <c r="H278" i="13"/>
  <c r="I278" i="13"/>
  <c r="J278" i="13"/>
  <c r="H279" i="13"/>
  <c r="I279" i="13"/>
  <c r="J279" i="13"/>
  <c r="H280" i="13"/>
  <c r="I280" i="13"/>
  <c r="J280" i="13"/>
  <c r="H281" i="13"/>
  <c r="I281" i="13"/>
  <c r="J281" i="13"/>
  <c r="H282" i="13"/>
  <c r="I282" i="13"/>
  <c r="J282" i="13"/>
  <c r="H283" i="13"/>
  <c r="I283" i="13"/>
  <c r="J283" i="13"/>
  <c r="H284" i="13"/>
  <c r="I284" i="13"/>
  <c r="J284" i="13"/>
  <c r="H285" i="13"/>
  <c r="I285" i="13"/>
  <c r="J285" i="13"/>
  <c r="H286" i="13"/>
  <c r="I286" i="13"/>
  <c r="J286" i="13"/>
  <c r="H287" i="13"/>
  <c r="I287" i="13"/>
  <c r="J287" i="13"/>
  <c r="H288" i="13"/>
  <c r="I288" i="13"/>
  <c r="J288" i="13"/>
  <c r="H289" i="13"/>
  <c r="I289" i="13"/>
  <c r="J289" i="13"/>
  <c r="H290" i="13"/>
  <c r="I290" i="13"/>
  <c r="J290" i="13"/>
  <c r="H291" i="13"/>
  <c r="I291" i="13"/>
  <c r="J291" i="13"/>
  <c r="H292" i="13"/>
  <c r="I292" i="13"/>
  <c r="J292" i="13"/>
  <c r="H293" i="13"/>
  <c r="I293" i="13"/>
  <c r="J293" i="13"/>
  <c r="H294" i="13"/>
  <c r="I294" i="13"/>
  <c r="J294" i="13"/>
  <c r="H295" i="13"/>
  <c r="I295" i="13"/>
  <c r="J295" i="13"/>
  <c r="H296" i="13"/>
  <c r="I296" i="13"/>
  <c r="J296" i="13"/>
  <c r="H297" i="13"/>
  <c r="I297" i="13"/>
  <c r="J297" i="13"/>
  <c r="H298" i="13"/>
  <c r="I298" i="13"/>
  <c r="J298" i="13"/>
  <c r="H299" i="13"/>
  <c r="I299" i="13"/>
  <c r="J299" i="13"/>
  <c r="H300" i="13"/>
  <c r="I300" i="13"/>
  <c r="J300" i="13"/>
  <c r="H301" i="13"/>
  <c r="I301" i="13"/>
  <c r="J301" i="13"/>
  <c r="H302" i="13"/>
  <c r="I302" i="13"/>
  <c r="J302" i="13"/>
  <c r="H303" i="13"/>
  <c r="I303" i="13"/>
  <c r="J303" i="13"/>
  <c r="H304" i="13"/>
  <c r="I304" i="13"/>
  <c r="J304" i="13"/>
  <c r="H305" i="13"/>
  <c r="I305" i="13"/>
  <c r="J305" i="13"/>
  <c r="H306" i="13"/>
  <c r="I306" i="13"/>
  <c r="J306" i="13"/>
  <c r="H307" i="13"/>
  <c r="I307" i="13"/>
  <c r="J307" i="13"/>
  <c r="H308" i="13"/>
  <c r="I308" i="13"/>
  <c r="J308" i="13"/>
  <c r="H309" i="13"/>
  <c r="I309" i="13"/>
  <c r="J309" i="13"/>
  <c r="H310" i="13"/>
  <c r="I310" i="13"/>
  <c r="J310" i="13"/>
  <c r="H311" i="13"/>
  <c r="I311" i="13"/>
  <c r="J311" i="13"/>
  <c r="H312" i="13"/>
  <c r="I312" i="13"/>
  <c r="J312" i="13"/>
  <c r="H313" i="13"/>
  <c r="I313" i="13"/>
  <c r="J313" i="13"/>
  <c r="H314" i="13"/>
  <c r="I314" i="13"/>
  <c r="J314" i="13"/>
  <c r="H315" i="13"/>
  <c r="I315" i="13"/>
  <c r="J315" i="13"/>
  <c r="H316" i="13"/>
  <c r="I316" i="13"/>
  <c r="J316" i="13"/>
  <c r="H317" i="13"/>
  <c r="I317" i="13"/>
  <c r="J317" i="13"/>
  <c r="H318" i="13"/>
  <c r="I318" i="13"/>
  <c r="J318" i="13"/>
  <c r="H319" i="13"/>
  <c r="I319" i="13"/>
  <c r="J319" i="13"/>
  <c r="H320" i="13"/>
  <c r="I320" i="13"/>
  <c r="J320" i="13"/>
  <c r="H321" i="13"/>
  <c r="I321" i="13"/>
  <c r="J321" i="13"/>
  <c r="H322" i="13"/>
  <c r="I322" i="13"/>
  <c r="J322" i="13"/>
  <c r="H323" i="13"/>
  <c r="I323" i="13"/>
  <c r="J323" i="13"/>
  <c r="H324" i="13"/>
  <c r="I324" i="13"/>
  <c r="J324" i="13"/>
  <c r="H325" i="13"/>
  <c r="I325" i="13"/>
  <c r="J325" i="13"/>
  <c r="H326" i="13"/>
  <c r="I326" i="13"/>
  <c r="J326" i="13"/>
  <c r="H327" i="13"/>
  <c r="I327" i="13"/>
  <c r="J327" i="13"/>
  <c r="H328" i="13"/>
  <c r="I328" i="13"/>
  <c r="J328" i="13"/>
  <c r="H329" i="13"/>
  <c r="I329" i="13"/>
  <c r="J329" i="13"/>
  <c r="H330" i="13"/>
  <c r="I330" i="13"/>
  <c r="J330" i="13"/>
  <c r="H331" i="13"/>
  <c r="I331" i="13"/>
  <c r="J331" i="13"/>
  <c r="H332" i="13"/>
  <c r="I332" i="13"/>
  <c r="J332" i="13"/>
  <c r="H333" i="13"/>
  <c r="I333" i="13"/>
  <c r="J333" i="13"/>
  <c r="H334" i="13"/>
  <c r="I334" i="13"/>
  <c r="J334" i="13"/>
  <c r="H335" i="13"/>
  <c r="I335" i="13"/>
  <c r="J335" i="13"/>
  <c r="H336" i="13"/>
  <c r="I336" i="13"/>
  <c r="J336" i="13"/>
  <c r="H337" i="13"/>
  <c r="I337" i="13"/>
  <c r="J337" i="13"/>
  <c r="H338" i="13"/>
  <c r="I338" i="13"/>
  <c r="J338" i="13"/>
  <c r="H339" i="13"/>
  <c r="I339" i="13"/>
  <c r="J339" i="13"/>
  <c r="H340" i="13"/>
  <c r="I340" i="13"/>
  <c r="J340" i="13"/>
  <c r="H341" i="13"/>
  <c r="I341" i="13"/>
  <c r="J341" i="13"/>
  <c r="H342" i="13"/>
  <c r="I342" i="13"/>
  <c r="J342" i="13"/>
  <c r="H343" i="13"/>
  <c r="I343" i="13"/>
  <c r="J343" i="13"/>
  <c r="H344" i="13"/>
  <c r="I344" i="13"/>
  <c r="J344" i="13"/>
  <c r="H345" i="13"/>
  <c r="I345" i="13"/>
  <c r="J345" i="13"/>
  <c r="H346" i="13"/>
  <c r="I346" i="13"/>
  <c r="J346" i="13"/>
  <c r="H347" i="13"/>
  <c r="I347" i="13"/>
  <c r="J347" i="13"/>
  <c r="H348" i="13"/>
  <c r="I348" i="13"/>
  <c r="J348" i="13"/>
  <c r="H349" i="13"/>
  <c r="I349" i="13"/>
  <c r="J349" i="13"/>
  <c r="H350" i="13"/>
  <c r="I350" i="13"/>
  <c r="J350" i="13"/>
  <c r="H351" i="13"/>
  <c r="I351" i="13"/>
  <c r="J351" i="13"/>
  <c r="H352" i="13"/>
  <c r="I352" i="13"/>
  <c r="J352" i="13"/>
  <c r="H353" i="13"/>
  <c r="I353" i="13"/>
  <c r="J353" i="13"/>
  <c r="H354" i="13"/>
  <c r="I354" i="13"/>
  <c r="J354" i="13"/>
  <c r="H355" i="13"/>
  <c r="I355" i="13"/>
  <c r="J355" i="13"/>
  <c r="H356" i="13"/>
  <c r="I356" i="13"/>
  <c r="J356" i="13"/>
  <c r="H357" i="13"/>
  <c r="I357" i="13"/>
  <c r="J357" i="13"/>
  <c r="H358" i="13"/>
  <c r="I358" i="13"/>
  <c r="J358" i="13"/>
  <c r="H359" i="13"/>
  <c r="I359" i="13"/>
  <c r="J359" i="13"/>
  <c r="H360" i="13"/>
  <c r="I360" i="13"/>
  <c r="J360" i="13"/>
  <c r="H361" i="13"/>
  <c r="I361" i="13"/>
  <c r="J361" i="13"/>
  <c r="H362" i="13"/>
  <c r="I362" i="13"/>
  <c r="J362" i="13"/>
  <c r="H363" i="13"/>
  <c r="I363" i="13"/>
  <c r="J363" i="13"/>
  <c r="H364" i="13"/>
  <c r="I364" i="13"/>
  <c r="J364" i="13"/>
  <c r="H365" i="13"/>
  <c r="I365" i="13"/>
  <c r="J365" i="13"/>
  <c r="H366" i="13"/>
  <c r="I366" i="13"/>
  <c r="J366" i="13"/>
  <c r="H367" i="13"/>
  <c r="I367" i="13"/>
  <c r="J367" i="13"/>
  <c r="H368" i="13"/>
  <c r="I368" i="13"/>
  <c r="J368" i="13"/>
  <c r="H369" i="13"/>
  <c r="I369" i="13"/>
  <c r="J369" i="13"/>
  <c r="H370" i="13"/>
  <c r="I370" i="13"/>
  <c r="J370" i="13"/>
  <c r="H371" i="13"/>
  <c r="I371" i="13"/>
  <c r="J371" i="13"/>
  <c r="H372" i="13"/>
  <c r="I372" i="13"/>
  <c r="J372" i="13"/>
  <c r="H373" i="13"/>
  <c r="I373" i="13"/>
  <c r="J373" i="13"/>
  <c r="H374" i="13"/>
  <c r="I374" i="13"/>
  <c r="J374" i="13"/>
  <c r="H375" i="13"/>
  <c r="I375" i="13"/>
  <c r="J375" i="13"/>
  <c r="H376" i="13"/>
  <c r="I376" i="13"/>
  <c r="J376" i="13"/>
  <c r="H377" i="13"/>
  <c r="I377" i="13"/>
  <c r="J377" i="13"/>
  <c r="H378" i="13"/>
  <c r="I378" i="13"/>
  <c r="J378" i="13"/>
  <c r="H379" i="13"/>
  <c r="I379" i="13"/>
  <c r="J379" i="13"/>
  <c r="H380" i="13"/>
  <c r="I380" i="13"/>
  <c r="J380" i="13"/>
  <c r="H381" i="13"/>
  <c r="I381" i="13"/>
  <c r="J381" i="13"/>
  <c r="H382" i="13"/>
  <c r="I382" i="13"/>
  <c r="J382" i="13"/>
  <c r="H383" i="13"/>
  <c r="I383" i="13"/>
  <c r="J383" i="13"/>
  <c r="H384" i="13"/>
  <c r="I384" i="13"/>
  <c r="J384" i="13"/>
  <c r="H385" i="13"/>
  <c r="I385" i="13"/>
  <c r="J385" i="13"/>
  <c r="H386" i="13"/>
  <c r="I386" i="13"/>
  <c r="J386" i="13"/>
  <c r="H387" i="13"/>
  <c r="I387" i="13"/>
  <c r="J387" i="13"/>
  <c r="H388" i="13"/>
  <c r="I388" i="13"/>
  <c r="J388" i="13"/>
  <c r="H389" i="13"/>
  <c r="I389" i="13"/>
  <c r="J389" i="13"/>
  <c r="H390" i="13"/>
  <c r="I390" i="13"/>
  <c r="J390" i="13"/>
  <c r="H391" i="13"/>
  <c r="I391" i="13"/>
  <c r="J391" i="13"/>
  <c r="H392" i="13"/>
  <c r="I392" i="13"/>
  <c r="J392" i="13"/>
  <c r="H393" i="13"/>
  <c r="I393" i="13"/>
  <c r="J393" i="13"/>
  <c r="H394" i="13"/>
  <c r="I394" i="13"/>
  <c r="J394" i="13"/>
  <c r="H395" i="13"/>
  <c r="I395" i="13"/>
  <c r="J395" i="13"/>
  <c r="H396" i="13"/>
  <c r="I396" i="13"/>
  <c r="J396" i="13"/>
  <c r="H397" i="13"/>
  <c r="I397" i="13"/>
  <c r="J397" i="13"/>
  <c r="H398" i="13"/>
  <c r="I398" i="13"/>
  <c r="J398" i="13"/>
  <c r="H399" i="13"/>
  <c r="I399" i="13"/>
  <c r="J399" i="13"/>
  <c r="H400" i="13"/>
  <c r="I400" i="13"/>
  <c r="J400" i="13"/>
  <c r="H401" i="13"/>
  <c r="I401" i="13"/>
  <c r="J401" i="13"/>
  <c r="H402" i="13"/>
  <c r="I402" i="13"/>
  <c r="J402" i="13"/>
  <c r="H403" i="13"/>
  <c r="I403" i="13"/>
  <c r="J403" i="13"/>
  <c r="H404" i="13"/>
  <c r="I404" i="13"/>
  <c r="J404" i="13"/>
  <c r="H405" i="13"/>
  <c r="I405" i="13"/>
  <c r="J405" i="13"/>
  <c r="H406" i="13"/>
  <c r="I406" i="13"/>
  <c r="J406" i="13"/>
  <c r="H407" i="13"/>
  <c r="I407" i="13"/>
  <c r="J407" i="13"/>
  <c r="H408" i="13"/>
  <c r="I408" i="13"/>
  <c r="J408" i="13"/>
  <c r="H409" i="13"/>
  <c r="I409" i="13"/>
  <c r="J409" i="13"/>
  <c r="H410" i="13"/>
  <c r="I410" i="13"/>
  <c r="J410" i="13"/>
  <c r="H411" i="13"/>
  <c r="I411" i="13"/>
  <c r="J411" i="13"/>
  <c r="H412" i="13"/>
  <c r="I412" i="13"/>
  <c r="J412" i="13"/>
  <c r="H413" i="13"/>
  <c r="I413" i="13"/>
  <c r="J413" i="13"/>
  <c r="H414" i="13"/>
  <c r="I414" i="13"/>
  <c r="J414" i="13"/>
  <c r="H415" i="13"/>
  <c r="I415" i="13"/>
  <c r="J415" i="13"/>
  <c r="H416" i="13"/>
  <c r="I416" i="13"/>
  <c r="J416" i="13"/>
  <c r="H417" i="13"/>
  <c r="I417" i="13"/>
  <c r="J417" i="13"/>
  <c r="H418" i="13"/>
  <c r="I418" i="13"/>
  <c r="J418" i="13"/>
  <c r="H419" i="13"/>
  <c r="I419" i="13"/>
  <c r="J419" i="13"/>
  <c r="H420" i="13"/>
  <c r="I420" i="13"/>
  <c r="J420" i="13"/>
  <c r="H421" i="13"/>
  <c r="I421" i="13"/>
  <c r="J421" i="13"/>
  <c r="H422" i="13"/>
  <c r="I422" i="13"/>
  <c r="J422" i="13"/>
  <c r="H423" i="13"/>
  <c r="I423" i="13"/>
  <c r="J423" i="13"/>
  <c r="H424" i="13"/>
  <c r="I424" i="13"/>
  <c r="J424" i="13"/>
  <c r="H425" i="13"/>
  <c r="I425" i="13"/>
  <c r="J425" i="13"/>
  <c r="H426" i="13"/>
  <c r="I426" i="13"/>
  <c r="J426" i="13"/>
  <c r="H427" i="13"/>
  <c r="I427" i="13"/>
  <c r="J427" i="13"/>
  <c r="H428" i="13"/>
  <c r="I428" i="13"/>
  <c r="J428" i="13"/>
  <c r="H429" i="13"/>
  <c r="I429" i="13"/>
  <c r="J429" i="13"/>
  <c r="H430" i="13"/>
  <c r="I430" i="13"/>
  <c r="J430" i="13"/>
  <c r="H431" i="13"/>
  <c r="I431" i="13"/>
  <c r="J431" i="13"/>
  <c r="H432" i="13"/>
  <c r="I432" i="13"/>
  <c r="J432" i="13"/>
  <c r="H433" i="13"/>
  <c r="I433" i="13"/>
  <c r="J433" i="13"/>
  <c r="H434" i="13"/>
  <c r="I434" i="13"/>
  <c r="J434" i="13"/>
  <c r="H435" i="13"/>
  <c r="I435" i="13"/>
  <c r="J435" i="13"/>
  <c r="H436" i="13"/>
  <c r="I436" i="13"/>
  <c r="J436" i="13"/>
  <c r="H437" i="13"/>
  <c r="I437" i="13"/>
  <c r="J437" i="13"/>
  <c r="H438" i="13"/>
  <c r="I438" i="13"/>
  <c r="J438" i="13"/>
  <c r="H439" i="13"/>
  <c r="I439" i="13"/>
  <c r="J439" i="13"/>
  <c r="H440" i="13"/>
  <c r="I440" i="13"/>
  <c r="J440" i="13"/>
  <c r="H441" i="13"/>
  <c r="I441" i="13"/>
  <c r="J441" i="13"/>
  <c r="H442" i="13"/>
  <c r="I442" i="13"/>
  <c r="J442" i="13"/>
  <c r="H443" i="13"/>
  <c r="I443" i="13"/>
  <c r="J443" i="13"/>
  <c r="H444" i="13"/>
  <c r="I444" i="13"/>
  <c r="J444" i="13"/>
  <c r="H445" i="13"/>
  <c r="I445" i="13"/>
  <c r="J445" i="13"/>
  <c r="H446" i="13"/>
  <c r="I446" i="13"/>
  <c r="J446" i="13"/>
  <c r="H447" i="13"/>
  <c r="I447" i="13"/>
  <c r="J447" i="13"/>
  <c r="H448" i="13"/>
  <c r="I448" i="13"/>
  <c r="J448" i="13"/>
  <c r="H449" i="13"/>
  <c r="I449" i="13"/>
  <c r="J449" i="13"/>
  <c r="H450" i="13"/>
  <c r="I450" i="13"/>
  <c r="J450" i="13"/>
  <c r="H451" i="13"/>
  <c r="I451" i="13"/>
  <c r="J451" i="13"/>
  <c r="H452" i="13"/>
  <c r="I452" i="13"/>
  <c r="J452" i="13"/>
  <c r="H453" i="13"/>
  <c r="I453" i="13"/>
  <c r="J453" i="13"/>
  <c r="H454" i="13"/>
  <c r="I454" i="13"/>
  <c r="J454" i="13"/>
  <c r="H455" i="13"/>
  <c r="I455" i="13"/>
  <c r="J455" i="13"/>
  <c r="H456" i="13"/>
  <c r="I456" i="13"/>
  <c r="J456" i="13"/>
  <c r="H457" i="13"/>
  <c r="I457" i="13"/>
  <c r="J457" i="13"/>
  <c r="H458" i="13"/>
  <c r="I458" i="13"/>
  <c r="J458" i="13"/>
  <c r="H459" i="13"/>
  <c r="I459" i="13"/>
  <c r="J459" i="13"/>
  <c r="H460" i="13"/>
  <c r="I460" i="13"/>
  <c r="J460" i="13"/>
  <c r="H461" i="13"/>
  <c r="I461" i="13"/>
  <c r="J461" i="13"/>
  <c r="H462" i="13"/>
  <c r="I462" i="13"/>
  <c r="J462" i="13"/>
  <c r="H463" i="13"/>
  <c r="I463" i="13"/>
  <c r="J463" i="13"/>
  <c r="H464" i="13"/>
  <c r="I464" i="13"/>
  <c r="J464" i="13"/>
  <c r="H465" i="13"/>
  <c r="I465" i="13"/>
  <c r="J465" i="13"/>
  <c r="H466" i="13"/>
  <c r="I466" i="13"/>
  <c r="J466" i="13"/>
  <c r="H467" i="13"/>
  <c r="I467" i="13"/>
  <c r="J467" i="13"/>
  <c r="H468" i="13"/>
  <c r="I468" i="13"/>
  <c r="J468" i="13"/>
  <c r="H469" i="13"/>
  <c r="I469" i="13"/>
  <c r="J469" i="13"/>
  <c r="H470" i="13"/>
  <c r="I470" i="13"/>
  <c r="J470" i="13"/>
  <c r="H471" i="13"/>
  <c r="I471" i="13"/>
  <c r="J471" i="13"/>
  <c r="H472" i="13"/>
  <c r="I472" i="13"/>
  <c r="J472" i="13"/>
  <c r="H473" i="13"/>
  <c r="I473" i="13"/>
  <c r="J473" i="13"/>
  <c r="H474" i="13"/>
  <c r="I474" i="13"/>
  <c r="J474" i="13"/>
  <c r="H475" i="13"/>
  <c r="I475" i="13"/>
  <c r="J475" i="13"/>
  <c r="H476" i="13"/>
  <c r="I476" i="13"/>
  <c r="J476" i="13"/>
  <c r="H477" i="13"/>
  <c r="I477" i="13"/>
  <c r="J477" i="13"/>
  <c r="H478" i="13"/>
  <c r="I478" i="13"/>
  <c r="J478" i="13"/>
  <c r="H479" i="13"/>
  <c r="I479" i="13"/>
  <c r="J479" i="13"/>
  <c r="H480" i="13"/>
  <c r="I480" i="13"/>
  <c r="J480" i="13"/>
  <c r="H481" i="13"/>
  <c r="I481" i="13"/>
  <c r="J481" i="13"/>
  <c r="H482" i="13"/>
  <c r="I482" i="13"/>
  <c r="J482" i="13"/>
  <c r="H483" i="13"/>
  <c r="I483" i="13"/>
  <c r="J483" i="13"/>
  <c r="H484" i="13"/>
  <c r="I484" i="13"/>
  <c r="J484" i="13"/>
  <c r="H485" i="13"/>
  <c r="I485" i="13"/>
  <c r="J485" i="13"/>
  <c r="H486" i="13"/>
  <c r="I486" i="13"/>
  <c r="J486" i="13"/>
  <c r="H487" i="13"/>
  <c r="I487" i="13"/>
  <c r="J487" i="13"/>
  <c r="H488" i="13"/>
  <c r="I488" i="13"/>
  <c r="J488" i="13"/>
  <c r="H489" i="13"/>
  <c r="I489" i="13"/>
  <c r="J489" i="13"/>
  <c r="H490" i="13"/>
  <c r="I490" i="13"/>
  <c r="J490" i="13"/>
  <c r="H491" i="13"/>
  <c r="I491" i="13"/>
  <c r="J491" i="13"/>
  <c r="H492" i="13"/>
  <c r="I492" i="13"/>
  <c r="J492" i="13"/>
  <c r="H493" i="13"/>
  <c r="I493" i="13"/>
  <c r="J493" i="13"/>
  <c r="H494" i="13"/>
  <c r="I494" i="13"/>
  <c r="J494" i="13"/>
  <c r="H495" i="13"/>
  <c r="I495" i="13"/>
  <c r="J495" i="13"/>
  <c r="H496" i="13"/>
  <c r="I496" i="13"/>
  <c r="J496" i="13"/>
  <c r="H497" i="13"/>
  <c r="I497" i="13"/>
  <c r="J497" i="13"/>
  <c r="H498" i="13"/>
  <c r="I498" i="13"/>
  <c r="J498" i="13"/>
  <c r="H499" i="13"/>
  <c r="I499" i="13"/>
  <c r="J499" i="13"/>
  <c r="H500" i="13"/>
  <c r="I500" i="13"/>
  <c r="J500" i="13"/>
  <c r="H501" i="13"/>
  <c r="I501" i="13"/>
  <c r="J501" i="13"/>
  <c r="H502" i="13"/>
  <c r="I502" i="13"/>
  <c r="J502" i="13"/>
  <c r="H503" i="13"/>
  <c r="I503" i="13"/>
  <c r="J503" i="13"/>
  <c r="H504" i="13"/>
  <c r="I504" i="13"/>
  <c r="J504" i="13"/>
  <c r="H505" i="13"/>
  <c r="I505" i="13"/>
  <c r="J505" i="13"/>
  <c r="H506" i="13"/>
  <c r="I506" i="13"/>
  <c r="J506" i="13"/>
  <c r="H507" i="13"/>
  <c r="I507" i="13"/>
  <c r="J507" i="13"/>
  <c r="H508" i="13"/>
  <c r="I508" i="13"/>
  <c r="J508" i="13"/>
  <c r="H509" i="13"/>
  <c r="I509" i="13"/>
  <c r="J509" i="13"/>
  <c r="H510" i="13"/>
  <c r="I510" i="13"/>
  <c r="J510" i="13"/>
  <c r="H511" i="13"/>
  <c r="I511" i="13"/>
  <c r="J511" i="13"/>
  <c r="H512" i="13"/>
  <c r="I512" i="13"/>
  <c r="J512" i="13"/>
  <c r="H513" i="13"/>
  <c r="I513" i="13"/>
  <c r="J513" i="13"/>
  <c r="H514" i="13"/>
  <c r="I514" i="13"/>
  <c r="J514" i="13"/>
  <c r="H515" i="13"/>
  <c r="I515" i="13"/>
  <c r="J515" i="13"/>
  <c r="H516" i="13"/>
  <c r="I516" i="13"/>
  <c r="J516" i="13"/>
  <c r="H517" i="13"/>
  <c r="I517" i="13"/>
  <c r="J517" i="13"/>
  <c r="H518" i="13"/>
  <c r="I518" i="13"/>
  <c r="J518" i="13"/>
  <c r="H519" i="13"/>
  <c r="I519" i="13"/>
  <c r="J519" i="13"/>
  <c r="H520" i="13"/>
  <c r="I520" i="13"/>
  <c r="J520" i="13"/>
  <c r="H521" i="13"/>
  <c r="I521" i="13"/>
  <c r="J521" i="13"/>
  <c r="H522" i="13"/>
  <c r="I522" i="13"/>
  <c r="J522" i="13"/>
  <c r="H523" i="13"/>
  <c r="I523" i="13"/>
  <c r="J523" i="13"/>
  <c r="H524" i="13"/>
  <c r="I524" i="13"/>
  <c r="J524" i="13"/>
  <c r="H525" i="13"/>
  <c r="I525" i="13"/>
  <c r="J525" i="13"/>
  <c r="H526" i="13"/>
  <c r="I526" i="13"/>
  <c r="J526" i="13"/>
  <c r="H527" i="13"/>
  <c r="I527" i="13"/>
  <c r="J527" i="13"/>
  <c r="H528" i="13"/>
  <c r="I528" i="13"/>
  <c r="J528" i="13"/>
  <c r="H529" i="13"/>
  <c r="I529" i="13"/>
  <c r="J529" i="13"/>
  <c r="H530" i="13"/>
  <c r="I530" i="13"/>
  <c r="J530" i="13"/>
  <c r="H531" i="13"/>
  <c r="I531" i="13"/>
  <c r="J531" i="13"/>
  <c r="H532" i="13"/>
  <c r="I532" i="13"/>
  <c r="J532" i="13"/>
  <c r="H533" i="13"/>
  <c r="I533" i="13"/>
  <c r="J533" i="13"/>
  <c r="H534" i="13"/>
  <c r="I534" i="13"/>
  <c r="J534" i="13"/>
  <c r="H535" i="13"/>
  <c r="I535" i="13"/>
  <c r="J535" i="13"/>
  <c r="H536" i="13"/>
  <c r="I536" i="13"/>
  <c r="J536" i="13"/>
  <c r="H537" i="13"/>
  <c r="I537" i="13"/>
  <c r="J537" i="13"/>
  <c r="H538" i="13"/>
  <c r="I538" i="13"/>
  <c r="J538" i="13"/>
  <c r="H539" i="13"/>
  <c r="I539" i="13"/>
  <c r="J539" i="13"/>
  <c r="H540" i="13"/>
  <c r="I540" i="13"/>
  <c r="J540" i="13"/>
  <c r="H541" i="13"/>
  <c r="I541" i="13"/>
  <c r="J541" i="13"/>
  <c r="H542" i="13"/>
  <c r="I542" i="13"/>
  <c r="J542" i="13"/>
  <c r="H543" i="13"/>
  <c r="I543" i="13"/>
  <c r="J543" i="13"/>
  <c r="H544" i="13"/>
  <c r="I544" i="13"/>
  <c r="J544" i="13"/>
  <c r="H545" i="13"/>
  <c r="I545" i="13"/>
  <c r="J545" i="13"/>
  <c r="H546" i="13"/>
  <c r="I546" i="13"/>
  <c r="J546" i="13"/>
  <c r="H547" i="13"/>
  <c r="I547" i="13"/>
  <c r="J547" i="13"/>
  <c r="H548" i="13"/>
  <c r="I548" i="13"/>
  <c r="J548" i="13"/>
  <c r="H549" i="13"/>
  <c r="I549" i="13"/>
  <c r="J549" i="13"/>
  <c r="H550" i="13"/>
  <c r="I550" i="13"/>
  <c r="J550" i="13"/>
  <c r="H551" i="13"/>
  <c r="I551" i="13"/>
  <c r="J551" i="13"/>
  <c r="H552" i="13"/>
  <c r="I552" i="13"/>
  <c r="J552" i="13"/>
  <c r="H553" i="13"/>
  <c r="I553" i="13"/>
  <c r="J553" i="13"/>
  <c r="H554" i="13"/>
  <c r="I554" i="13"/>
  <c r="J554" i="13"/>
  <c r="H555" i="13"/>
  <c r="I555" i="13"/>
  <c r="J555" i="13"/>
  <c r="H556" i="13"/>
  <c r="I556" i="13"/>
  <c r="J556" i="13"/>
  <c r="H557" i="13"/>
  <c r="I557" i="13"/>
  <c r="J557" i="13"/>
  <c r="H558" i="13"/>
  <c r="I558" i="13"/>
  <c r="J558" i="13"/>
  <c r="H559" i="13"/>
  <c r="I559" i="13"/>
  <c r="J559" i="13"/>
  <c r="H560" i="13"/>
  <c r="I560" i="13"/>
  <c r="J560" i="13"/>
  <c r="H561" i="13"/>
  <c r="I561" i="13"/>
  <c r="J561" i="13"/>
  <c r="H562" i="13"/>
  <c r="I562" i="13"/>
  <c r="J562" i="13"/>
  <c r="H563" i="13"/>
  <c r="I563" i="13"/>
  <c r="J563" i="13"/>
  <c r="H564" i="13"/>
  <c r="I564" i="13"/>
  <c r="J564" i="13"/>
  <c r="H565" i="13"/>
  <c r="I565" i="13"/>
  <c r="J565" i="13"/>
  <c r="H566" i="13"/>
  <c r="I566" i="13"/>
  <c r="J566" i="13"/>
  <c r="H567" i="13"/>
  <c r="I567" i="13"/>
  <c r="J567" i="13"/>
  <c r="H568" i="13"/>
  <c r="I568" i="13"/>
  <c r="J568" i="13"/>
  <c r="H569" i="13"/>
  <c r="I569" i="13"/>
  <c r="J569" i="13"/>
  <c r="H570" i="13"/>
  <c r="I570" i="13"/>
  <c r="J570" i="13"/>
  <c r="H571" i="13"/>
  <c r="I571" i="13"/>
  <c r="J571" i="13"/>
  <c r="H572" i="13"/>
  <c r="I572" i="13"/>
  <c r="J572" i="13"/>
  <c r="H573" i="13"/>
  <c r="I573" i="13"/>
  <c r="J573" i="13"/>
  <c r="H574" i="13"/>
  <c r="I574" i="13"/>
  <c r="J574" i="13"/>
  <c r="H575" i="13"/>
  <c r="I575" i="13"/>
  <c r="J575" i="13"/>
  <c r="H576" i="13"/>
  <c r="I576" i="13"/>
  <c r="J576" i="13"/>
  <c r="H577" i="13"/>
  <c r="I577" i="13"/>
  <c r="J577" i="13"/>
  <c r="H578" i="13"/>
  <c r="I578" i="13"/>
  <c r="J578" i="13"/>
  <c r="H579" i="13"/>
  <c r="I579" i="13"/>
  <c r="J579" i="13"/>
  <c r="H580" i="13"/>
  <c r="I580" i="13"/>
  <c r="J580" i="13"/>
  <c r="H581" i="13"/>
  <c r="I581" i="13"/>
  <c r="J581" i="13"/>
  <c r="H582" i="13"/>
  <c r="I582" i="13"/>
  <c r="J582" i="13"/>
  <c r="H583" i="13"/>
  <c r="I583" i="13"/>
  <c r="J583" i="13"/>
  <c r="H584" i="13"/>
  <c r="I584" i="13"/>
  <c r="J584" i="13"/>
  <c r="H585" i="13"/>
  <c r="I585" i="13"/>
  <c r="J585" i="13"/>
  <c r="H586" i="13"/>
  <c r="I586" i="13"/>
  <c r="J586" i="13"/>
  <c r="H587" i="13"/>
  <c r="I587" i="13"/>
  <c r="J587" i="13"/>
  <c r="H588" i="13"/>
  <c r="I588" i="13"/>
  <c r="J588" i="13"/>
  <c r="H589" i="13"/>
  <c r="I589" i="13"/>
  <c r="J589" i="13"/>
  <c r="H590" i="13"/>
  <c r="I590" i="13"/>
  <c r="J590" i="13"/>
  <c r="H591" i="13"/>
  <c r="I591" i="13"/>
  <c r="J591" i="13"/>
  <c r="H592" i="13"/>
  <c r="I592" i="13"/>
  <c r="J592" i="13"/>
  <c r="H593" i="13"/>
  <c r="I593" i="13"/>
  <c r="J593" i="13"/>
  <c r="H594" i="13"/>
  <c r="I594" i="13"/>
  <c r="J594" i="13"/>
  <c r="H595" i="13"/>
  <c r="I595" i="13"/>
  <c r="J595" i="13"/>
  <c r="H596" i="13"/>
  <c r="I596" i="13"/>
  <c r="J596" i="13"/>
  <c r="H597" i="13"/>
  <c r="I597" i="13"/>
  <c r="J597" i="13"/>
  <c r="H598" i="13"/>
  <c r="I598" i="13"/>
  <c r="J598" i="13"/>
  <c r="H599" i="13"/>
  <c r="I599" i="13"/>
  <c r="J599" i="13"/>
  <c r="H600" i="13"/>
  <c r="I600" i="13"/>
  <c r="J600" i="13"/>
  <c r="H601" i="13"/>
  <c r="I601" i="13"/>
  <c r="J601" i="13"/>
  <c r="H602" i="13"/>
  <c r="I602" i="13"/>
  <c r="J602" i="13"/>
  <c r="H603" i="13"/>
  <c r="I603" i="13"/>
  <c r="J603" i="13"/>
  <c r="H604" i="13"/>
  <c r="I604" i="13"/>
  <c r="J604" i="13"/>
  <c r="H605" i="13"/>
  <c r="I605" i="13"/>
  <c r="J605" i="13"/>
  <c r="H606" i="13"/>
  <c r="I606" i="13"/>
  <c r="J606" i="13"/>
  <c r="H607" i="13"/>
  <c r="I607" i="13"/>
  <c r="J607" i="13"/>
  <c r="H608" i="13"/>
  <c r="I608" i="13"/>
  <c r="J608" i="13"/>
  <c r="H609" i="13"/>
  <c r="I609" i="13"/>
  <c r="J609" i="13"/>
  <c r="H610" i="13"/>
  <c r="I610" i="13"/>
  <c r="J610" i="13"/>
  <c r="H611" i="13"/>
  <c r="I611" i="13"/>
  <c r="J611" i="13"/>
  <c r="H612" i="13"/>
  <c r="I612" i="13"/>
  <c r="J612" i="13"/>
  <c r="H613" i="13"/>
  <c r="I613" i="13"/>
  <c r="J613" i="13"/>
  <c r="H614" i="13"/>
  <c r="I614" i="13"/>
  <c r="J614" i="13"/>
  <c r="H615" i="13"/>
  <c r="I615" i="13"/>
  <c r="J615" i="13"/>
  <c r="H616" i="13"/>
  <c r="I616" i="13"/>
  <c r="J616" i="13"/>
  <c r="H617" i="13"/>
  <c r="I617" i="13"/>
  <c r="J617" i="13"/>
  <c r="H618" i="13"/>
  <c r="I618" i="13"/>
  <c r="J618" i="13"/>
  <c r="H619" i="13"/>
  <c r="I619" i="13"/>
  <c r="J619" i="13"/>
  <c r="H620" i="13"/>
  <c r="I620" i="13"/>
  <c r="J620" i="13"/>
  <c r="H621" i="13"/>
  <c r="I621" i="13"/>
  <c r="J621" i="13"/>
  <c r="H622" i="13"/>
  <c r="I622" i="13"/>
  <c r="J622" i="13"/>
  <c r="H623" i="13"/>
  <c r="I623" i="13"/>
  <c r="J623" i="13"/>
  <c r="H624" i="13"/>
  <c r="I624" i="13"/>
  <c r="J624" i="13"/>
  <c r="H625" i="13"/>
  <c r="I625" i="13"/>
  <c r="J625" i="13"/>
  <c r="H626" i="13"/>
  <c r="I626" i="13"/>
  <c r="J626" i="13"/>
  <c r="H627" i="13"/>
  <c r="I627" i="13"/>
  <c r="J627" i="13"/>
  <c r="H628" i="13"/>
  <c r="I628" i="13"/>
  <c r="J628" i="13"/>
  <c r="H629" i="13"/>
  <c r="I629" i="13"/>
  <c r="J629" i="13"/>
  <c r="H630" i="13"/>
  <c r="I630" i="13"/>
  <c r="J630" i="13"/>
  <c r="H631" i="13"/>
  <c r="I631" i="13"/>
  <c r="J631" i="13"/>
  <c r="H632" i="13"/>
  <c r="I632" i="13"/>
  <c r="J632" i="13"/>
  <c r="H633" i="13"/>
  <c r="I633" i="13"/>
  <c r="J633" i="13"/>
  <c r="H634" i="13"/>
  <c r="I634" i="13"/>
  <c r="J634" i="13"/>
  <c r="H635" i="13"/>
  <c r="I635" i="13"/>
  <c r="J635" i="13"/>
  <c r="H636" i="13"/>
  <c r="I636" i="13"/>
  <c r="J636" i="13"/>
  <c r="H637" i="13"/>
  <c r="I637" i="13"/>
  <c r="J637" i="13"/>
  <c r="H638" i="13"/>
  <c r="I638" i="13"/>
  <c r="J638" i="13"/>
  <c r="H639" i="13"/>
  <c r="I639" i="13"/>
  <c r="J639" i="13"/>
  <c r="H640" i="13"/>
  <c r="I640" i="13"/>
  <c r="J640" i="13"/>
  <c r="H641" i="13"/>
  <c r="I641" i="13"/>
  <c r="J641" i="13"/>
  <c r="H642" i="13"/>
  <c r="I642" i="13"/>
  <c r="J642" i="13"/>
  <c r="H643" i="13"/>
  <c r="I643" i="13"/>
  <c r="J643" i="13"/>
  <c r="H644" i="13"/>
  <c r="I644" i="13"/>
  <c r="J644" i="13"/>
  <c r="H645" i="13"/>
  <c r="I645" i="13"/>
  <c r="J645" i="13"/>
  <c r="H646" i="13"/>
  <c r="I646" i="13"/>
  <c r="J646" i="13"/>
  <c r="H647" i="13"/>
  <c r="I647" i="13"/>
  <c r="J647" i="13"/>
  <c r="H648" i="13"/>
  <c r="I648" i="13"/>
  <c r="J648" i="13"/>
  <c r="H649" i="13"/>
  <c r="I649" i="13"/>
  <c r="J649" i="13"/>
  <c r="H650" i="13"/>
  <c r="I650" i="13"/>
  <c r="J650" i="13"/>
  <c r="H651" i="13"/>
  <c r="I651" i="13"/>
  <c r="J651" i="13"/>
  <c r="H652" i="13"/>
  <c r="I652" i="13"/>
  <c r="J652" i="13"/>
  <c r="H653" i="13"/>
  <c r="I653" i="13"/>
  <c r="J653" i="13"/>
  <c r="H654" i="13"/>
  <c r="I654" i="13"/>
  <c r="J654" i="13"/>
  <c r="H655" i="13"/>
  <c r="I655" i="13"/>
  <c r="J655" i="13"/>
  <c r="H656" i="13"/>
  <c r="I656" i="13"/>
  <c r="J656" i="13"/>
  <c r="H657" i="13"/>
  <c r="I657" i="13"/>
  <c r="J657" i="13"/>
  <c r="H658" i="13"/>
  <c r="I658" i="13"/>
  <c r="J658" i="13"/>
  <c r="H659" i="13"/>
  <c r="I659" i="13"/>
  <c r="J659" i="13"/>
  <c r="H660" i="13"/>
  <c r="I660" i="13"/>
  <c r="J660" i="13"/>
  <c r="H661" i="13"/>
  <c r="I661" i="13"/>
  <c r="J661" i="13"/>
  <c r="H662" i="13"/>
  <c r="I662" i="13"/>
  <c r="J662" i="13"/>
  <c r="H663" i="13"/>
  <c r="I663" i="13"/>
  <c r="J663" i="13"/>
  <c r="H664" i="13"/>
  <c r="I664" i="13"/>
  <c r="J664" i="13"/>
  <c r="H665" i="13"/>
  <c r="I665" i="13"/>
  <c r="J665" i="13"/>
  <c r="H666" i="13"/>
  <c r="I666" i="13"/>
  <c r="J666" i="13"/>
  <c r="H667" i="13"/>
  <c r="I667" i="13"/>
  <c r="J667" i="13"/>
  <c r="H668" i="13"/>
  <c r="I668" i="13"/>
  <c r="J668" i="13"/>
  <c r="H669" i="13"/>
  <c r="I669" i="13"/>
  <c r="J669" i="13"/>
  <c r="H670" i="13"/>
  <c r="I670" i="13"/>
  <c r="J670" i="13"/>
  <c r="J3" i="13"/>
  <c r="I3" i="13"/>
  <c r="H3" i="13"/>
  <c r="AH83" i="18" l="1"/>
  <c r="AH63" i="18"/>
  <c r="AH89" i="18"/>
  <c r="AH51" i="18"/>
  <c r="AH87" i="18"/>
  <c r="AH57" i="18"/>
  <c r="AH77" i="18"/>
  <c r="AH41" i="18"/>
  <c r="AH81" i="18"/>
  <c r="AH35" i="18"/>
  <c r="AH47" i="18"/>
  <c r="AH31" i="18"/>
  <c r="AH49" i="18"/>
  <c r="AH27" i="18"/>
  <c r="AH85" i="18"/>
  <c r="AH69" i="18"/>
  <c r="AH59" i="18"/>
  <c r="AH33" i="18"/>
  <c r="AH73" i="18"/>
  <c r="AH39" i="18"/>
  <c r="AI93" i="18"/>
  <c r="AH45" i="18"/>
  <c r="AH79" i="18"/>
  <c r="AH53" i="18"/>
  <c r="AH43" i="18"/>
  <c r="AH37" i="18"/>
  <c r="AH61" i="18"/>
  <c r="AH55" i="18"/>
  <c r="AH91" i="18"/>
  <c r="AH29" i="18"/>
  <c r="AG93" i="18"/>
  <c r="AH75" i="18"/>
  <c r="AH65" i="18"/>
  <c r="AH67" i="18"/>
  <c r="B192" i="18"/>
  <c r="B188" i="18" s="1"/>
  <c r="Q151" i="18"/>
  <c r="Q152" i="18" s="1"/>
  <c r="Q153" i="18" s="1"/>
  <c r="V157" i="18"/>
  <c r="V158" i="18"/>
  <c r="AY190" i="18"/>
  <c r="AY189" i="18"/>
  <c r="U190" i="18"/>
  <c r="U189" i="18"/>
  <c r="X189" i="18"/>
  <c r="X190" i="18"/>
  <c r="AX190" i="18"/>
  <c r="AX189" i="18"/>
  <c r="AV189" i="18"/>
  <c r="AV190" i="18"/>
  <c r="P114" i="18"/>
  <c r="P113" i="18"/>
  <c r="AT190" i="18"/>
  <c r="AT189" i="18"/>
  <c r="AX162" i="18"/>
  <c r="AX161" i="18"/>
  <c r="V189" i="18"/>
  <c r="V190" i="18"/>
  <c r="O190" i="18"/>
  <c r="O189" i="18"/>
  <c r="O59" i="18"/>
  <c r="O60" i="18" s="1"/>
  <c r="O64" i="18"/>
  <c r="AO189" i="18"/>
  <c r="AO190" i="18"/>
  <c r="AS190" i="18"/>
  <c r="AS189" i="18"/>
  <c r="P151" i="18"/>
  <c r="P152" i="18" s="1"/>
  <c r="P156" i="18"/>
  <c r="Q189" i="18"/>
  <c r="Q190" i="18"/>
  <c r="X151" i="18"/>
  <c r="X152" i="18" s="1"/>
  <c r="AX122" i="18"/>
  <c r="AX121" i="18"/>
  <c r="M190" i="18"/>
  <c r="M189" i="18"/>
  <c r="Y114" i="18"/>
  <c r="Y113" i="18"/>
  <c r="Z189" i="18"/>
  <c r="Z190" i="18"/>
  <c r="AO162" i="18"/>
  <c r="AO161" i="18"/>
  <c r="N158" i="18"/>
  <c r="N157" i="18"/>
  <c r="AP162" i="18"/>
  <c r="AP161" i="18"/>
  <c r="M183" i="18"/>
  <c r="M184" i="18" s="1"/>
  <c r="BB121" i="18"/>
  <c r="BB122" i="18"/>
  <c r="BC189" i="18"/>
  <c r="BC190" i="18"/>
  <c r="BA66" i="18"/>
  <c r="BA65" i="18"/>
  <c r="L113" i="18"/>
  <c r="L114" i="18"/>
  <c r="AU162" i="18"/>
  <c r="AU161" i="18"/>
  <c r="S114" i="18"/>
  <c r="S113" i="18"/>
  <c r="AS161" i="18"/>
  <c r="AS162" i="18"/>
  <c r="BA190" i="18"/>
  <c r="BA189" i="18"/>
  <c r="AS59" i="18"/>
  <c r="AS64" i="18"/>
  <c r="L158" i="18"/>
  <c r="L157" i="18"/>
  <c r="AP190" i="18"/>
  <c r="AP189" i="18"/>
  <c r="H66" i="18"/>
  <c r="H65" i="18"/>
  <c r="T158" i="18"/>
  <c r="T157" i="18"/>
  <c r="AO66" i="18"/>
  <c r="AO65" i="18"/>
  <c r="Q158" i="18"/>
  <c r="Q157" i="18"/>
  <c r="S189" i="18"/>
  <c r="S190" i="18"/>
  <c r="R65" i="18"/>
  <c r="R66" i="18"/>
  <c r="Y66" i="18"/>
  <c r="Y65" i="18"/>
  <c r="X157" i="18"/>
  <c r="X158" i="18"/>
  <c r="AQ121" i="18"/>
  <c r="AQ122" i="18"/>
  <c r="P189" i="18"/>
  <c r="P190" i="18"/>
  <c r="AQ59" i="18"/>
  <c r="AQ60" i="18" s="1"/>
  <c r="AQ64" i="18"/>
  <c r="AR162" i="18"/>
  <c r="AR161" i="18"/>
  <c r="BB162" i="18"/>
  <c r="BB161" i="18"/>
  <c r="AW65" i="18"/>
  <c r="AW66" i="18"/>
  <c r="AV115" i="18"/>
  <c r="AV116" i="18" s="1"/>
  <c r="AV120" i="18"/>
  <c r="AY162" i="18"/>
  <c r="AY161" i="18"/>
  <c r="AR190" i="18"/>
  <c r="AR189" i="18"/>
  <c r="V107" i="18"/>
  <c r="V108" i="18" s="1"/>
  <c r="V112" i="18"/>
  <c r="Z157" i="18"/>
  <c r="Z158" i="18"/>
  <c r="AS121" i="18"/>
  <c r="AS122" i="18"/>
  <c r="L190" i="18"/>
  <c r="L189" i="18"/>
  <c r="Q114" i="18"/>
  <c r="Q113" i="18"/>
  <c r="V65" i="18"/>
  <c r="V66" i="18"/>
  <c r="N113" i="18"/>
  <c r="N114" i="18"/>
  <c r="AO122" i="18"/>
  <c r="AO121" i="18"/>
  <c r="AY121" i="18"/>
  <c r="AY122" i="18"/>
  <c r="Z68" i="18"/>
  <c r="I68" i="18"/>
  <c r="J68" i="18" s="1"/>
  <c r="K68" i="18" s="1"/>
  <c r="L68" i="18" s="1"/>
  <c r="M68" i="18" s="1"/>
  <c r="N68" i="18" s="1"/>
  <c r="AQ192" i="18"/>
  <c r="T192" i="18"/>
  <c r="X68" i="18"/>
  <c r="AO115" i="18"/>
  <c r="AO116" i="18" s="1"/>
  <c r="Y107" i="18"/>
  <c r="Y108" i="18" s="1"/>
  <c r="AT183" i="18"/>
  <c r="AT184" i="18" s="1"/>
  <c r="AU155" i="18"/>
  <c r="AU156" i="18" s="1"/>
  <c r="L107" i="18"/>
  <c r="L108" i="18" s="1"/>
  <c r="AR183" i="18"/>
  <c r="AR184" i="18" s="1"/>
  <c r="AV183" i="18"/>
  <c r="AV184" i="18" s="1"/>
  <c r="U183" i="18"/>
  <c r="U184" i="18" s="1"/>
  <c r="N151" i="18"/>
  <c r="N152" i="18" s="1"/>
  <c r="AY115" i="18"/>
  <c r="AY116" i="18" s="1"/>
  <c r="AO155" i="18"/>
  <c r="AO156" i="18" s="1"/>
  <c r="AS115" i="18"/>
  <c r="AS116" i="18" s="1"/>
  <c r="BB155" i="18"/>
  <c r="BB156" i="18" s="1"/>
  <c r="L151" i="18"/>
  <c r="L152" i="18" s="1"/>
  <c r="S183" i="18"/>
  <c r="S184" i="18" s="1"/>
  <c r="N107" i="18"/>
  <c r="N108" i="18" s="1"/>
  <c r="AS183" i="18"/>
  <c r="AS184" i="18" s="1"/>
  <c r="AO183" i="18"/>
  <c r="AO184" i="18" s="1"/>
  <c r="R116" i="18"/>
  <c r="V59" i="18"/>
  <c r="V60" i="18" s="1"/>
  <c r="BA183" i="18"/>
  <c r="BA184" i="18" s="1"/>
  <c r="AO59" i="18"/>
  <c r="AO60" i="18" s="1"/>
  <c r="R59" i="18"/>
  <c r="R60" i="18" s="1"/>
  <c r="BB115" i="18"/>
  <c r="BB116" i="18" s="1"/>
  <c r="V183" i="18"/>
  <c r="V184" i="18" s="1"/>
  <c r="BA59" i="18"/>
  <c r="BA60" i="18" s="1"/>
  <c r="AS155" i="18"/>
  <c r="AS156" i="18" s="1"/>
  <c r="O183" i="18"/>
  <c r="O184" i="18" s="1"/>
  <c r="AX115" i="18"/>
  <c r="AX116" i="18" s="1"/>
  <c r="AR155" i="18"/>
  <c r="AR156" i="18" s="1"/>
  <c r="T151" i="18"/>
  <c r="T152" i="18" s="1"/>
  <c r="BM192" i="18"/>
  <c r="BM195" i="18"/>
  <c r="AX183" i="18"/>
  <c r="AX184" i="18" s="1"/>
  <c r="AY183" i="18"/>
  <c r="AY184" i="18" s="1"/>
  <c r="P183" i="18"/>
  <c r="P184" i="18" s="1"/>
  <c r="X183" i="18"/>
  <c r="X184" i="18" s="1"/>
  <c r="AY155" i="18"/>
  <c r="AY156" i="18" s="1"/>
  <c r="L183" i="18"/>
  <c r="L184" i="18" s="1"/>
  <c r="H59" i="18"/>
  <c r="H60" i="18" s="1"/>
  <c r="Y59" i="18"/>
  <c r="Y60" i="18" s="1"/>
  <c r="S107" i="18"/>
  <c r="S108" i="18" s="1"/>
  <c r="Q183" i="18"/>
  <c r="Q184" i="18" s="1"/>
  <c r="AW59" i="18"/>
  <c r="AW60" i="18" s="1"/>
  <c r="AP155" i="18"/>
  <c r="AP156" i="18" s="1"/>
  <c r="Z151" i="18"/>
  <c r="Z152" i="18" s="1"/>
  <c r="B191" i="18"/>
  <c r="P107" i="18"/>
  <c r="P108" i="18" s="1"/>
  <c r="Q107" i="18"/>
  <c r="Q108" i="18" s="1"/>
  <c r="V151" i="18"/>
  <c r="V152" i="18" s="1"/>
  <c r="Z183" i="18"/>
  <c r="Z184" i="18" s="1"/>
  <c r="BC183" i="18"/>
  <c r="BC184" i="18" s="1"/>
  <c r="AX155" i="18"/>
  <c r="AX156" i="18" s="1"/>
  <c r="Q147" i="18"/>
  <c r="Q148" i="18" s="1"/>
  <c r="AP183" i="18"/>
  <c r="AP184" i="18" s="1"/>
  <c r="AQ115" i="18"/>
  <c r="AQ116" i="18" s="1"/>
  <c r="AS151" i="15"/>
  <c r="AU151" i="15"/>
  <c r="BA55" i="15"/>
  <c r="AR151" i="15"/>
  <c r="AY151" i="15"/>
  <c r="AS55" i="15"/>
  <c r="Q179" i="15"/>
  <c r="AQ55" i="15"/>
  <c r="AW55" i="15"/>
  <c r="AX151" i="15"/>
  <c r="BM187" i="15"/>
  <c r="BM184" i="15"/>
  <c r="AO47" i="15"/>
  <c r="Z147" i="15"/>
  <c r="Z171" i="15"/>
  <c r="P171" i="15"/>
  <c r="V175" i="15"/>
  <c r="L171" i="15"/>
  <c r="O175" i="15"/>
  <c r="U171" i="15"/>
  <c r="M175" i="15"/>
  <c r="S171" i="15"/>
  <c r="X179" i="15"/>
  <c r="AP143" i="15"/>
  <c r="AO143" i="15"/>
  <c r="BB147" i="15"/>
  <c r="B195" i="15"/>
  <c r="B192" i="15"/>
  <c r="AY115" i="15"/>
  <c r="AY175" i="15"/>
  <c r="Y103" i="15"/>
  <c r="V143" i="15"/>
  <c r="V51" i="15"/>
  <c r="Y51" i="15"/>
  <c r="V103" i="15"/>
  <c r="BB111" i="15"/>
  <c r="BB107" i="15" s="1"/>
  <c r="AS111" i="15"/>
  <c r="AS107" i="15" s="1"/>
  <c r="AV111" i="15"/>
  <c r="AQ111" i="15"/>
  <c r="AO111" i="15"/>
  <c r="AX107" i="15"/>
  <c r="H59" i="15"/>
  <c r="AS171" i="15"/>
  <c r="N143" i="15"/>
  <c r="S103" i="15"/>
  <c r="AV171" i="15"/>
  <c r="Q139" i="15"/>
  <c r="AR175" i="15"/>
  <c r="N99" i="15"/>
  <c r="Q87" i="15"/>
  <c r="T123" i="15"/>
  <c r="P99" i="15"/>
  <c r="AT171" i="15"/>
  <c r="L107" i="15"/>
  <c r="R35" i="15"/>
  <c r="O55" i="15"/>
  <c r="X151" i="15"/>
  <c r="P143" i="15"/>
  <c r="AH93" i="18" l="1"/>
  <c r="AS60" i="18"/>
  <c r="AS55" i="18"/>
  <c r="P147" i="18"/>
  <c r="AV111" i="18"/>
  <c r="AR179" i="18"/>
  <c r="N103" i="18"/>
  <c r="X147" i="18"/>
  <c r="X148" i="18" s="1"/>
  <c r="X149" i="18" s="1"/>
  <c r="M179" i="18"/>
  <c r="M180" i="18" s="1"/>
  <c r="M181" i="18" s="1"/>
  <c r="Q154" i="18"/>
  <c r="AQ55" i="18"/>
  <c r="P158" i="18"/>
  <c r="P157" i="18"/>
  <c r="AT185" i="18"/>
  <c r="AT186" i="18"/>
  <c r="BC185" i="18"/>
  <c r="BC186" i="18"/>
  <c r="AW62" i="18"/>
  <c r="AW61" i="18"/>
  <c r="AQ62" i="18"/>
  <c r="AQ61" i="18"/>
  <c r="AO158" i="18"/>
  <c r="AO157" i="18"/>
  <c r="BA186" i="18"/>
  <c r="BA185" i="18"/>
  <c r="AV122" i="18"/>
  <c r="AV121" i="18"/>
  <c r="AO151" i="18"/>
  <c r="H61" i="18"/>
  <c r="H62" i="18"/>
  <c r="AX118" i="18"/>
  <c r="AX117" i="18"/>
  <c r="U186" i="18"/>
  <c r="U185" i="18"/>
  <c r="AV117" i="18"/>
  <c r="AV118" i="18"/>
  <c r="AX158" i="18"/>
  <c r="AX157" i="18"/>
  <c r="V114" i="18"/>
  <c r="V113" i="18"/>
  <c r="V185" i="18"/>
  <c r="V186" i="18"/>
  <c r="L153" i="18"/>
  <c r="L154" i="18"/>
  <c r="V110" i="18"/>
  <c r="V109" i="18"/>
  <c r="Z186" i="18"/>
  <c r="Z185" i="18"/>
  <c r="BB117" i="18"/>
  <c r="BB118" i="18"/>
  <c r="BB158" i="18"/>
  <c r="BB157" i="18"/>
  <c r="AS118" i="18"/>
  <c r="AS117" i="18"/>
  <c r="AO61" i="18"/>
  <c r="AO62" i="18"/>
  <c r="AY118" i="18"/>
  <c r="AY117" i="18"/>
  <c r="AQ118" i="18"/>
  <c r="AQ117" i="18"/>
  <c r="P109" i="18"/>
  <c r="P110" i="18"/>
  <c r="V61" i="18"/>
  <c r="V62" i="18"/>
  <c r="AP186" i="18"/>
  <c r="AP185" i="18"/>
  <c r="O186" i="18"/>
  <c r="O185" i="18"/>
  <c r="AV185" i="18"/>
  <c r="AV186" i="18"/>
  <c r="AY158" i="18"/>
  <c r="AY157" i="18"/>
  <c r="AS157" i="18"/>
  <c r="AS158" i="18"/>
  <c r="AR186" i="18"/>
  <c r="AR185" i="18"/>
  <c r="AX185" i="18"/>
  <c r="AX186" i="18"/>
  <c r="O61" i="18"/>
  <c r="O62" i="18"/>
  <c r="AQ66" i="18"/>
  <c r="AQ65" i="18"/>
  <c r="V153" i="18"/>
  <c r="V154" i="18"/>
  <c r="V103" i="18"/>
  <c r="AS66" i="18"/>
  <c r="AS65" i="18"/>
  <c r="S110" i="18"/>
  <c r="S109" i="18"/>
  <c r="T154" i="18"/>
  <c r="T153" i="18"/>
  <c r="P154" i="18"/>
  <c r="P153" i="18"/>
  <c r="Y61" i="18"/>
  <c r="Y62" i="18"/>
  <c r="N154" i="18"/>
  <c r="N153" i="18"/>
  <c r="L186" i="18"/>
  <c r="L185" i="18"/>
  <c r="Z153" i="18"/>
  <c r="Z154" i="18"/>
  <c r="BA62" i="18"/>
  <c r="BA61" i="18"/>
  <c r="AS186" i="18"/>
  <c r="AS185" i="18"/>
  <c r="L110" i="18"/>
  <c r="L109" i="18"/>
  <c r="M186" i="18"/>
  <c r="M185" i="18"/>
  <c r="AY185" i="18"/>
  <c r="AY186" i="18"/>
  <c r="S186" i="18"/>
  <c r="S185" i="18"/>
  <c r="O65" i="18"/>
  <c r="O66" i="18"/>
  <c r="Y110" i="18"/>
  <c r="Y109" i="18"/>
  <c r="X153" i="18"/>
  <c r="X154" i="18"/>
  <c r="AO118" i="18"/>
  <c r="AO117" i="18"/>
  <c r="R62" i="18"/>
  <c r="R61" i="18"/>
  <c r="Q110" i="18"/>
  <c r="Q109" i="18"/>
  <c r="Q186" i="18"/>
  <c r="Q185" i="18"/>
  <c r="AR158" i="18"/>
  <c r="AR157" i="18"/>
  <c r="AO185" i="18"/>
  <c r="AO186" i="18"/>
  <c r="AT179" i="18"/>
  <c r="AT180" i="18" s="1"/>
  <c r="X185" i="18"/>
  <c r="X186" i="18"/>
  <c r="Q150" i="18"/>
  <c r="Q149" i="18"/>
  <c r="AP158" i="18"/>
  <c r="AP157" i="18"/>
  <c r="P185" i="18"/>
  <c r="P186" i="18"/>
  <c r="O55" i="18"/>
  <c r="O56" i="18" s="1"/>
  <c r="P56" i="18" s="1"/>
  <c r="Q56" i="18" s="1"/>
  <c r="N109" i="18"/>
  <c r="N110" i="18"/>
  <c r="AU157" i="18"/>
  <c r="AU158" i="18"/>
  <c r="S179" i="18"/>
  <c r="S180" i="18" s="1"/>
  <c r="BB188" i="18"/>
  <c r="AA68" i="18"/>
  <c r="X112" i="18"/>
  <c r="Y103" i="18"/>
  <c r="Y104" i="18" s="1"/>
  <c r="AS179" i="18"/>
  <c r="AS180" i="18" s="1"/>
  <c r="AU151" i="18"/>
  <c r="AU152" i="18" s="1"/>
  <c r="AO55" i="18"/>
  <c r="AO56" i="18" s="1"/>
  <c r="L147" i="18"/>
  <c r="L148" i="18" s="1"/>
  <c r="BB151" i="18"/>
  <c r="BB152" i="18" s="1"/>
  <c r="L103" i="18"/>
  <c r="L104" i="18" s="1"/>
  <c r="U179" i="18"/>
  <c r="U180" i="18" s="1"/>
  <c r="V179" i="18"/>
  <c r="V180" i="18" s="1"/>
  <c r="AV179" i="18"/>
  <c r="AV180" i="18" s="1"/>
  <c r="AO179" i="18"/>
  <c r="AO180" i="18" s="1"/>
  <c r="AS111" i="18"/>
  <c r="AS112" i="18" s="1"/>
  <c r="AY111" i="18"/>
  <c r="AY112" i="18" s="1"/>
  <c r="BA179" i="18"/>
  <c r="BA180" i="18" s="1"/>
  <c r="BB184" i="18"/>
  <c r="O152" i="18"/>
  <c r="N147" i="18"/>
  <c r="N148" i="18" s="1"/>
  <c r="AO111" i="18"/>
  <c r="AO112" i="18" s="1"/>
  <c r="Y156" i="18"/>
  <c r="N184" i="18"/>
  <c r="AU192" i="18"/>
  <c r="Z116" i="18"/>
  <c r="AA116" i="18"/>
  <c r="AU188" i="18"/>
  <c r="W112" i="18"/>
  <c r="Y192" i="18"/>
  <c r="AA160" i="18"/>
  <c r="T116" i="18"/>
  <c r="U116" i="18" s="1"/>
  <c r="T188" i="18"/>
  <c r="M120" i="18"/>
  <c r="S64" i="18"/>
  <c r="T64" i="18" s="1"/>
  <c r="U64" i="18" s="1"/>
  <c r="AQ168" i="18"/>
  <c r="O120" i="18"/>
  <c r="O160" i="18"/>
  <c r="Q12" i="18"/>
  <c r="R12" i="18" s="1"/>
  <c r="S12" i="18" s="1"/>
  <c r="T12" i="18" s="1"/>
  <c r="U12" i="18" s="1"/>
  <c r="O156" i="18"/>
  <c r="Q16" i="18"/>
  <c r="R16" i="18" s="1"/>
  <c r="S16" i="18" s="1"/>
  <c r="T16" i="18" s="1"/>
  <c r="U16" i="18" s="1"/>
  <c r="P72" i="18"/>
  <c r="Q72" i="18" s="1"/>
  <c r="W196" i="18"/>
  <c r="U164" i="18"/>
  <c r="Y160" i="18"/>
  <c r="N192" i="18"/>
  <c r="AQ200" i="18"/>
  <c r="BB196" i="18"/>
  <c r="AV168" i="18"/>
  <c r="AW168" i="18" s="1"/>
  <c r="N196" i="18"/>
  <c r="T120" i="18"/>
  <c r="U120" i="18" s="1"/>
  <c r="U160" i="18"/>
  <c r="AW200" i="18"/>
  <c r="AX200" i="18" s="1"/>
  <c r="M160" i="18"/>
  <c r="M112" i="18"/>
  <c r="AW188" i="18"/>
  <c r="S72" i="18"/>
  <c r="T72" i="18" s="1"/>
  <c r="U72" i="18" s="1"/>
  <c r="AA112" i="18"/>
  <c r="Z112" i="18"/>
  <c r="I8" i="18"/>
  <c r="J8" i="18" s="1"/>
  <c r="K8" i="18" s="1"/>
  <c r="L8" i="18" s="1"/>
  <c r="M8" i="18" s="1"/>
  <c r="N8" i="18" s="1"/>
  <c r="O8" i="18" s="1"/>
  <c r="P8" i="18" s="1"/>
  <c r="Q8" i="18" s="1"/>
  <c r="R8" i="18" s="1"/>
  <c r="S8" i="18" s="1"/>
  <c r="T8" i="18" s="1"/>
  <c r="U8" i="18" s="1"/>
  <c r="AZ200" i="18"/>
  <c r="M156" i="18"/>
  <c r="Y164" i="18"/>
  <c r="P60" i="18"/>
  <c r="Q60" i="18" s="1"/>
  <c r="O112" i="18"/>
  <c r="AW192" i="18"/>
  <c r="X116" i="18"/>
  <c r="W116" i="18"/>
  <c r="X72" i="18"/>
  <c r="W72" i="18"/>
  <c r="Z72" i="18"/>
  <c r="AA72" i="18"/>
  <c r="J16" i="18"/>
  <c r="K16" i="18" s="1"/>
  <c r="L16" i="18" s="1"/>
  <c r="M16" i="18" s="1"/>
  <c r="N16" i="18" s="1"/>
  <c r="O16" i="18" s="1"/>
  <c r="J12" i="18"/>
  <c r="K12" i="18" s="1"/>
  <c r="L12" i="18" s="1"/>
  <c r="M12" i="18" s="1"/>
  <c r="N12" i="18" s="1"/>
  <c r="O12" i="18" s="1"/>
  <c r="AA196" i="18"/>
  <c r="R120" i="18"/>
  <c r="AZ168" i="18"/>
  <c r="BA168" i="18" s="1"/>
  <c r="BB111" i="18"/>
  <c r="BB112" i="18" s="1"/>
  <c r="O116" i="18"/>
  <c r="W192" i="18"/>
  <c r="R200" i="18"/>
  <c r="V55" i="18"/>
  <c r="V56" i="18" s="1"/>
  <c r="W188" i="18"/>
  <c r="AA12" i="18"/>
  <c r="Q204" i="18"/>
  <c r="R204" i="18" s="1"/>
  <c r="N200" i="18"/>
  <c r="R192" i="18"/>
  <c r="W160" i="18"/>
  <c r="W184" i="18"/>
  <c r="P68" i="18"/>
  <c r="Q68" i="18" s="1"/>
  <c r="AA164" i="18"/>
  <c r="BC168" i="18"/>
  <c r="T200" i="18"/>
  <c r="AA120" i="18"/>
  <c r="Z120" i="18"/>
  <c r="AU196" i="18"/>
  <c r="AA16" i="18"/>
  <c r="M116" i="18"/>
  <c r="S68" i="18"/>
  <c r="T68" i="18" s="1"/>
  <c r="U68" i="18" s="1"/>
  <c r="X64" i="18"/>
  <c r="R164" i="18"/>
  <c r="S164" i="18" s="1"/>
  <c r="AZ192" i="18"/>
  <c r="AT168" i="18"/>
  <c r="Y196" i="18"/>
  <c r="R196" i="18"/>
  <c r="P64" i="18"/>
  <c r="Q64" i="18" s="1"/>
  <c r="R156" i="18"/>
  <c r="S156" i="18" s="1"/>
  <c r="W64" i="18"/>
  <c r="W68" i="18"/>
  <c r="AA192" i="18"/>
  <c r="AZ196" i="18"/>
  <c r="AW196" i="18"/>
  <c r="BB200" i="18"/>
  <c r="W164" i="18"/>
  <c r="AQ196" i="18"/>
  <c r="O164" i="18"/>
  <c r="M164" i="18"/>
  <c r="T196" i="18"/>
  <c r="N188" i="18"/>
  <c r="W120" i="18"/>
  <c r="X120" i="18"/>
  <c r="BB192" i="18"/>
  <c r="AT200" i="18"/>
  <c r="AU200" i="18" s="1"/>
  <c r="I72" i="18"/>
  <c r="J72" i="18" s="1"/>
  <c r="K72" i="18" s="1"/>
  <c r="L72" i="18" s="1"/>
  <c r="M72" i="18" s="1"/>
  <c r="N72" i="18" s="1"/>
  <c r="T204" i="18"/>
  <c r="U204" i="18" s="1"/>
  <c r="R55" i="18"/>
  <c r="R56" i="18" s="1"/>
  <c r="R160" i="18"/>
  <c r="S160" i="18" s="1"/>
  <c r="AS151" i="18"/>
  <c r="AS152" i="18" s="1"/>
  <c r="AX179" i="18"/>
  <c r="AX180" i="18" s="1"/>
  <c r="T147" i="18"/>
  <c r="T148" i="18" s="1"/>
  <c r="AX111" i="18"/>
  <c r="AX112" i="18" s="1"/>
  <c r="AZ188" i="18"/>
  <c r="AR151" i="18"/>
  <c r="AR152" i="18" s="1"/>
  <c r="P179" i="18"/>
  <c r="P180" i="18" s="1"/>
  <c r="U156" i="18"/>
  <c r="AY179" i="18"/>
  <c r="AY180" i="18" s="1"/>
  <c r="BM188" i="18"/>
  <c r="BM191" i="18"/>
  <c r="BA55" i="18"/>
  <c r="BA56" i="18" s="1"/>
  <c r="O179" i="18"/>
  <c r="O180" i="18" s="1"/>
  <c r="B187" i="18"/>
  <c r="B184" i="18"/>
  <c r="Y152" i="18"/>
  <c r="Q179" i="18"/>
  <c r="Q180" i="18" s="1"/>
  <c r="I64" i="18"/>
  <c r="J64" i="18" s="1"/>
  <c r="K64" i="18" s="1"/>
  <c r="L64" i="18" s="1"/>
  <c r="M64" i="18" s="1"/>
  <c r="N64" i="18" s="1"/>
  <c r="Y188" i="18"/>
  <c r="R112" i="18"/>
  <c r="T184" i="18"/>
  <c r="O108" i="18"/>
  <c r="AX151" i="18"/>
  <c r="AX152" i="18" s="1"/>
  <c r="AP151" i="18"/>
  <c r="AP152" i="18" s="1"/>
  <c r="R188" i="18"/>
  <c r="Q143" i="18"/>
  <c r="Q144" i="18" s="1"/>
  <c r="R152" i="18"/>
  <c r="S152" i="18" s="1"/>
  <c r="BC179" i="18"/>
  <c r="BC180" i="18" s="1"/>
  <c r="Z179" i="18"/>
  <c r="Z180" i="18" s="1"/>
  <c r="S103" i="18"/>
  <c r="S104" i="18" s="1"/>
  <c r="AP179" i="18"/>
  <c r="AP180" i="18" s="1"/>
  <c r="AW55" i="18"/>
  <c r="AW56" i="18" s="1"/>
  <c r="M108" i="18"/>
  <c r="AU184" i="18"/>
  <c r="AA188" i="18"/>
  <c r="P103" i="18"/>
  <c r="P104" i="18" s="1"/>
  <c r="T112" i="18"/>
  <c r="U112" i="18" s="1"/>
  <c r="W156" i="18"/>
  <c r="AA156" i="18"/>
  <c r="X108" i="18"/>
  <c r="W108" i="18"/>
  <c r="V147" i="18"/>
  <c r="V148" i="18" s="1"/>
  <c r="Z147" i="18"/>
  <c r="Z148" i="18" s="1"/>
  <c r="AW184" i="18"/>
  <c r="AQ188" i="18"/>
  <c r="X179" i="18"/>
  <c r="X180" i="18" s="1"/>
  <c r="H55" i="18"/>
  <c r="H56" i="18" s="1"/>
  <c r="L179" i="18"/>
  <c r="L180" i="18" s="1"/>
  <c r="AA64" i="18"/>
  <c r="Z64" i="18"/>
  <c r="AQ111" i="18"/>
  <c r="AQ112" i="18" s="1"/>
  <c r="Q103" i="18"/>
  <c r="Q104" i="18" s="1"/>
  <c r="Y55" i="18"/>
  <c r="Y56" i="18" s="1"/>
  <c r="AY151" i="18"/>
  <c r="AY152" i="18" s="1"/>
  <c r="AR147" i="15"/>
  <c r="Q175" i="15"/>
  <c r="AX147" i="15"/>
  <c r="AS51" i="15"/>
  <c r="BA51" i="15"/>
  <c r="AW51" i="15"/>
  <c r="AY147" i="15"/>
  <c r="AU147" i="15"/>
  <c r="AQ51" i="15"/>
  <c r="AS147" i="15"/>
  <c r="BM180" i="15"/>
  <c r="BM183" i="15"/>
  <c r="AO43" i="15"/>
  <c r="Z143" i="15"/>
  <c r="Z167" i="15"/>
  <c r="X175" i="15"/>
  <c r="S167" i="15"/>
  <c r="O171" i="15"/>
  <c r="V171" i="15"/>
  <c r="M171" i="15"/>
  <c r="L167" i="15"/>
  <c r="P167" i="15"/>
  <c r="U167" i="15"/>
  <c r="AP139" i="15"/>
  <c r="AO139" i="15"/>
  <c r="BB143" i="15"/>
  <c r="B188" i="15"/>
  <c r="B191" i="15"/>
  <c r="AY111" i="15"/>
  <c r="AY171" i="15"/>
  <c r="Y99" i="15"/>
  <c r="V139" i="15"/>
  <c r="Y47" i="15"/>
  <c r="V47" i="15"/>
  <c r="V99" i="15"/>
  <c r="AO107" i="15"/>
  <c r="AQ107" i="15"/>
  <c r="AV107" i="15"/>
  <c r="AS103" i="15"/>
  <c r="BB103" i="15"/>
  <c r="AX103" i="15"/>
  <c r="H55" i="15"/>
  <c r="R31" i="15"/>
  <c r="P139" i="15"/>
  <c r="Q135" i="15"/>
  <c r="N95" i="15"/>
  <c r="O51" i="15"/>
  <c r="L103" i="15"/>
  <c r="P95" i="15"/>
  <c r="AR171" i="15"/>
  <c r="S99" i="15"/>
  <c r="N139" i="15"/>
  <c r="Q83" i="15"/>
  <c r="X147" i="15"/>
  <c r="P148" i="18" l="1"/>
  <c r="P143" i="18"/>
  <c r="AR180" i="18"/>
  <c r="AR175" i="18"/>
  <c r="AS62" i="18"/>
  <c r="AS61" i="18"/>
  <c r="AS56" i="18"/>
  <c r="AS51" i="18"/>
  <c r="N104" i="18"/>
  <c r="O104" i="18" s="1"/>
  <c r="N99" i="18"/>
  <c r="AQ56" i="18"/>
  <c r="AQ51" i="18"/>
  <c r="AV112" i="18"/>
  <c r="AV107" i="18"/>
  <c r="AO152" i="18"/>
  <c r="AO147" i="18"/>
  <c r="V104" i="18"/>
  <c r="V99" i="18"/>
  <c r="BB147" i="18"/>
  <c r="M175" i="18"/>
  <c r="X143" i="18"/>
  <c r="N180" i="18"/>
  <c r="X150" i="18"/>
  <c r="M182" i="18"/>
  <c r="AS175" i="18"/>
  <c r="AS176" i="18" s="1"/>
  <c r="AS177" i="18" s="1"/>
  <c r="O51" i="18"/>
  <c r="V149" i="18"/>
  <c r="V150" i="18"/>
  <c r="L106" i="18"/>
  <c r="L105" i="18"/>
  <c r="S106" i="18"/>
  <c r="S105" i="18"/>
  <c r="AS153" i="18"/>
  <c r="AS154" i="18"/>
  <c r="BB114" i="18"/>
  <c r="BB113" i="18"/>
  <c r="BA182" i="18"/>
  <c r="BA181" i="18"/>
  <c r="L149" i="18"/>
  <c r="L150" i="18"/>
  <c r="AX113" i="18"/>
  <c r="AX114" i="18"/>
  <c r="AP182" i="18"/>
  <c r="AP181" i="18"/>
  <c r="T149" i="18"/>
  <c r="T150" i="18"/>
  <c r="S181" i="18"/>
  <c r="S182" i="18"/>
  <c r="AX154" i="18"/>
  <c r="AX153" i="18"/>
  <c r="AT181" i="18"/>
  <c r="AT182" i="18"/>
  <c r="H58" i="18"/>
  <c r="H57" i="18"/>
  <c r="AY154" i="18"/>
  <c r="AY153" i="18"/>
  <c r="R58" i="18"/>
  <c r="R57" i="18"/>
  <c r="Y57" i="18"/>
  <c r="Y58" i="18"/>
  <c r="AY113" i="18"/>
  <c r="AY114" i="18"/>
  <c r="AO58" i="18"/>
  <c r="AO57" i="18"/>
  <c r="O57" i="18"/>
  <c r="O58" i="18"/>
  <c r="AQ113" i="18"/>
  <c r="AQ114" i="18"/>
  <c r="AP154" i="18"/>
  <c r="AP153" i="18"/>
  <c r="AO113" i="18"/>
  <c r="AO114" i="18"/>
  <c r="L182" i="18"/>
  <c r="L181" i="18"/>
  <c r="N149" i="18"/>
  <c r="N150" i="18"/>
  <c r="Z181" i="18"/>
  <c r="Z182" i="18"/>
  <c r="BB154" i="18"/>
  <c r="BB153" i="18"/>
  <c r="P105" i="18"/>
  <c r="P106" i="18"/>
  <c r="AY181" i="18"/>
  <c r="AY182" i="18"/>
  <c r="AU153" i="18"/>
  <c r="AU154" i="18"/>
  <c r="AW58" i="18"/>
  <c r="AW57" i="18"/>
  <c r="U181" i="18"/>
  <c r="U182" i="18"/>
  <c r="BA58" i="18"/>
  <c r="BA57" i="18"/>
  <c r="BC181" i="18"/>
  <c r="BC182" i="18"/>
  <c r="AS114" i="18"/>
  <c r="AS113" i="18"/>
  <c r="S175" i="18"/>
  <c r="S176" i="18" s="1"/>
  <c r="V175" i="18"/>
  <c r="Q182" i="18"/>
  <c r="Q181" i="18"/>
  <c r="AO181" i="18"/>
  <c r="AO182" i="18"/>
  <c r="AS182" i="18"/>
  <c r="AS181" i="18"/>
  <c r="AR154" i="18"/>
  <c r="AR153" i="18"/>
  <c r="V181" i="18"/>
  <c r="V182" i="18"/>
  <c r="Z149" i="18"/>
  <c r="Z150" i="18"/>
  <c r="O181" i="18"/>
  <c r="O182" i="18"/>
  <c r="V58" i="18"/>
  <c r="V57" i="18"/>
  <c r="AX181" i="18"/>
  <c r="AX182" i="18"/>
  <c r="AT175" i="18"/>
  <c r="AT176" i="18" s="1"/>
  <c r="X181" i="18"/>
  <c r="X182" i="18"/>
  <c r="Q105" i="18"/>
  <c r="Q106" i="18"/>
  <c r="Q146" i="18"/>
  <c r="Q145" i="18"/>
  <c r="P182" i="18"/>
  <c r="P181" i="18"/>
  <c r="AV181" i="18"/>
  <c r="AV182" i="18"/>
  <c r="Y106" i="18"/>
  <c r="Y105" i="18"/>
  <c r="L99" i="18"/>
  <c r="BA175" i="18"/>
  <c r="BA176" i="18" s="1"/>
  <c r="AU147" i="18"/>
  <c r="AU148" i="18" s="1"/>
  <c r="Y99" i="18"/>
  <c r="Y100" i="18" s="1"/>
  <c r="AV175" i="18"/>
  <c r="AV176" i="18" s="1"/>
  <c r="AO107" i="18"/>
  <c r="AO108" i="18" s="1"/>
  <c r="AS107" i="18"/>
  <c r="AS108" i="18" s="1"/>
  <c r="N143" i="18"/>
  <c r="N144" i="18" s="1"/>
  <c r="L143" i="18"/>
  <c r="L144" i="18" s="1"/>
  <c r="M152" i="18"/>
  <c r="U175" i="18"/>
  <c r="U176" i="18" s="1"/>
  <c r="AO51" i="18"/>
  <c r="AO175" i="18"/>
  <c r="AO176" i="18" s="1"/>
  <c r="AY107" i="18"/>
  <c r="AY108" i="18" s="1"/>
  <c r="AA108" i="18"/>
  <c r="Z108" i="18"/>
  <c r="V51" i="18"/>
  <c r="V52" i="18" s="1"/>
  <c r="R51" i="18"/>
  <c r="R52" i="18" s="1"/>
  <c r="BB107" i="18"/>
  <c r="BB108" i="18" s="1"/>
  <c r="S60" i="18"/>
  <c r="T60" i="18" s="1"/>
  <c r="U60" i="18" s="1"/>
  <c r="BC164" i="18"/>
  <c r="W60" i="18"/>
  <c r="X60" i="18"/>
  <c r="V12" i="18"/>
  <c r="X12" i="18" s="1"/>
  <c r="Z12" i="18" s="1"/>
  <c r="W12" i="18"/>
  <c r="W8" i="18"/>
  <c r="V8" i="18"/>
  <c r="X8" i="18" s="1"/>
  <c r="W16" i="18"/>
  <c r="V16" i="18"/>
  <c r="X16" i="18" s="1"/>
  <c r="Z16" i="18" s="1"/>
  <c r="AZ164" i="18"/>
  <c r="BA164" i="18" s="1"/>
  <c r="BA51" i="18"/>
  <c r="BA52" i="18" s="1"/>
  <c r="O175" i="18"/>
  <c r="O176" i="18" s="1"/>
  <c r="T143" i="18"/>
  <c r="T144" i="18" s="1"/>
  <c r="U152" i="18"/>
  <c r="P175" i="18"/>
  <c r="P176" i="18" s="1"/>
  <c r="AR147" i="18"/>
  <c r="AR148" i="18" s="1"/>
  <c r="AS147" i="18"/>
  <c r="AS148" i="18" s="1"/>
  <c r="AY175" i="18"/>
  <c r="AY176" i="18" s="1"/>
  <c r="AX175" i="18"/>
  <c r="AX176" i="18" s="1"/>
  <c r="AX107" i="18"/>
  <c r="AX108" i="18" s="1"/>
  <c r="BM184" i="18"/>
  <c r="BM187" i="18"/>
  <c r="AZ184" i="18"/>
  <c r="Z175" i="18"/>
  <c r="Z176" i="18" s="1"/>
  <c r="L175" i="18"/>
  <c r="L176" i="18" s="1"/>
  <c r="X175" i="18"/>
  <c r="X176" i="18" s="1"/>
  <c r="BB180" i="18"/>
  <c r="B183" i="18"/>
  <c r="B180" i="18"/>
  <c r="AA152" i="18"/>
  <c r="Y51" i="18"/>
  <c r="Y52" i="18" s="1"/>
  <c r="Y184" i="18"/>
  <c r="Z143" i="18"/>
  <c r="Z144" i="18" s="1"/>
  <c r="AU180" i="18"/>
  <c r="Y148" i="18"/>
  <c r="T108" i="18"/>
  <c r="U108" i="18" s="1"/>
  <c r="AP175" i="18"/>
  <c r="AP176" i="18" s="1"/>
  <c r="AP147" i="18"/>
  <c r="AP148" i="18" s="1"/>
  <c r="W180" i="18"/>
  <c r="AX147" i="18"/>
  <c r="AX148" i="18" s="1"/>
  <c r="AY147" i="18"/>
  <c r="AY148" i="18" s="1"/>
  <c r="M104" i="18"/>
  <c r="AA184" i="18"/>
  <c r="V143" i="18"/>
  <c r="V144" i="18" s="1"/>
  <c r="BC175" i="18"/>
  <c r="BC176" i="18" s="1"/>
  <c r="I60" i="18"/>
  <c r="J60" i="18" s="1"/>
  <c r="K60" i="18" s="1"/>
  <c r="L60" i="18" s="1"/>
  <c r="M60" i="18" s="1"/>
  <c r="N60" i="18" s="1"/>
  <c r="AQ184" i="18"/>
  <c r="R148" i="18"/>
  <c r="S148" i="18" s="1"/>
  <c r="Q99" i="18"/>
  <c r="Q100" i="18" s="1"/>
  <c r="R108" i="18"/>
  <c r="W152" i="18"/>
  <c r="T180" i="18"/>
  <c r="Q139" i="18"/>
  <c r="Q140" i="18" s="1"/>
  <c r="Q175" i="18"/>
  <c r="Q176" i="18" s="1"/>
  <c r="H51" i="18"/>
  <c r="H52" i="18" s="1"/>
  <c r="P99" i="18"/>
  <c r="P100" i="18" s="1"/>
  <c r="AW51" i="18"/>
  <c r="AW52" i="18" s="1"/>
  <c r="AA60" i="18"/>
  <c r="Z60" i="18"/>
  <c r="AQ107" i="18"/>
  <c r="AQ108" i="18" s="1"/>
  <c r="S99" i="18"/>
  <c r="S100" i="18" s="1"/>
  <c r="AW180" i="18"/>
  <c r="R184" i="18"/>
  <c r="AY143" i="15"/>
  <c r="AX143" i="15"/>
  <c r="Q171" i="15"/>
  <c r="AQ47" i="15"/>
  <c r="AS47" i="15"/>
  <c r="AW47" i="15"/>
  <c r="AU143" i="15"/>
  <c r="BA47" i="15"/>
  <c r="AR143" i="15"/>
  <c r="AS143" i="15"/>
  <c r="BM176" i="15"/>
  <c r="BM179" i="15"/>
  <c r="AO39" i="15"/>
  <c r="Z139" i="15"/>
  <c r="V167" i="15"/>
  <c r="X171" i="15"/>
  <c r="O167" i="15"/>
  <c r="M167" i="15"/>
  <c r="BB139" i="15"/>
  <c r="AP135" i="15"/>
  <c r="AO135" i="15"/>
  <c r="B184" i="15"/>
  <c r="B187" i="15"/>
  <c r="AY107" i="15"/>
  <c r="Y95" i="15"/>
  <c r="V135" i="15"/>
  <c r="V43" i="15"/>
  <c r="Y43" i="15"/>
  <c r="V95" i="15"/>
  <c r="AQ103" i="15"/>
  <c r="AV103" i="15"/>
  <c r="AO103" i="15"/>
  <c r="AX99" i="15"/>
  <c r="BB99" i="15"/>
  <c r="AS99" i="15"/>
  <c r="H51" i="15"/>
  <c r="S95" i="15"/>
  <c r="Q79" i="15"/>
  <c r="P91" i="15"/>
  <c r="O47" i="15"/>
  <c r="Q131" i="15"/>
  <c r="X143" i="15"/>
  <c r="R27" i="15"/>
  <c r="L99" i="15"/>
  <c r="N135" i="15"/>
  <c r="P135" i="15"/>
  <c r="N91" i="15"/>
  <c r="P144" i="18" l="1"/>
  <c r="P145" i="18" s="1"/>
  <c r="P139" i="18"/>
  <c r="P140" i="18" s="1"/>
  <c r="AR176" i="18"/>
  <c r="AR171" i="18"/>
  <c r="AR172" i="18" s="1"/>
  <c r="AS52" i="18"/>
  <c r="AS47" i="18"/>
  <c r="AS48" i="18" s="1"/>
  <c r="P150" i="18"/>
  <c r="P149" i="18"/>
  <c r="AR181" i="18"/>
  <c r="AR182" i="18"/>
  <c r="N100" i="18"/>
  <c r="O100" i="18" s="1"/>
  <c r="N95" i="18"/>
  <c r="M176" i="18"/>
  <c r="M171" i="18"/>
  <c r="M172" i="18" s="1"/>
  <c r="M174" i="18" s="1"/>
  <c r="AS57" i="18"/>
  <c r="AS58" i="18"/>
  <c r="N106" i="18"/>
  <c r="N105" i="18"/>
  <c r="AQ57" i="18"/>
  <c r="AQ58" i="18"/>
  <c r="AV114" i="18"/>
  <c r="AV113" i="18"/>
  <c r="AQ52" i="18"/>
  <c r="AQ47" i="18"/>
  <c r="O52" i="18"/>
  <c r="P52" i="18" s="1"/>
  <c r="Q52" i="18" s="1"/>
  <c r="O47" i="18"/>
  <c r="AO154" i="18"/>
  <c r="AO153" i="18"/>
  <c r="V106" i="18"/>
  <c r="V105" i="18"/>
  <c r="X104" i="18"/>
  <c r="W104" i="18"/>
  <c r="AV108" i="18"/>
  <c r="AV103" i="18"/>
  <c r="AO148" i="18"/>
  <c r="AO143" i="18"/>
  <c r="V100" i="18"/>
  <c r="V95" i="18"/>
  <c r="BB148" i="18"/>
  <c r="BB143" i="18"/>
  <c r="X144" i="18"/>
  <c r="X146" i="18" s="1"/>
  <c r="X139" i="18"/>
  <c r="V176" i="18"/>
  <c r="V171" i="18"/>
  <c r="L100" i="18"/>
  <c r="M100" i="18" s="1"/>
  <c r="L95" i="18"/>
  <c r="AS171" i="18"/>
  <c r="AS172" i="18" s="1"/>
  <c r="AS174" i="18" s="1"/>
  <c r="AV171" i="18"/>
  <c r="AV172" i="18" s="1"/>
  <c r="BA171" i="18"/>
  <c r="BA172" i="18" s="1"/>
  <c r="BA174" i="18" s="1"/>
  <c r="AS178" i="18"/>
  <c r="AU143" i="18"/>
  <c r="BA54" i="18"/>
  <c r="BA53" i="18"/>
  <c r="R53" i="18"/>
  <c r="R54" i="18"/>
  <c r="AQ110" i="18"/>
  <c r="AQ109" i="18"/>
  <c r="AS110" i="18"/>
  <c r="AS109" i="18"/>
  <c r="Q102" i="18"/>
  <c r="Q101" i="18"/>
  <c r="AS150" i="18"/>
  <c r="AS149" i="18"/>
  <c r="V53" i="18"/>
  <c r="V54" i="18"/>
  <c r="AV177" i="18"/>
  <c r="AV178" i="18"/>
  <c r="AX110" i="18"/>
  <c r="AX109" i="18"/>
  <c r="AX178" i="18"/>
  <c r="AX177" i="18"/>
  <c r="BC177" i="18"/>
  <c r="BC178" i="18"/>
  <c r="AT171" i="18"/>
  <c r="AT172" i="18" s="1"/>
  <c r="X177" i="18"/>
  <c r="X178" i="18"/>
  <c r="P177" i="18"/>
  <c r="P178" i="18"/>
  <c r="Q177" i="18"/>
  <c r="Q178" i="18"/>
  <c r="S171" i="18"/>
  <c r="S172" i="18" s="1"/>
  <c r="L178" i="18"/>
  <c r="L177" i="18"/>
  <c r="AY110" i="18"/>
  <c r="AY109" i="18"/>
  <c r="BA178" i="18"/>
  <c r="BA177" i="18"/>
  <c r="L145" i="18"/>
  <c r="L146" i="18"/>
  <c r="AP178" i="18"/>
  <c r="AP177" i="18"/>
  <c r="AY178" i="18"/>
  <c r="AY177" i="18"/>
  <c r="AR149" i="18"/>
  <c r="AR150" i="18"/>
  <c r="V145" i="18"/>
  <c r="V146" i="18"/>
  <c r="Z145" i="18"/>
  <c r="Z146" i="18"/>
  <c r="Z177" i="18"/>
  <c r="Z178" i="18"/>
  <c r="T145" i="18"/>
  <c r="T146" i="18"/>
  <c r="AO47" i="18"/>
  <c r="AO48" i="18" s="1"/>
  <c r="AO52" i="18"/>
  <c r="AT178" i="18"/>
  <c r="AT177" i="18"/>
  <c r="AW53" i="18"/>
  <c r="AW54" i="18"/>
  <c r="H54" i="18"/>
  <c r="H53" i="18"/>
  <c r="AY150" i="18"/>
  <c r="AY149" i="18"/>
  <c r="O177" i="18"/>
  <c r="O178" i="18"/>
  <c r="U177" i="18"/>
  <c r="U178" i="18"/>
  <c r="S102" i="18"/>
  <c r="S101" i="18"/>
  <c r="Y53" i="18"/>
  <c r="Y54" i="18"/>
  <c r="AP149" i="18"/>
  <c r="AP150" i="18"/>
  <c r="N146" i="18"/>
  <c r="N145" i="18"/>
  <c r="S178" i="18"/>
  <c r="S177" i="18"/>
  <c r="BB109" i="18"/>
  <c r="BB110" i="18"/>
  <c r="AO110" i="18"/>
  <c r="AO109" i="18"/>
  <c r="P101" i="18"/>
  <c r="P102" i="18"/>
  <c r="Y102" i="18"/>
  <c r="Y101" i="18"/>
  <c r="AU150" i="18"/>
  <c r="AU149" i="18"/>
  <c r="AO178" i="18"/>
  <c r="AO177" i="18"/>
  <c r="Q142" i="18"/>
  <c r="Q141" i="18"/>
  <c r="AX150" i="18"/>
  <c r="AX149" i="18"/>
  <c r="AA104" i="18"/>
  <c r="Z104" i="18"/>
  <c r="AO103" i="18"/>
  <c r="AO104" i="18" s="1"/>
  <c r="AO171" i="18"/>
  <c r="AO172" i="18" s="1"/>
  <c r="N139" i="18"/>
  <c r="N140" i="18" s="1"/>
  <c r="Y95" i="18"/>
  <c r="Y96" i="18" s="1"/>
  <c r="U171" i="18"/>
  <c r="U172" i="18" s="1"/>
  <c r="O148" i="18"/>
  <c r="L139" i="18"/>
  <c r="L140" i="18" s="1"/>
  <c r="AY103" i="18"/>
  <c r="AY104" i="18" s="1"/>
  <c r="AS103" i="18"/>
  <c r="AS104" i="18" s="1"/>
  <c r="M148" i="18"/>
  <c r="Y8" i="18"/>
  <c r="AA8" i="18" s="1"/>
  <c r="Z8" i="18"/>
  <c r="BB103" i="18"/>
  <c r="BB104" i="18" s="1"/>
  <c r="S56" i="18"/>
  <c r="T56" i="18" s="1"/>
  <c r="U56" i="18" s="1"/>
  <c r="R47" i="18"/>
  <c r="R48" i="18" s="1"/>
  <c r="V47" i="18"/>
  <c r="V48" i="18" s="1"/>
  <c r="W56" i="18"/>
  <c r="X56" i="18"/>
  <c r="AS143" i="18"/>
  <c r="AS144" i="18" s="1"/>
  <c r="O171" i="18"/>
  <c r="O172" i="18" s="1"/>
  <c r="AX103" i="18"/>
  <c r="AX104" i="18" s="1"/>
  <c r="AR143" i="18"/>
  <c r="AR144" i="18" s="1"/>
  <c r="AY171" i="18"/>
  <c r="AY172" i="18" s="1"/>
  <c r="BA47" i="18"/>
  <c r="BA48" i="18" s="1"/>
  <c r="P135" i="18"/>
  <c r="P136" i="18" s="1"/>
  <c r="P171" i="18"/>
  <c r="P172" i="18" s="1"/>
  <c r="U148" i="18"/>
  <c r="AZ180" i="18"/>
  <c r="T139" i="18"/>
  <c r="T140" i="18" s="1"/>
  <c r="BM183" i="18"/>
  <c r="BM180" i="18"/>
  <c r="AX171" i="18"/>
  <c r="AX172" i="18" s="1"/>
  <c r="AA56" i="18"/>
  <c r="Z56" i="18"/>
  <c r="AS43" i="18"/>
  <c r="AS44" i="18" s="1"/>
  <c r="Y180" i="18"/>
  <c r="P95" i="18"/>
  <c r="P96" i="18" s="1"/>
  <c r="H47" i="18"/>
  <c r="H48" i="18" s="1"/>
  <c r="T104" i="18"/>
  <c r="U104" i="18" s="1"/>
  <c r="AA148" i="18"/>
  <c r="AW176" i="18"/>
  <c r="AP143" i="18"/>
  <c r="AP144" i="18" s="1"/>
  <c r="X171" i="18"/>
  <c r="X172" i="18" s="1"/>
  <c r="AQ103" i="18"/>
  <c r="AQ104" i="18" s="1"/>
  <c r="R104" i="18"/>
  <c r="Z171" i="18"/>
  <c r="Z172" i="18" s="1"/>
  <c r="BC171" i="18"/>
  <c r="BC172" i="18" s="1"/>
  <c r="AA180" i="18"/>
  <c r="Z139" i="18"/>
  <c r="Z140" i="18" s="1"/>
  <c r="Y47" i="18"/>
  <c r="Y48" i="18" s="1"/>
  <c r="R180" i="18"/>
  <c r="Q171" i="18"/>
  <c r="Q172" i="18" s="1"/>
  <c r="BB176" i="18"/>
  <c r="AQ180" i="18"/>
  <c r="S95" i="18"/>
  <c r="S96" i="18" s="1"/>
  <c r="Q135" i="18"/>
  <c r="Q136" i="18" s="1"/>
  <c r="R144" i="18"/>
  <c r="S144" i="18" s="1"/>
  <c r="T176" i="18"/>
  <c r="V139" i="18"/>
  <c r="V140" i="18" s="1"/>
  <c r="W148" i="18"/>
  <c r="AY143" i="18"/>
  <c r="AY144" i="18" s="1"/>
  <c r="AP171" i="18"/>
  <c r="AP172" i="18" s="1"/>
  <c r="AU176" i="18"/>
  <c r="Q95" i="18"/>
  <c r="Q96" i="18" s="1"/>
  <c r="AW47" i="18"/>
  <c r="AW48" i="18" s="1"/>
  <c r="AX143" i="18"/>
  <c r="AX144" i="18" s="1"/>
  <c r="B179" i="18"/>
  <c r="B176" i="18"/>
  <c r="I56" i="18"/>
  <c r="J56" i="18" s="1"/>
  <c r="K56" i="18" s="1"/>
  <c r="L56" i="18" s="1"/>
  <c r="M56" i="18" s="1"/>
  <c r="N56" i="18" s="1"/>
  <c r="L171" i="18"/>
  <c r="L172" i="18" s="1"/>
  <c r="BA43" i="15"/>
  <c r="AQ43" i="15"/>
  <c r="AU139" i="15"/>
  <c r="Q167" i="15"/>
  <c r="AX139" i="15"/>
  <c r="AW43" i="15"/>
  <c r="AS139" i="15"/>
  <c r="AY139" i="15"/>
  <c r="AR139" i="15"/>
  <c r="AS43" i="15"/>
  <c r="BM175" i="15"/>
  <c r="BM172" i="15"/>
  <c r="AO35" i="15"/>
  <c r="Z135" i="15"/>
  <c r="X167" i="15"/>
  <c r="AP131" i="15"/>
  <c r="AO131" i="15"/>
  <c r="BB135" i="15"/>
  <c r="B183" i="15"/>
  <c r="B180" i="15"/>
  <c r="AY103" i="15"/>
  <c r="Y91" i="15"/>
  <c r="V131" i="15"/>
  <c r="Y39" i="15"/>
  <c r="V39" i="15"/>
  <c r="V91" i="15"/>
  <c r="AV99" i="15"/>
  <c r="AO99" i="15"/>
  <c r="AQ99" i="15"/>
  <c r="AS95" i="15"/>
  <c r="BB95" i="15"/>
  <c r="AX95" i="15"/>
  <c r="H47" i="15"/>
  <c r="Q75" i="15"/>
  <c r="R23" i="15"/>
  <c r="L95" i="15"/>
  <c r="X139" i="15"/>
  <c r="N87" i="15"/>
  <c r="Q127" i="15"/>
  <c r="P87" i="15"/>
  <c r="P131" i="15"/>
  <c r="S91" i="15"/>
  <c r="O43" i="15"/>
  <c r="N131" i="15"/>
  <c r="M167" i="18" l="1"/>
  <c r="M168" i="18" s="1"/>
  <c r="M169" i="18" s="1"/>
  <c r="P146" i="18"/>
  <c r="AR174" i="18"/>
  <c r="AR173" i="18"/>
  <c r="AR178" i="18"/>
  <c r="AR177" i="18"/>
  <c r="AS53" i="18"/>
  <c r="AS54" i="18"/>
  <c r="P142" i="18"/>
  <c r="P141" i="18"/>
  <c r="AS50" i="18"/>
  <c r="AS49" i="18"/>
  <c r="N96" i="18"/>
  <c r="O96" i="18" s="1"/>
  <c r="N91" i="18"/>
  <c r="N92" i="18" s="1"/>
  <c r="AQ48" i="18"/>
  <c r="AQ43" i="18"/>
  <c r="M178" i="18"/>
  <c r="N176" i="18"/>
  <c r="M177" i="18"/>
  <c r="N172" i="18"/>
  <c r="M173" i="18"/>
  <c r="N102" i="18"/>
  <c r="N101" i="18"/>
  <c r="AQ54" i="18"/>
  <c r="AQ53" i="18"/>
  <c r="O54" i="18"/>
  <c r="O53" i="18"/>
  <c r="O48" i="18"/>
  <c r="O43" i="18"/>
  <c r="AV104" i="18"/>
  <c r="AV99" i="18"/>
  <c r="AU144" i="18"/>
  <c r="AU139" i="18"/>
  <c r="W100" i="18"/>
  <c r="X100" i="18"/>
  <c r="X145" i="18"/>
  <c r="Y144" i="18"/>
  <c r="L102" i="18"/>
  <c r="L101" i="18"/>
  <c r="AV110" i="18"/>
  <c r="AV109" i="18"/>
  <c r="AO149" i="18"/>
  <c r="AO150" i="18"/>
  <c r="BB150" i="18"/>
  <c r="BB149" i="18"/>
  <c r="V177" i="18"/>
  <c r="V178" i="18"/>
  <c r="W176" i="18"/>
  <c r="V102" i="18"/>
  <c r="V101" i="18"/>
  <c r="AO144" i="18"/>
  <c r="AO139" i="18"/>
  <c r="V96" i="18"/>
  <c r="V91" i="18"/>
  <c r="BB144" i="18"/>
  <c r="BB139" i="18"/>
  <c r="X140" i="18"/>
  <c r="Y140" i="18" s="1"/>
  <c r="X135" i="18"/>
  <c r="V172" i="18"/>
  <c r="W172" i="18" s="1"/>
  <c r="V167" i="18"/>
  <c r="V168" i="18" s="1"/>
  <c r="L96" i="18"/>
  <c r="M96" i="18" s="1"/>
  <c r="L91" i="18"/>
  <c r="AV174" i="18"/>
  <c r="AW172" i="18"/>
  <c r="BB172" i="18"/>
  <c r="AS173" i="18"/>
  <c r="AV173" i="18"/>
  <c r="BA173" i="18"/>
  <c r="S167" i="18"/>
  <c r="S168" i="18" s="1"/>
  <c r="S169" i="18" s="1"/>
  <c r="AO43" i="18"/>
  <c r="AO44" i="18" s="1"/>
  <c r="AO45" i="18" s="1"/>
  <c r="AY146" i="18"/>
  <c r="AY145" i="18"/>
  <c r="U174" i="18"/>
  <c r="U173" i="18"/>
  <c r="V50" i="18"/>
  <c r="V49" i="18"/>
  <c r="Y97" i="18"/>
  <c r="Y98" i="18"/>
  <c r="Q173" i="18"/>
  <c r="Q174" i="18"/>
  <c r="AQ105" i="18"/>
  <c r="AQ106" i="18"/>
  <c r="R50" i="18"/>
  <c r="R49" i="18"/>
  <c r="N142" i="18"/>
  <c r="N141" i="18"/>
  <c r="AS145" i="18"/>
  <c r="AS146" i="18"/>
  <c r="AX146" i="18"/>
  <c r="AX145" i="18"/>
  <c r="BB105" i="18"/>
  <c r="BB106" i="18"/>
  <c r="Z141" i="18"/>
  <c r="Z142" i="18"/>
  <c r="AO53" i="18"/>
  <c r="AO54" i="18"/>
  <c r="AP174" i="18"/>
  <c r="AP173" i="18"/>
  <c r="H50" i="18"/>
  <c r="H49" i="18"/>
  <c r="P98" i="18"/>
  <c r="P97" i="18"/>
  <c r="AS45" i="18"/>
  <c r="AS46" i="18"/>
  <c r="AT174" i="18"/>
  <c r="AT173" i="18"/>
  <c r="AP145" i="18"/>
  <c r="AP146" i="18"/>
  <c r="AO105" i="18"/>
  <c r="AO106" i="18"/>
  <c r="AY173" i="18"/>
  <c r="AY174" i="18"/>
  <c r="L174" i="18"/>
  <c r="L173" i="18"/>
  <c r="AX174" i="18"/>
  <c r="AX173" i="18"/>
  <c r="AO50" i="18"/>
  <c r="AO49" i="18"/>
  <c r="S174" i="18"/>
  <c r="S173" i="18"/>
  <c r="Z173" i="18"/>
  <c r="Z174" i="18"/>
  <c r="P173" i="18"/>
  <c r="P174" i="18"/>
  <c r="AO173" i="18"/>
  <c r="AO174" i="18"/>
  <c r="Y50" i="18"/>
  <c r="Y49" i="18"/>
  <c r="AR145" i="18"/>
  <c r="AR146" i="18"/>
  <c r="L142" i="18"/>
  <c r="L141" i="18"/>
  <c r="AW50" i="18"/>
  <c r="AW49" i="18"/>
  <c r="Q138" i="18"/>
  <c r="Q137" i="18"/>
  <c r="Q97" i="18"/>
  <c r="Q98" i="18"/>
  <c r="AX105" i="18"/>
  <c r="AX106" i="18"/>
  <c r="AS105" i="18"/>
  <c r="AS106" i="18"/>
  <c r="P138" i="18"/>
  <c r="P137" i="18"/>
  <c r="V141" i="18"/>
  <c r="V142" i="18"/>
  <c r="X173" i="18"/>
  <c r="X174" i="18"/>
  <c r="BA49" i="18"/>
  <c r="BA50" i="18"/>
  <c r="BC173" i="18"/>
  <c r="BC174" i="18"/>
  <c r="S97" i="18"/>
  <c r="S98" i="18"/>
  <c r="AU172" i="18"/>
  <c r="T142" i="18"/>
  <c r="T141" i="18"/>
  <c r="O174" i="18"/>
  <c r="O173" i="18"/>
  <c r="AY105" i="18"/>
  <c r="AY106" i="18"/>
  <c r="U167" i="18"/>
  <c r="U168" i="18" s="1"/>
  <c r="N135" i="18"/>
  <c r="N136" i="18" s="1"/>
  <c r="Y91" i="18"/>
  <c r="Y92" i="18" s="1"/>
  <c r="Z100" i="18"/>
  <c r="AA100" i="18"/>
  <c r="AS99" i="18"/>
  <c r="AS100" i="18" s="1"/>
  <c r="O144" i="18"/>
  <c r="L135" i="18"/>
  <c r="L136" i="18" s="1"/>
  <c r="AY99" i="18"/>
  <c r="AY100" i="18" s="1"/>
  <c r="M144" i="18"/>
  <c r="AO99" i="18"/>
  <c r="AO100" i="18" s="1"/>
  <c r="V43" i="18"/>
  <c r="V44" i="18" s="1"/>
  <c r="X52" i="18"/>
  <c r="W52" i="18"/>
  <c r="BB99" i="18"/>
  <c r="BB100" i="18" s="1"/>
  <c r="R43" i="18"/>
  <c r="R44" i="18" s="1"/>
  <c r="S52" i="18"/>
  <c r="T52" i="18" s="1"/>
  <c r="U52" i="18" s="1"/>
  <c r="O167" i="18"/>
  <c r="O168" i="18" s="1"/>
  <c r="BA43" i="18"/>
  <c r="BA44" i="18" s="1"/>
  <c r="AZ176" i="18"/>
  <c r="AZ172" i="18"/>
  <c r="U144" i="18"/>
  <c r="T135" i="18"/>
  <c r="T136" i="18" s="1"/>
  <c r="P167" i="18"/>
  <c r="P168" i="18" s="1"/>
  <c r="AS139" i="18"/>
  <c r="AS140" i="18" s="1"/>
  <c r="AR139" i="18"/>
  <c r="AR140" i="18" s="1"/>
  <c r="BM179" i="18"/>
  <c r="BM176" i="18"/>
  <c r="P131" i="18"/>
  <c r="P132" i="18" s="1"/>
  <c r="AX99" i="18"/>
  <c r="AX100" i="18" s="1"/>
  <c r="I52" i="18"/>
  <c r="J52" i="18" s="1"/>
  <c r="K52" i="18" s="1"/>
  <c r="L52" i="18" s="1"/>
  <c r="M52" i="18" s="1"/>
  <c r="N52" i="18" s="1"/>
  <c r="H43" i="18"/>
  <c r="H44" i="18" s="1"/>
  <c r="AA176" i="18"/>
  <c r="R140" i="18"/>
  <c r="S140" i="18" s="1"/>
  <c r="Y176" i="18"/>
  <c r="Q91" i="18"/>
  <c r="Q92" i="18" s="1"/>
  <c r="T100" i="18"/>
  <c r="U100" i="18" s="1"/>
  <c r="Y43" i="18"/>
  <c r="X167" i="18"/>
  <c r="X168" i="18" s="1"/>
  <c r="P91" i="18"/>
  <c r="P92" i="18" s="1"/>
  <c r="AW43" i="18"/>
  <c r="AW44" i="18" s="1"/>
  <c r="V135" i="18"/>
  <c r="V136" i="18" s="1"/>
  <c r="W144" i="18"/>
  <c r="L167" i="18"/>
  <c r="L168" i="18" s="1"/>
  <c r="B172" i="18"/>
  <c r="B175" i="18"/>
  <c r="R100" i="18"/>
  <c r="R176" i="18"/>
  <c r="AA52" i="18"/>
  <c r="Z52" i="18"/>
  <c r="T172" i="18"/>
  <c r="Q167" i="18"/>
  <c r="Q168" i="18" s="1"/>
  <c r="AA144" i="18"/>
  <c r="AP139" i="18"/>
  <c r="AP140" i="18" s="1"/>
  <c r="AQ99" i="18"/>
  <c r="AQ100" i="18" s="1"/>
  <c r="S91" i="18"/>
  <c r="S92" i="18" s="1"/>
  <c r="Z135" i="18"/>
  <c r="Z136" i="18" s="1"/>
  <c r="Z167" i="18"/>
  <c r="Z168" i="18" s="1"/>
  <c r="AS39" i="18"/>
  <c r="AS40" i="18" s="1"/>
  <c r="Q131" i="18"/>
  <c r="Q132" i="18" s="1"/>
  <c r="AQ176" i="18"/>
  <c r="AQ172" i="18"/>
  <c r="AX139" i="18"/>
  <c r="AX140" i="18" s="1"/>
  <c r="AY139" i="18"/>
  <c r="AY140" i="18" s="1"/>
  <c r="AS39" i="15"/>
  <c r="AU135" i="15"/>
  <c r="AW39" i="15"/>
  <c r="AY135" i="15"/>
  <c r="AQ39" i="15"/>
  <c r="AR135" i="15"/>
  <c r="AX135" i="15"/>
  <c r="BA39" i="15"/>
  <c r="AS135" i="15"/>
  <c r="BM171" i="15"/>
  <c r="BM168" i="15"/>
  <c r="AO31" i="15"/>
  <c r="Z131" i="15"/>
  <c r="BB131" i="15"/>
  <c r="B176" i="15"/>
  <c r="B179" i="15"/>
  <c r="AY99" i="15"/>
  <c r="Y87" i="15"/>
  <c r="V127" i="15"/>
  <c r="Y35" i="15"/>
  <c r="V35" i="15"/>
  <c r="V87" i="15"/>
  <c r="AO95" i="15"/>
  <c r="AV95" i="15"/>
  <c r="AQ95" i="15"/>
  <c r="AX91" i="15"/>
  <c r="BB91" i="15"/>
  <c r="AS91" i="15"/>
  <c r="H43" i="15"/>
  <c r="S87" i="15"/>
  <c r="P127" i="15"/>
  <c r="X135" i="15"/>
  <c r="R19" i="15"/>
  <c r="Q123" i="15"/>
  <c r="O39" i="15"/>
  <c r="N83" i="15"/>
  <c r="L91" i="15"/>
  <c r="N127" i="15"/>
  <c r="P83" i="15"/>
  <c r="N168" i="18" l="1"/>
  <c r="M170" i="18"/>
  <c r="N87" i="18"/>
  <c r="N88" i="18" s="1"/>
  <c r="N98" i="18"/>
  <c r="N97" i="18"/>
  <c r="N93" i="18"/>
  <c r="N94" i="18"/>
  <c r="AQ49" i="18"/>
  <c r="AQ50" i="18"/>
  <c r="AQ44" i="18"/>
  <c r="AQ39" i="18"/>
  <c r="L92" i="18"/>
  <c r="L87" i="18"/>
  <c r="O44" i="18"/>
  <c r="O46" i="18" s="1"/>
  <c r="O39" i="18"/>
  <c r="AV100" i="18"/>
  <c r="AV95" i="18"/>
  <c r="AU140" i="18"/>
  <c r="AU135" i="18"/>
  <c r="AV106" i="18"/>
  <c r="AV105" i="18"/>
  <c r="O49" i="18"/>
  <c r="O50" i="18"/>
  <c r="P48" i="18"/>
  <c r="Q48" i="18" s="1"/>
  <c r="AU145" i="18"/>
  <c r="AU146" i="18"/>
  <c r="AO140" i="18"/>
  <c r="AO135" i="18"/>
  <c r="V92" i="18"/>
  <c r="V87" i="18"/>
  <c r="X136" i="18"/>
  <c r="X131" i="18"/>
  <c r="X96" i="18"/>
  <c r="W96" i="18"/>
  <c r="W168" i="18"/>
  <c r="V170" i="18"/>
  <c r="V169" i="18"/>
  <c r="AO145" i="18"/>
  <c r="AO146" i="18"/>
  <c r="V97" i="18"/>
  <c r="V98" i="18"/>
  <c r="BB145" i="18"/>
  <c r="BB146" i="18"/>
  <c r="X142" i="18"/>
  <c r="X141" i="18"/>
  <c r="V174" i="18"/>
  <c r="V173" i="18"/>
  <c r="L98" i="18"/>
  <c r="L97" i="18"/>
  <c r="BB140" i="18"/>
  <c r="BB135" i="18"/>
  <c r="AO39" i="18"/>
  <c r="T168" i="18"/>
  <c r="S170" i="18"/>
  <c r="AO46" i="18"/>
  <c r="Y44" i="18"/>
  <c r="Y45" i="18" s="1"/>
  <c r="Z39" i="18"/>
  <c r="S94" i="18"/>
  <c r="S93" i="18"/>
  <c r="H46" i="18"/>
  <c r="H45" i="18"/>
  <c r="AY142" i="18"/>
  <c r="AY141" i="18"/>
  <c r="AO102" i="18"/>
  <c r="AO101" i="18"/>
  <c r="AX142" i="18"/>
  <c r="AX141" i="18"/>
  <c r="P93" i="18"/>
  <c r="P94" i="18"/>
  <c r="V46" i="18"/>
  <c r="V45" i="18"/>
  <c r="AX102" i="18"/>
  <c r="AX101" i="18"/>
  <c r="BA46" i="18"/>
  <c r="BA45" i="18"/>
  <c r="AY102" i="18"/>
  <c r="AY101" i="18"/>
  <c r="V137" i="18"/>
  <c r="V138" i="18"/>
  <c r="Z137" i="18"/>
  <c r="Z138" i="18"/>
  <c r="L137" i="18"/>
  <c r="L138" i="18"/>
  <c r="AS102" i="18"/>
  <c r="AS101" i="18"/>
  <c r="U170" i="18"/>
  <c r="U169" i="18"/>
  <c r="Q169" i="18"/>
  <c r="Q170" i="18"/>
  <c r="P134" i="18"/>
  <c r="P133" i="18"/>
  <c r="O170" i="18"/>
  <c r="O169" i="18"/>
  <c r="AQ102" i="18"/>
  <c r="AQ101" i="18"/>
  <c r="Q134" i="18"/>
  <c r="Q133" i="18"/>
  <c r="AR141" i="18"/>
  <c r="AR142" i="18"/>
  <c r="AW45" i="18"/>
  <c r="AW46" i="18"/>
  <c r="Q93" i="18"/>
  <c r="Q94" i="18"/>
  <c r="AS141" i="18"/>
  <c r="AS142" i="18"/>
  <c r="R46" i="18"/>
  <c r="R45" i="18"/>
  <c r="T137" i="18"/>
  <c r="T138" i="18"/>
  <c r="AS42" i="18"/>
  <c r="AS41" i="18"/>
  <c r="L170" i="18"/>
  <c r="L169" i="18"/>
  <c r="P169" i="18"/>
  <c r="P170" i="18"/>
  <c r="BB101" i="18"/>
  <c r="BB102" i="18"/>
  <c r="Y93" i="18"/>
  <c r="Y94" i="18"/>
  <c r="X170" i="18"/>
  <c r="X169" i="18"/>
  <c r="Z169" i="18"/>
  <c r="Z170" i="18"/>
  <c r="AP142" i="18"/>
  <c r="AP141" i="18"/>
  <c r="N138" i="18"/>
  <c r="N137" i="18"/>
  <c r="AS95" i="18"/>
  <c r="AS96" i="18" s="1"/>
  <c r="Y87" i="18"/>
  <c r="Y88" i="18" s="1"/>
  <c r="L131" i="18"/>
  <c r="L132" i="18" s="1"/>
  <c r="AO95" i="18"/>
  <c r="AO96" i="18" s="1"/>
  <c r="AA96" i="18"/>
  <c r="Z96" i="18"/>
  <c r="M140" i="18"/>
  <c r="N131" i="18"/>
  <c r="N132" i="18" s="1"/>
  <c r="AY95" i="18"/>
  <c r="AY96" i="18" s="1"/>
  <c r="O140" i="18"/>
  <c r="S48" i="18"/>
  <c r="T48" i="18" s="1"/>
  <c r="U48" i="18" s="1"/>
  <c r="BB95" i="18"/>
  <c r="BB96" i="18" s="1"/>
  <c r="R39" i="18"/>
  <c r="R40" i="18" s="1"/>
  <c r="AQ164" i="18"/>
  <c r="W48" i="18"/>
  <c r="X48" i="18"/>
  <c r="V39" i="18"/>
  <c r="BM175" i="18"/>
  <c r="BM172" i="18"/>
  <c r="AS135" i="18"/>
  <c r="AS136" i="18" s="1"/>
  <c r="U140" i="18"/>
  <c r="AR135" i="18"/>
  <c r="AR136" i="18" s="1"/>
  <c r="T131" i="18"/>
  <c r="T132" i="18" s="1"/>
  <c r="AX95" i="18"/>
  <c r="AX96" i="18" s="1"/>
  <c r="BA39" i="18"/>
  <c r="BA40" i="18" s="1"/>
  <c r="P127" i="18"/>
  <c r="P128" i="18" s="1"/>
  <c r="H39" i="18"/>
  <c r="H40" i="18" s="1"/>
  <c r="Y168" i="18"/>
  <c r="I48" i="18"/>
  <c r="J48" i="18" s="1"/>
  <c r="K48" i="18" s="1"/>
  <c r="L48" i="18" s="1"/>
  <c r="M48" i="18" s="1"/>
  <c r="N48" i="18" s="1"/>
  <c r="AA168" i="18"/>
  <c r="Y172" i="18"/>
  <c r="AA172" i="18"/>
  <c r="Z131" i="18"/>
  <c r="Z132" i="18" s="1"/>
  <c r="N83" i="18"/>
  <c r="N84" i="18" s="1"/>
  <c r="R168" i="18"/>
  <c r="B168" i="18"/>
  <c r="B171" i="18"/>
  <c r="V131" i="18"/>
  <c r="V132" i="18" s="1"/>
  <c r="Q87" i="18"/>
  <c r="Q88" i="18" s="1"/>
  <c r="AA140" i="18"/>
  <c r="O92" i="18"/>
  <c r="R172" i="18"/>
  <c r="W140" i="18"/>
  <c r="R96" i="18"/>
  <c r="AQ95" i="18"/>
  <c r="AQ96" i="18" s="1"/>
  <c r="AW39" i="18"/>
  <c r="AW40" i="18" s="1"/>
  <c r="AA48" i="18"/>
  <c r="Z48" i="18"/>
  <c r="AS35" i="18"/>
  <c r="AS36" i="18" s="1"/>
  <c r="P87" i="18"/>
  <c r="P88" i="18" s="1"/>
  <c r="AX135" i="18"/>
  <c r="AX136" i="18" s="1"/>
  <c r="Q127" i="18"/>
  <c r="Q128" i="18" s="1"/>
  <c r="R136" i="18"/>
  <c r="S136" i="18" s="1"/>
  <c r="T96" i="18"/>
  <c r="U96" i="18" s="1"/>
  <c r="AP135" i="18"/>
  <c r="AP136" i="18" s="1"/>
  <c r="AY135" i="18"/>
  <c r="AY136" i="18" s="1"/>
  <c r="S87" i="18"/>
  <c r="S88" i="18" s="1"/>
  <c r="AS131" i="15"/>
  <c r="AR131" i="15"/>
  <c r="BA35" i="15"/>
  <c r="AY131" i="15"/>
  <c r="AX131" i="15"/>
  <c r="AW35" i="15"/>
  <c r="AQ35" i="15"/>
  <c r="AU131" i="15"/>
  <c r="AS35" i="15"/>
  <c r="BM164" i="15"/>
  <c r="BM167" i="15"/>
  <c r="AO27" i="15"/>
  <c r="Z127" i="15"/>
  <c r="AY95" i="15"/>
  <c r="AY91" i="15" s="1"/>
  <c r="B172" i="15"/>
  <c r="B175" i="15"/>
  <c r="Y83" i="15"/>
  <c r="V123" i="15"/>
  <c r="V31" i="15"/>
  <c r="Y31" i="15"/>
  <c r="V83" i="15"/>
  <c r="AQ91" i="15"/>
  <c r="AV91" i="15"/>
  <c r="AO91" i="15"/>
  <c r="BB87" i="15"/>
  <c r="AX87" i="15"/>
  <c r="AS87" i="15"/>
  <c r="H39" i="15"/>
  <c r="P79" i="15"/>
  <c r="O35" i="15"/>
  <c r="X131" i="15"/>
  <c r="P123" i="15"/>
  <c r="S83" i="15"/>
  <c r="L87" i="15"/>
  <c r="N123" i="15"/>
  <c r="N79" i="15"/>
  <c r="N90" i="18" l="1"/>
  <c r="N89" i="18"/>
  <c r="AQ40" i="18"/>
  <c r="AQ35" i="18"/>
  <c r="AQ36" i="18" s="1"/>
  <c r="L88" i="18"/>
  <c r="M88" i="18" s="1"/>
  <c r="L83" i="18"/>
  <c r="AQ45" i="18"/>
  <c r="AQ46" i="18"/>
  <c r="AV96" i="18"/>
  <c r="AV91" i="18"/>
  <c r="AU136" i="18"/>
  <c r="AU131" i="18"/>
  <c r="AU132" i="18" s="1"/>
  <c r="BB136" i="18"/>
  <c r="BB131" i="18"/>
  <c r="BB132" i="18" s="1"/>
  <c r="AO40" i="18"/>
  <c r="AO35" i="18"/>
  <c r="L94" i="18"/>
  <c r="L93" i="18"/>
  <c r="M92" i="18"/>
  <c r="O40" i="18"/>
  <c r="O35" i="18"/>
  <c r="AO136" i="18"/>
  <c r="AO131" i="18"/>
  <c r="AO132" i="18" s="1"/>
  <c r="O45" i="18"/>
  <c r="P44" i="18"/>
  <c r="Q44" i="18" s="1"/>
  <c r="AV102" i="18"/>
  <c r="AV101" i="18"/>
  <c r="AU141" i="18"/>
  <c r="AU142" i="18"/>
  <c r="V88" i="18"/>
  <c r="X88" i="18" s="1"/>
  <c r="V83" i="18"/>
  <c r="X132" i="18"/>
  <c r="Y132" i="18" s="1"/>
  <c r="X127" i="18"/>
  <c r="AO141" i="18"/>
  <c r="AO142" i="18"/>
  <c r="W92" i="18"/>
  <c r="X92" i="18"/>
  <c r="V93" i="18"/>
  <c r="V94" i="18"/>
  <c r="X137" i="18"/>
  <c r="X138" i="18"/>
  <c r="Y136" i="18"/>
  <c r="BB141" i="18"/>
  <c r="BB142" i="18"/>
  <c r="Y46" i="18"/>
  <c r="V40" i="18"/>
  <c r="V42" i="18" s="1"/>
  <c r="V35" i="18"/>
  <c r="V36" i="18" s="1"/>
  <c r="Z35" i="18"/>
  <c r="Z40" i="18"/>
  <c r="AS98" i="18"/>
  <c r="AS97" i="18"/>
  <c r="Q89" i="18"/>
  <c r="Q90" i="18"/>
  <c r="P90" i="18"/>
  <c r="P89" i="18"/>
  <c r="R41" i="18"/>
  <c r="R42" i="18"/>
  <c r="BB97" i="18"/>
  <c r="BB98" i="18"/>
  <c r="AY138" i="18"/>
  <c r="AY137" i="18"/>
  <c r="V133" i="18"/>
  <c r="V134" i="18"/>
  <c r="T133" i="18"/>
  <c r="T134" i="18"/>
  <c r="AR137" i="18"/>
  <c r="AR138" i="18"/>
  <c r="BA42" i="18"/>
  <c r="BA41" i="18"/>
  <c r="AQ97" i="18"/>
  <c r="AQ98" i="18"/>
  <c r="N85" i="18"/>
  <c r="N86" i="18"/>
  <c r="H42" i="18"/>
  <c r="H41" i="18"/>
  <c r="S89" i="18"/>
  <c r="S90" i="18"/>
  <c r="AP138" i="18"/>
  <c r="AP137" i="18"/>
  <c r="N134" i="18"/>
  <c r="N133" i="18"/>
  <c r="Q129" i="18"/>
  <c r="Q130" i="18"/>
  <c r="Y90" i="18"/>
  <c r="Y89" i="18"/>
  <c r="AS37" i="18"/>
  <c r="AS38" i="18"/>
  <c r="AW42" i="18"/>
  <c r="AW41" i="18"/>
  <c r="Z133" i="18"/>
  <c r="Z134" i="18"/>
  <c r="AO97" i="18"/>
  <c r="AO98" i="18"/>
  <c r="AX98" i="18"/>
  <c r="AX97" i="18"/>
  <c r="AY98" i="18"/>
  <c r="AY97" i="18"/>
  <c r="AS137" i="18"/>
  <c r="AS138" i="18"/>
  <c r="AX138" i="18"/>
  <c r="AX137" i="18"/>
  <c r="P130" i="18"/>
  <c r="P129" i="18"/>
  <c r="L133" i="18"/>
  <c r="L134" i="18"/>
  <c r="AO91" i="18"/>
  <c r="AO92" i="18" s="1"/>
  <c r="N127" i="18"/>
  <c r="N128" i="18" s="1"/>
  <c r="O136" i="18"/>
  <c r="AS91" i="18"/>
  <c r="AS92" i="18" s="1"/>
  <c r="L127" i="18"/>
  <c r="L128" i="18" s="1"/>
  <c r="Y83" i="18"/>
  <c r="AY91" i="18"/>
  <c r="AY92" i="18" s="1"/>
  <c r="M136" i="18"/>
  <c r="Z92" i="18"/>
  <c r="AA92" i="18"/>
  <c r="X44" i="18"/>
  <c r="W44" i="18"/>
  <c r="S44" i="18"/>
  <c r="T44" i="18" s="1"/>
  <c r="U44" i="18" s="1"/>
  <c r="R35" i="18"/>
  <c r="R36" i="18" s="1"/>
  <c r="BB91" i="18"/>
  <c r="BB92" i="18" s="1"/>
  <c r="P123" i="18"/>
  <c r="P124" i="18" s="1"/>
  <c r="U136" i="18"/>
  <c r="BM171" i="18"/>
  <c r="BM168" i="18"/>
  <c r="BA35" i="18"/>
  <c r="BA36" i="18" s="1"/>
  <c r="T127" i="18"/>
  <c r="T128" i="18" s="1"/>
  <c r="AR131" i="18"/>
  <c r="AR132" i="18" s="1"/>
  <c r="AX91" i="18"/>
  <c r="AX92" i="18" s="1"/>
  <c r="AS131" i="18"/>
  <c r="AS132" i="18" s="1"/>
  <c r="AW35" i="18"/>
  <c r="AW36" i="18" s="1"/>
  <c r="P83" i="18"/>
  <c r="P84" i="18" s="1"/>
  <c r="AQ91" i="18"/>
  <c r="AQ92" i="18" s="1"/>
  <c r="I44" i="18"/>
  <c r="J44" i="18" s="1"/>
  <c r="K44" i="18" s="1"/>
  <c r="L44" i="18" s="1"/>
  <c r="M44" i="18" s="1"/>
  <c r="N44" i="18" s="1"/>
  <c r="H35" i="18"/>
  <c r="H36" i="18" s="1"/>
  <c r="B167" i="18"/>
  <c r="B164" i="18"/>
  <c r="Z127" i="18"/>
  <c r="Z128" i="18" s="1"/>
  <c r="T92" i="18"/>
  <c r="U92" i="18" s="1"/>
  <c r="S83" i="18"/>
  <c r="S84" i="18" s="1"/>
  <c r="AA136" i="18"/>
  <c r="Q123" i="18"/>
  <c r="Q124" i="18" s="1"/>
  <c r="AX131" i="18"/>
  <c r="AX132" i="18" s="1"/>
  <c r="AS31" i="18"/>
  <c r="AS32" i="18" s="1"/>
  <c r="R132" i="18"/>
  <c r="S132" i="18" s="1"/>
  <c r="Q83" i="18"/>
  <c r="Q84" i="18" s="1"/>
  <c r="W136" i="18"/>
  <c r="AY131" i="18"/>
  <c r="AY132" i="18" s="1"/>
  <c r="AP131" i="18"/>
  <c r="AP132" i="18" s="1"/>
  <c r="AA44" i="18"/>
  <c r="Z44" i="18"/>
  <c r="R92" i="18"/>
  <c r="O88" i="18"/>
  <c r="V127" i="18"/>
  <c r="V128" i="18" s="1"/>
  <c r="N79" i="18"/>
  <c r="N80" i="18" s="1"/>
  <c r="AS31" i="15"/>
  <c r="AW31" i="15"/>
  <c r="BA31" i="15"/>
  <c r="AQ31" i="15"/>
  <c r="BM160" i="15"/>
  <c r="BM163" i="15"/>
  <c r="AO23" i="15"/>
  <c r="Z123" i="15"/>
  <c r="B168" i="15"/>
  <c r="B171" i="15"/>
  <c r="AY87" i="15"/>
  <c r="Y79" i="15"/>
  <c r="Y27" i="15"/>
  <c r="V27" i="15"/>
  <c r="V79" i="15"/>
  <c r="AV87" i="15"/>
  <c r="AO87" i="15"/>
  <c r="AQ87" i="15"/>
  <c r="AS83" i="15"/>
  <c r="AX83" i="15"/>
  <c r="BB83" i="15"/>
  <c r="H35" i="15"/>
  <c r="L155" i="15"/>
  <c r="L83" i="15"/>
  <c r="X127" i="15"/>
  <c r="O31" i="15"/>
  <c r="S79" i="15"/>
  <c r="P75" i="15"/>
  <c r="N75" i="15"/>
  <c r="AQ31" i="18" l="1"/>
  <c r="AQ32" i="18" s="1"/>
  <c r="AQ41" i="18"/>
  <c r="AQ42" i="18"/>
  <c r="L89" i="18"/>
  <c r="L90" i="18"/>
  <c r="AQ38" i="18"/>
  <c r="AQ37" i="18"/>
  <c r="L84" i="18"/>
  <c r="M84" i="18" s="1"/>
  <c r="L79" i="18"/>
  <c r="L80" i="18" s="1"/>
  <c r="AO36" i="18"/>
  <c r="AO31" i="18"/>
  <c r="AV98" i="18"/>
  <c r="AV97" i="18"/>
  <c r="AU137" i="18"/>
  <c r="AU138" i="18"/>
  <c r="BB138" i="18"/>
  <c r="BB137" i="18"/>
  <c r="AO41" i="18"/>
  <c r="AO42" i="18"/>
  <c r="AV92" i="18"/>
  <c r="AV87" i="18"/>
  <c r="AV88" i="18" s="1"/>
  <c r="AU133" i="18"/>
  <c r="AU134" i="18"/>
  <c r="BB134" i="18"/>
  <c r="BB133" i="18"/>
  <c r="O36" i="18"/>
  <c r="O31" i="18"/>
  <c r="O41" i="18"/>
  <c r="O42" i="18"/>
  <c r="P40" i="18"/>
  <c r="Q40" i="18" s="1"/>
  <c r="AO137" i="18"/>
  <c r="AO138" i="18"/>
  <c r="AO133" i="18"/>
  <c r="AO134" i="18"/>
  <c r="W88" i="18"/>
  <c r="V90" i="18"/>
  <c r="V89" i="18"/>
  <c r="X133" i="18"/>
  <c r="X134" i="18"/>
  <c r="V84" i="18"/>
  <c r="W84" i="18" s="1"/>
  <c r="V79" i="18"/>
  <c r="X128" i="18"/>
  <c r="Y128" i="18" s="1"/>
  <c r="X123" i="18"/>
  <c r="X124" i="18" s="1"/>
  <c r="Y124" i="18" s="1"/>
  <c r="V41" i="18"/>
  <c r="AA40" i="18"/>
  <c r="Z41" i="18"/>
  <c r="Z42" i="18"/>
  <c r="Y31" i="18"/>
  <c r="Y32" i="18" s="1"/>
  <c r="Z36" i="18"/>
  <c r="V38" i="18"/>
  <c r="V37" i="18"/>
  <c r="X36" i="18"/>
  <c r="W36" i="18"/>
  <c r="Y36" i="18" s="1"/>
  <c r="Y84" i="18"/>
  <c r="Y85" i="18" s="1"/>
  <c r="Z79" i="18"/>
  <c r="Q126" i="18"/>
  <c r="Q125" i="18"/>
  <c r="N81" i="18"/>
  <c r="N82" i="18"/>
  <c r="AY134" i="18"/>
  <c r="AY133" i="18"/>
  <c r="S86" i="18"/>
  <c r="S85" i="18"/>
  <c r="AO93" i="18"/>
  <c r="AO94" i="18"/>
  <c r="AW37" i="18"/>
  <c r="AW38" i="18"/>
  <c r="N130" i="18"/>
  <c r="N129" i="18"/>
  <c r="AX94" i="18"/>
  <c r="AX93" i="18"/>
  <c r="P85" i="18"/>
  <c r="P86" i="18"/>
  <c r="T129" i="18"/>
  <c r="T130" i="18"/>
  <c r="BA38" i="18"/>
  <c r="BA37" i="18"/>
  <c r="AP133" i="18"/>
  <c r="AP134" i="18"/>
  <c r="Q86" i="18"/>
  <c r="Q85" i="18"/>
  <c r="AY94" i="18"/>
  <c r="AY93" i="18"/>
  <c r="BB93" i="18"/>
  <c r="BB94" i="18"/>
  <c r="AS134" i="18"/>
  <c r="AS133" i="18"/>
  <c r="Z129" i="18"/>
  <c r="Z130" i="18"/>
  <c r="AS33" i="18"/>
  <c r="AS34" i="18"/>
  <c r="AS94" i="18"/>
  <c r="AS93" i="18"/>
  <c r="R37" i="18"/>
  <c r="R38" i="18"/>
  <c r="V129" i="18"/>
  <c r="V130" i="18"/>
  <c r="AR133" i="18"/>
  <c r="AR134" i="18"/>
  <c r="H37" i="18"/>
  <c r="H38" i="18"/>
  <c r="AX134" i="18"/>
  <c r="AX133" i="18"/>
  <c r="AQ94" i="18"/>
  <c r="AQ93" i="18"/>
  <c r="P125" i="18"/>
  <c r="P126" i="18"/>
  <c r="L130" i="18"/>
  <c r="L129" i="18"/>
  <c r="O132" i="18"/>
  <c r="AY87" i="18"/>
  <c r="AY88" i="18" s="1"/>
  <c r="AO87" i="18"/>
  <c r="AO88" i="18" s="1"/>
  <c r="N123" i="18"/>
  <c r="N124" i="18" s="1"/>
  <c r="Z88" i="18"/>
  <c r="AA88" i="18"/>
  <c r="AS87" i="18"/>
  <c r="AS88" i="18" s="1"/>
  <c r="L123" i="18"/>
  <c r="L124" i="18" s="1"/>
  <c r="M132" i="18"/>
  <c r="BB87" i="18"/>
  <c r="BB88" i="18" s="1"/>
  <c r="R31" i="18"/>
  <c r="R32" i="18" s="1"/>
  <c r="S40" i="18"/>
  <c r="T40" i="18" s="1"/>
  <c r="U40" i="18" s="1"/>
  <c r="W40" i="18"/>
  <c r="Y40" i="18" s="1"/>
  <c r="X40" i="18"/>
  <c r="V31" i="18"/>
  <c r="V32" i="18" s="1"/>
  <c r="U132" i="18"/>
  <c r="BA31" i="18"/>
  <c r="BA32" i="18" s="1"/>
  <c r="BM167" i="18"/>
  <c r="BM164" i="18"/>
  <c r="AX87" i="18"/>
  <c r="AX88" i="18" s="1"/>
  <c r="AQ27" i="18"/>
  <c r="AQ28" i="18" s="1"/>
  <c r="T123" i="18"/>
  <c r="T124" i="18" s="1"/>
  <c r="AS27" i="18"/>
  <c r="AS28" i="18" s="1"/>
  <c r="Z123" i="18"/>
  <c r="Z124" i="18" s="1"/>
  <c r="AA132" i="18"/>
  <c r="AW31" i="18"/>
  <c r="AW32" i="18" s="1"/>
  <c r="AV83" i="18"/>
  <c r="AV84" i="18" s="1"/>
  <c r="AQ87" i="18"/>
  <c r="AQ88" i="18" s="1"/>
  <c r="W132" i="18"/>
  <c r="V123" i="18"/>
  <c r="V124" i="18" s="1"/>
  <c r="P79" i="18"/>
  <c r="P80" i="18" s="1"/>
  <c r="T88" i="18"/>
  <c r="U88" i="18" s="1"/>
  <c r="S79" i="18"/>
  <c r="S80" i="18" s="1"/>
  <c r="Q79" i="18"/>
  <c r="Q80" i="18" s="1"/>
  <c r="B163" i="18"/>
  <c r="B160" i="18"/>
  <c r="N75" i="18"/>
  <c r="N76" i="18" s="1"/>
  <c r="R128" i="18"/>
  <c r="S128" i="18" s="1"/>
  <c r="R88" i="18"/>
  <c r="L75" i="18"/>
  <c r="L76" i="18" s="1"/>
  <c r="R124" i="18"/>
  <c r="S124" i="18" s="1"/>
  <c r="I40" i="18"/>
  <c r="J40" i="18" s="1"/>
  <c r="K40" i="18" s="1"/>
  <c r="L40" i="18" s="1"/>
  <c r="M40" i="18" s="1"/>
  <c r="N40" i="18" s="1"/>
  <c r="O84" i="18"/>
  <c r="H31" i="18"/>
  <c r="H32" i="18" s="1"/>
  <c r="AS27" i="15"/>
  <c r="AW27" i="15"/>
  <c r="BA27" i="15"/>
  <c r="AQ27" i="15"/>
  <c r="BM159" i="15"/>
  <c r="BM156" i="15"/>
  <c r="AO19" i="15"/>
  <c r="B167" i="15"/>
  <c r="B164" i="15"/>
  <c r="AY83" i="15"/>
  <c r="Y75" i="15"/>
  <c r="Y23" i="15"/>
  <c r="V23" i="15"/>
  <c r="V75" i="15"/>
  <c r="AO83" i="15"/>
  <c r="AQ83" i="15"/>
  <c r="AV83" i="15"/>
  <c r="AX79" i="15"/>
  <c r="AS79" i="15"/>
  <c r="BB79" i="15"/>
  <c r="H31" i="15"/>
  <c r="L151" i="15"/>
  <c r="X123" i="15"/>
  <c r="O27" i="15"/>
  <c r="L79" i="15"/>
  <c r="S75" i="15"/>
  <c r="AQ34" i="18" l="1"/>
  <c r="AQ33" i="18"/>
  <c r="L81" i="18"/>
  <c r="L82" i="18"/>
  <c r="L86" i="18"/>
  <c r="L85" i="18"/>
  <c r="V80" i="18"/>
  <c r="X80" i="18" s="1"/>
  <c r="V75" i="18"/>
  <c r="V76" i="18" s="1"/>
  <c r="AO38" i="18"/>
  <c r="AO37" i="18"/>
  <c r="AO32" i="18"/>
  <c r="AO27" i="18"/>
  <c r="O38" i="18"/>
  <c r="O37" i="18"/>
  <c r="P36" i="18"/>
  <c r="Q36" i="18" s="1"/>
  <c r="AV94" i="18"/>
  <c r="AV93" i="18"/>
  <c r="O27" i="18"/>
  <c r="O32" i="18"/>
  <c r="AV89" i="18"/>
  <c r="AV90" i="18"/>
  <c r="X84" i="18"/>
  <c r="V86" i="18"/>
  <c r="V85" i="18"/>
  <c r="X129" i="18"/>
  <c r="X130" i="18"/>
  <c r="X126" i="18"/>
  <c r="X125" i="18"/>
  <c r="Z80" i="18"/>
  <c r="Z75" i="18"/>
  <c r="Z76" i="18" s="1"/>
  <c r="Z38" i="18"/>
  <c r="Z37" i="18"/>
  <c r="AA36" i="18"/>
  <c r="Y86" i="18"/>
  <c r="AX90" i="18"/>
  <c r="AX89" i="18"/>
  <c r="AS90" i="18"/>
  <c r="AS89" i="18"/>
  <c r="S81" i="18"/>
  <c r="S82" i="18"/>
  <c r="H34" i="18"/>
  <c r="H33" i="18"/>
  <c r="BA34" i="18"/>
  <c r="BA33" i="18"/>
  <c r="AQ30" i="18"/>
  <c r="AQ29" i="18"/>
  <c r="V34" i="18"/>
  <c r="V33" i="18"/>
  <c r="P82" i="18"/>
  <c r="P81" i="18"/>
  <c r="AV86" i="18"/>
  <c r="AV85" i="18"/>
  <c r="L125" i="18"/>
  <c r="L126" i="18"/>
  <c r="N125" i="18"/>
  <c r="N126" i="18"/>
  <c r="L77" i="18"/>
  <c r="L78" i="18"/>
  <c r="AO89" i="18"/>
  <c r="AO90" i="18"/>
  <c r="V126" i="18"/>
  <c r="V125" i="18"/>
  <c r="Z126" i="18"/>
  <c r="Z125" i="18"/>
  <c r="AY90" i="18"/>
  <c r="AY89" i="18"/>
  <c r="AS29" i="18"/>
  <c r="AS30" i="18"/>
  <c r="AQ89" i="18"/>
  <c r="AQ90" i="18"/>
  <c r="Q82" i="18"/>
  <c r="Q81" i="18"/>
  <c r="N77" i="18"/>
  <c r="N78" i="18"/>
  <c r="Y33" i="18"/>
  <c r="Y34" i="18"/>
  <c r="R34" i="18"/>
  <c r="R33" i="18"/>
  <c r="AW33" i="18"/>
  <c r="AW34" i="18"/>
  <c r="T126" i="18"/>
  <c r="T125" i="18"/>
  <c r="BB89" i="18"/>
  <c r="BB90" i="18"/>
  <c r="M128" i="18"/>
  <c r="Z84" i="18"/>
  <c r="AA84" i="18"/>
  <c r="O124" i="18"/>
  <c r="AY83" i="18"/>
  <c r="AY84" i="18" s="1"/>
  <c r="O128" i="18"/>
  <c r="M124" i="18"/>
  <c r="AS83" i="18"/>
  <c r="AS84" i="18" s="1"/>
  <c r="AO83" i="18"/>
  <c r="AO84" i="18" s="1"/>
  <c r="R27" i="18"/>
  <c r="R28" i="18" s="1"/>
  <c r="BB83" i="18"/>
  <c r="BB84" i="18" s="1"/>
  <c r="S36" i="18"/>
  <c r="T36" i="18" s="1"/>
  <c r="U36" i="18" s="1"/>
  <c r="V27" i="18"/>
  <c r="V28" i="18" s="1"/>
  <c r="AX83" i="18"/>
  <c r="AX84" i="18" s="1"/>
  <c r="BM163" i="18"/>
  <c r="BM160" i="18"/>
  <c r="AQ23" i="18"/>
  <c r="AQ24" i="18" s="1"/>
  <c r="BA27" i="18"/>
  <c r="BA28" i="18" s="1"/>
  <c r="U124" i="18"/>
  <c r="U128" i="18"/>
  <c r="AA128" i="18"/>
  <c r="W128" i="18"/>
  <c r="AS23" i="18"/>
  <c r="AS24" i="18" s="1"/>
  <c r="O80" i="18"/>
  <c r="Q75" i="18"/>
  <c r="Q76" i="18" s="1"/>
  <c r="W124" i="18"/>
  <c r="AW27" i="18"/>
  <c r="AW28" i="18" s="1"/>
  <c r="M80" i="18"/>
  <c r="M76" i="18"/>
  <c r="B159" i="18"/>
  <c r="B156" i="18"/>
  <c r="AA124" i="18"/>
  <c r="O76" i="18"/>
  <c r="R84" i="18"/>
  <c r="Y27" i="18"/>
  <c r="Y28" i="18" s="1"/>
  <c r="AV79" i="18"/>
  <c r="AV80" i="18" s="1"/>
  <c r="H27" i="18"/>
  <c r="H28" i="18" s="1"/>
  <c r="S75" i="18"/>
  <c r="S76" i="18" s="1"/>
  <c r="P75" i="18"/>
  <c r="P76" i="18" s="1"/>
  <c r="I36" i="18"/>
  <c r="J36" i="18" s="1"/>
  <c r="K36" i="18" s="1"/>
  <c r="L36" i="18" s="1"/>
  <c r="M36" i="18" s="1"/>
  <c r="N36" i="18" s="1"/>
  <c r="T84" i="18"/>
  <c r="U84" i="18" s="1"/>
  <c r="AQ83" i="18"/>
  <c r="AQ84" i="18" s="1"/>
  <c r="BA23" i="15"/>
  <c r="AS23" i="15"/>
  <c r="AW23" i="15"/>
  <c r="AQ23" i="15"/>
  <c r="BM155" i="15"/>
  <c r="BM152" i="15"/>
  <c r="B163" i="15"/>
  <c r="B160" i="15"/>
  <c r="AY79" i="15"/>
  <c r="V19" i="15"/>
  <c r="Y19" i="15"/>
  <c r="AV79" i="15"/>
  <c r="AQ79" i="15"/>
  <c r="AO79" i="15"/>
  <c r="AX75" i="15"/>
  <c r="AS75" i="15"/>
  <c r="BB75" i="15"/>
  <c r="H27" i="15"/>
  <c r="L147" i="15"/>
  <c r="L75" i="15"/>
  <c r="O23" i="15"/>
  <c r="W80" i="18" l="1"/>
  <c r="Y80" i="18" s="1"/>
  <c r="V82" i="18"/>
  <c r="V81" i="18"/>
  <c r="V77" i="18"/>
  <c r="V78" i="18"/>
  <c r="X76" i="18"/>
  <c r="W76" i="18"/>
  <c r="Y76" i="18" s="1"/>
  <c r="AO28" i="18"/>
  <c r="AO23" i="18"/>
  <c r="AO33" i="18"/>
  <c r="AO34" i="18"/>
  <c r="O23" i="18"/>
  <c r="O28" i="18"/>
  <c r="P32" i="18"/>
  <c r="Q32" i="18" s="1"/>
  <c r="O33" i="18"/>
  <c r="O34" i="18"/>
  <c r="AA76" i="18"/>
  <c r="Z78" i="18"/>
  <c r="Z77" i="18"/>
  <c r="Z82" i="18"/>
  <c r="Z81" i="18"/>
  <c r="AA80" i="18"/>
  <c r="AW29" i="18"/>
  <c r="AW30" i="18"/>
  <c r="AV81" i="18"/>
  <c r="AV82" i="18"/>
  <c r="Q78" i="18"/>
  <c r="Q77" i="18"/>
  <c r="R30" i="18"/>
  <c r="R29" i="18"/>
  <c r="BB85" i="18"/>
  <c r="BB86" i="18"/>
  <c r="Y29" i="18"/>
  <c r="Y30" i="18"/>
  <c r="AO85" i="18"/>
  <c r="AO86" i="18"/>
  <c r="AQ26" i="18"/>
  <c r="AQ25" i="18"/>
  <c r="BA30" i="18"/>
  <c r="BA29" i="18"/>
  <c r="AX86" i="18"/>
  <c r="AX85" i="18"/>
  <c r="AS26" i="18"/>
  <c r="AS25" i="18"/>
  <c r="AY86" i="18"/>
  <c r="AY85" i="18"/>
  <c r="P78" i="18"/>
  <c r="P77" i="18"/>
  <c r="S78" i="18"/>
  <c r="S77" i="18"/>
  <c r="H29" i="18"/>
  <c r="H30" i="18"/>
  <c r="AS85" i="18"/>
  <c r="AS86" i="18"/>
  <c r="AQ85" i="18"/>
  <c r="AQ86" i="18"/>
  <c r="V30" i="18"/>
  <c r="V29" i="18"/>
  <c r="AY79" i="18"/>
  <c r="AY80" i="18" s="1"/>
  <c r="AO79" i="18"/>
  <c r="AO80" i="18" s="1"/>
  <c r="AS79" i="18"/>
  <c r="AS80" i="18" s="1"/>
  <c r="V23" i="18"/>
  <c r="V24" i="18" s="1"/>
  <c r="R23" i="18"/>
  <c r="R24" i="18" s="1"/>
  <c r="S32" i="18"/>
  <c r="T32" i="18" s="1"/>
  <c r="U32" i="18" s="1"/>
  <c r="BB79" i="18"/>
  <c r="BB80" i="18" s="1"/>
  <c r="W32" i="18"/>
  <c r="X32" i="18"/>
  <c r="BM159" i="18"/>
  <c r="BM156" i="18"/>
  <c r="AX79" i="18"/>
  <c r="AX80" i="18" s="1"/>
  <c r="BA23" i="18"/>
  <c r="BA24" i="18" s="1"/>
  <c r="AQ19" i="18"/>
  <c r="AQ20" i="18" s="1"/>
  <c r="Z32" i="18"/>
  <c r="AA32" i="18"/>
  <c r="I32" i="18"/>
  <c r="J32" i="18" s="1"/>
  <c r="K32" i="18" s="1"/>
  <c r="L32" i="18" s="1"/>
  <c r="M32" i="18" s="1"/>
  <c r="N32" i="18" s="1"/>
  <c r="AW23" i="18"/>
  <c r="AW24" i="18" s="1"/>
  <c r="R76" i="18"/>
  <c r="AQ79" i="18"/>
  <c r="AQ80" i="18" s="1"/>
  <c r="T80" i="18"/>
  <c r="U80" i="18" s="1"/>
  <c r="AS19" i="18"/>
  <c r="AS20" i="18" s="1"/>
  <c r="T76" i="18"/>
  <c r="U76" i="18" s="1"/>
  <c r="Y23" i="18"/>
  <c r="Y24" i="18" s="1"/>
  <c r="AV75" i="18"/>
  <c r="AV76" i="18" s="1"/>
  <c r="R80" i="18"/>
  <c r="H23" i="18"/>
  <c r="H24" i="18" s="1"/>
  <c r="B155" i="18"/>
  <c r="B152" i="18"/>
  <c r="BA19" i="15"/>
  <c r="AS19" i="15"/>
  <c r="AW19" i="15"/>
  <c r="AQ19" i="15"/>
  <c r="BM151" i="15"/>
  <c r="BM148" i="15"/>
  <c r="B156" i="15"/>
  <c r="B159" i="15"/>
  <c r="AY75" i="15"/>
  <c r="AO75" i="15"/>
  <c r="AV75" i="15"/>
  <c r="AQ75" i="15"/>
  <c r="H23" i="15"/>
  <c r="L143" i="15"/>
  <c r="O19" i="15"/>
  <c r="AO29" i="18" l="1"/>
  <c r="AO30" i="18"/>
  <c r="AO24" i="18"/>
  <c r="AO19" i="18"/>
  <c r="AO20" i="18" s="1"/>
  <c r="O19" i="18"/>
  <c r="O20" i="18" s="1"/>
  <c r="O24" i="18"/>
  <c r="P28" i="18"/>
  <c r="Q28" i="18" s="1"/>
  <c r="O30" i="18"/>
  <c r="O29" i="18"/>
  <c r="AS21" i="18"/>
  <c r="AS22" i="18"/>
  <c r="AS81" i="18"/>
  <c r="AS82" i="18"/>
  <c r="AO81" i="18"/>
  <c r="AO82" i="18"/>
  <c r="BA25" i="18"/>
  <c r="BA26" i="18"/>
  <c r="BB81" i="18"/>
  <c r="BB82" i="18"/>
  <c r="AY82" i="18"/>
  <c r="AY81" i="18"/>
  <c r="H26" i="18"/>
  <c r="H25" i="18"/>
  <c r="R25" i="18"/>
  <c r="R26" i="18"/>
  <c r="AQ22" i="18"/>
  <c r="AQ21" i="18"/>
  <c r="AW26" i="18"/>
  <c r="AW25" i="18"/>
  <c r="Y25" i="18"/>
  <c r="Y26" i="18"/>
  <c r="AX81" i="18"/>
  <c r="AX82" i="18"/>
  <c r="AQ81" i="18"/>
  <c r="AQ82" i="18"/>
  <c r="AV78" i="18"/>
  <c r="AV77" i="18"/>
  <c r="V26" i="18"/>
  <c r="V25" i="18"/>
  <c r="AY75" i="18"/>
  <c r="AY76" i="18" s="1"/>
  <c r="AO75" i="18"/>
  <c r="AO76" i="18" s="1"/>
  <c r="AS75" i="18"/>
  <c r="AS76" i="18" s="1"/>
  <c r="S28" i="18"/>
  <c r="T28" i="18" s="1"/>
  <c r="U28" i="18" s="1"/>
  <c r="R19" i="18"/>
  <c r="R20" i="18" s="1"/>
  <c r="X28" i="18"/>
  <c r="W28" i="18"/>
  <c r="V19" i="18"/>
  <c r="V20" i="18" s="1"/>
  <c r="BB75" i="18"/>
  <c r="BB76" i="18" s="1"/>
  <c r="BA19" i="18"/>
  <c r="BA20" i="18" s="1"/>
  <c r="AX75" i="18"/>
  <c r="AX76" i="18" s="1"/>
  <c r="BM155" i="18"/>
  <c r="BM152" i="18"/>
  <c r="B151" i="18"/>
  <c r="B148" i="18"/>
  <c r="I28" i="18"/>
  <c r="J28" i="18" s="1"/>
  <c r="K28" i="18" s="1"/>
  <c r="L28" i="18" s="1"/>
  <c r="M28" i="18" s="1"/>
  <c r="N28" i="18" s="1"/>
  <c r="Y19" i="18"/>
  <c r="Y20" i="18" s="1"/>
  <c r="Y22" i="18" s="1"/>
  <c r="AW19" i="18"/>
  <c r="AW20" i="18" s="1"/>
  <c r="H19" i="18"/>
  <c r="H20" i="18" s="1"/>
  <c r="Z28" i="18"/>
  <c r="AA28" i="18"/>
  <c r="AQ75" i="18"/>
  <c r="AQ76" i="18" s="1"/>
  <c r="BM144" i="15"/>
  <c r="BM147" i="15"/>
  <c r="B155" i="15"/>
  <c r="B152" i="15"/>
  <c r="H19" i="15"/>
  <c r="L139" i="15"/>
  <c r="AO21" i="18" l="1"/>
  <c r="AO22" i="18"/>
  <c r="AO25" i="18"/>
  <c r="AO26" i="18"/>
  <c r="P20" i="18"/>
  <c r="Q20" i="18" s="1"/>
  <c r="O22" i="18"/>
  <c r="O21" i="18"/>
  <c r="P24" i="18"/>
  <c r="Q24" i="18" s="1"/>
  <c r="O26" i="18"/>
  <c r="O25" i="18"/>
  <c r="AO78" i="18"/>
  <c r="AO77" i="18"/>
  <c r="AY77" i="18"/>
  <c r="AY78" i="18"/>
  <c r="AS78" i="18"/>
  <c r="AS77" i="18"/>
  <c r="BB77" i="18"/>
  <c r="BB78" i="18"/>
  <c r="BA22" i="18"/>
  <c r="BA21" i="18"/>
  <c r="H22" i="18"/>
  <c r="H21" i="18"/>
  <c r="AX78" i="18"/>
  <c r="AX77" i="18"/>
  <c r="AW22" i="18"/>
  <c r="AW21" i="18"/>
  <c r="AQ77" i="18"/>
  <c r="AQ78" i="18"/>
  <c r="V22" i="18"/>
  <c r="V21" i="18"/>
  <c r="Y21" i="18"/>
  <c r="R22" i="18"/>
  <c r="R21" i="18"/>
  <c r="S24" i="18"/>
  <c r="T24" i="18" s="1"/>
  <c r="U24" i="18" s="1"/>
  <c r="S20" i="18"/>
  <c r="T20" i="18" s="1"/>
  <c r="U20" i="18" s="1"/>
  <c r="W20" i="18"/>
  <c r="X20" i="18"/>
  <c r="X24" i="18"/>
  <c r="W24" i="18"/>
  <c r="BM148" i="18"/>
  <c r="BM151" i="18"/>
  <c r="Z20" i="18"/>
  <c r="AA20" i="18"/>
  <c r="Z24" i="18"/>
  <c r="AA24" i="18"/>
  <c r="I20" i="18"/>
  <c r="J20" i="18" s="1"/>
  <c r="K20" i="18" s="1"/>
  <c r="L20" i="18" s="1"/>
  <c r="M20" i="18" s="1"/>
  <c r="N20" i="18" s="1"/>
  <c r="B147" i="18"/>
  <c r="B144" i="18"/>
  <c r="I24" i="18"/>
  <c r="J24" i="18" s="1"/>
  <c r="K24" i="18" s="1"/>
  <c r="L24" i="18" s="1"/>
  <c r="M24" i="18" s="1"/>
  <c r="N24" i="18" s="1"/>
  <c r="BM143" i="15"/>
  <c r="BM140" i="15"/>
  <c r="B151" i="15"/>
  <c r="B148" i="15"/>
  <c r="L135" i="15"/>
  <c r="BM144" i="18" l="1"/>
  <c r="BM147" i="18"/>
  <c r="B140" i="18"/>
  <c r="B143" i="18"/>
  <c r="BM139" i="15"/>
  <c r="BM136" i="15"/>
  <c r="B144" i="15"/>
  <c r="B147" i="15"/>
  <c r="L131" i="15"/>
  <c r="BM140" i="18" l="1"/>
  <c r="BM143" i="18"/>
  <c r="B136" i="18"/>
  <c r="B139" i="18"/>
  <c r="BM132" i="15"/>
  <c r="BM135" i="15"/>
  <c r="B140" i="15"/>
  <c r="B143" i="15"/>
  <c r="L127" i="15"/>
  <c r="BM139" i="18" l="1"/>
  <c r="BM136" i="18"/>
  <c r="B135" i="18"/>
  <c r="B132" i="18"/>
  <c r="BM128" i="15"/>
  <c r="BM131" i="15"/>
  <c r="B139" i="15"/>
  <c r="B136" i="15"/>
  <c r="L123" i="15"/>
  <c r="BM135" i="18" l="1"/>
  <c r="BM132" i="18"/>
  <c r="B128" i="18"/>
  <c r="B131" i="18"/>
  <c r="BM127" i="15"/>
  <c r="BM124" i="15"/>
  <c r="B132" i="15"/>
  <c r="B135" i="15"/>
  <c r="BM128" i="18" l="1"/>
  <c r="BM131" i="18"/>
  <c r="B127" i="18"/>
  <c r="B124" i="18"/>
  <c r="BM123" i="15"/>
  <c r="BM120" i="15"/>
  <c r="B128" i="15"/>
  <c r="B131" i="15"/>
  <c r="BM124" i="18" l="1"/>
  <c r="BM127" i="18"/>
  <c r="B123" i="18"/>
  <c r="B120" i="18"/>
  <c r="BM116" i="15"/>
  <c r="BM119" i="15"/>
  <c r="B124" i="15"/>
  <c r="B127" i="15"/>
  <c r="BM123" i="18" l="1"/>
  <c r="BM120" i="18"/>
  <c r="B119" i="18"/>
  <c r="B116" i="18"/>
  <c r="BM112" i="15"/>
  <c r="BM115" i="15"/>
  <c r="B123" i="15"/>
  <c r="B120" i="15"/>
  <c r="BM119" i="18" l="1"/>
  <c r="BM116" i="18"/>
  <c r="B115" i="18"/>
  <c r="B112" i="18"/>
  <c r="BM111" i="15"/>
  <c r="BM108" i="15"/>
  <c r="B119" i="15"/>
  <c r="B116" i="15"/>
  <c r="BM115" i="18" l="1"/>
  <c r="BM112" i="18"/>
  <c r="B111" i="18"/>
  <c r="B108" i="18"/>
  <c r="BM107" i="15"/>
  <c r="BM104" i="15"/>
  <c r="B112" i="15"/>
  <c r="B115" i="15"/>
  <c r="BM108" i="18" l="1"/>
  <c r="BM111" i="18"/>
  <c r="B107" i="18"/>
  <c r="B104" i="18"/>
  <c r="BM103" i="15"/>
  <c r="BM100" i="15"/>
  <c r="B111" i="15"/>
  <c r="B108" i="15"/>
  <c r="BM107" i="18" l="1"/>
  <c r="BM104" i="18"/>
  <c r="B103" i="18"/>
  <c r="B100" i="18"/>
  <c r="BM96" i="15"/>
  <c r="BM99" i="15"/>
  <c r="B104" i="15"/>
  <c r="B107" i="15"/>
  <c r="BM100" i="18" l="1"/>
  <c r="BM103" i="18"/>
  <c r="B99" i="18"/>
  <c r="B96" i="18"/>
  <c r="BM95" i="15"/>
  <c r="BM92" i="15"/>
  <c r="B103" i="15"/>
  <c r="B100" i="15"/>
  <c r="BM99" i="18" l="1"/>
  <c r="BM96" i="18"/>
  <c r="B92" i="18"/>
  <c r="B95" i="18"/>
  <c r="BM91" i="15"/>
  <c r="BM88" i="15"/>
  <c r="B99" i="15"/>
  <c r="B96" i="15"/>
  <c r="BM95" i="18" l="1"/>
  <c r="BM92" i="18"/>
  <c r="B91" i="18"/>
  <c r="B88" i="18"/>
  <c r="BM87" i="15"/>
  <c r="BM84" i="15"/>
  <c r="B92" i="15"/>
  <c r="B95" i="15"/>
  <c r="BM91" i="18" l="1"/>
  <c r="BM88" i="18"/>
  <c r="B87" i="18"/>
  <c r="B84" i="18"/>
  <c r="BM80" i="15"/>
  <c r="BM83" i="15"/>
  <c r="B88" i="15"/>
  <c r="B91" i="15"/>
  <c r="BM84" i="18" l="1"/>
  <c r="BM87" i="18"/>
  <c r="B80" i="18"/>
  <c r="B83" i="18"/>
  <c r="BM79" i="15"/>
  <c r="BM76" i="15"/>
  <c r="B87" i="15"/>
  <c r="B84" i="15"/>
  <c r="BM80" i="18" l="1"/>
  <c r="BM83" i="18"/>
  <c r="B76" i="18"/>
  <c r="B79" i="18"/>
  <c r="BM75" i="15"/>
  <c r="BM72" i="15"/>
  <c r="B83" i="15"/>
  <c r="B80" i="15"/>
  <c r="BM76" i="18" l="1"/>
  <c r="BM79" i="18"/>
  <c r="B75" i="18"/>
  <c r="B72" i="18"/>
  <c r="BM68" i="15"/>
  <c r="BM71" i="15"/>
  <c r="B79" i="15"/>
  <c r="B76" i="15"/>
  <c r="BM72" i="18" l="1"/>
  <c r="BM75" i="18"/>
  <c r="B71" i="18"/>
  <c r="B68" i="18"/>
  <c r="BM64" i="15"/>
  <c r="BM67" i="15"/>
  <c r="B75" i="15"/>
  <c r="B72" i="15"/>
  <c r="BM71" i="18" l="1"/>
  <c r="BM68" i="18"/>
  <c r="B67" i="18"/>
  <c r="B64" i="18"/>
  <c r="BM63" i="15"/>
  <c r="BM60" i="15"/>
  <c r="B71" i="15"/>
  <c r="B68" i="15"/>
  <c r="BM64" i="18" l="1"/>
  <c r="BM67" i="18"/>
  <c r="B63" i="18"/>
  <c r="B60" i="18"/>
  <c r="BM59" i="15"/>
  <c r="BM56" i="15"/>
  <c r="B67" i="15"/>
  <c r="B64" i="15"/>
  <c r="BM63" i="18" l="1"/>
  <c r="BM60" i="18"/>
  <c r="B59" i="18"/>
  <c r="B56" i="18"/>
  <c r="BM55" i="15"/>
  <c r="BM52" i="15"/>
  <c r="B60" i="15"/>
  <c r="B63" i="15"/>
  <c r="BM56" i="18" l="1"/>
  <c r="BM59" i="18"/>
  <c r="B52" i="18"/>
  <c r="B55" i="18"/>
  <c r="BM48" i="15"/>
  <c r="BM51" i="15"/>
  <c r="B59" i="15"/>
  <c r="B56" i="15"/>
  <c r="BM52" i="18" l="1"/>
  <c r="BM55" i="18"/>
  <c r="B48" i="18"/>
  <c r="B51" i="18"/>
  <c r="BM47" i="15"/>
  <c r="BM44" i="15"/>
  <c r="B55" i="15"/>
  <c r="B52" i="15"/>
  <c r="BM48" i="18" l="1"/>
  <c r="BM51" i="18"/>
  <c r="B47" i="18"/>
  <c r="B44" i="18"/>
  <c r="BM43" i="15"/>
  <c r="BM40" i="15"/>
  <c r="B48" i="15"/>
  <c r="B51" i="15"/>
  <c r="BM44" i="18" l="1"/>
  <c r="BM47" i="18"/>
  <c r="B43" i="18"/>
  <c r="B40" i="18"/>
  <c r="BM39" i="15"/>
  <c r="BM36" i="15"/>
  <c r="B47" i="15"/>
  <c r="B44" i="15"/>
  <c r="BM43" i="18" l="1"/>
  <c r="BM40" i="18"/>
  <c r="B36" i="18"/>
  <c r="B39" i="18"/>
  <c r="BM32" i="15"/>
  <c r="BM35" i="15"/>
  <c r="B43" i="15"/>
  <c r="B40" i="15"/>
  <c r="BM36" i="18" l="1"/>
  <c r="BM39" i="18"/>
  <c r="B32" i="18"/>
  <c r="B35" i="18"/>
  <c r="BM31" i="15"/>
  <c r="BM28" i="15"/>
  <c r="B39" i="15"/>
  <c r="B36" i="15"/>
  <c r="BM35" i="18" l="1"/>
  <c r="BM32" i="18"/>
  <c r="B28" i="18"/>
  <c r="B31" i="18"/>
  <c r="BM27" i="15"/>
  <c r="BM24" i="15"/>
  <c r="B35" i="15"/>
  <c r="B32" i="15"/>
  <c r="BM28" i="18" l="1"/>
  <c r="BM31" i="18"/>
  <c r="B24" i="18"/>
  <c r="B27" i="18"/>
  <c r="BM20" i="15"/>
  <c r="BM23" i="15"/>
  <c r="B28" i="15"/>
  <c r="B31" i="15"/>
  <c r="BM24" i="18" l="1"/>
  <c r="BM27" i="18"/>
  <c r="B20" i="18"/>
  <c r="B23" i="18"/>
  <c r="BM16" i="15"/>
  <c r="BM19" i="15"/>
  <c r="B27" i="15"/>
  <c r="B24" i="15"/>
  <c r="BM23" i="18" l="1"/>
  <c r="BM20" i="18"/>
  <c r="B19" i="18"/>
  <c r="B16" i="18"/>
  <c r="BM15" i="15"/>
  <c r="BM12" i="15"/>
  <c r="B23" i="15"/>
  <c r="B20" i="15"/>
  <c r="BM16" i="18" l="1"/>
  <c r="BM19" i="18"/>
  <c r="B15" i="18"/>
  <c r="B12" i="18"/>
  <c r="BM11" i="15"/>
  <c r="BM8" i="15"/>
  <c r="BM7" i="15" s="1"/>
  <c r="B19" i="15"/>
  <c r="B16" i="15"/>
  <c r="BM15" i="18" l="1"/>
  <c r="BM12" i="18"/>
  <c r="B11" i="18"/>
  <c r="B8" i="18"/>
  <c r="B7" i="18" s="1"/>
  <c r="B15" i="15"/>
  <c r="B12" i="15"/>
  <c r="BM11" i="18" l="1"/>
  <c r="BM8" i="18"/>
  <c r="BM7" i="18" s="1"/>
  <c r="B11" i="15"/>
  <c r="B8" i="15"/>
  <c r="B7" i="15" s="1"/>
  <c r="BA28" i="15" l="1"/>
  <c r="AQ28" i="15"/>
  <c r="AS28" i="15"/>
  <c r="AV92" i="15"/>
  <c r="AW28" i="15"/>
  <c r="BA24" i="15"/>
  <c r="AX84" i="15"/>
  <c r="AQ92" i="15"/>
  <c r="AS76" i="15"/>
  <c r="BA32" i="15"/>
  <c r="AX88" i="15"/>
  <c r="AV84" i="15"/>
  <c r="AY88" i="15"/>
  <c r="AO20" i="15"/>
  <c r="AW24" i="15"/>
  <c r="AQ24" i="15"/>
  <c r="AO88" i="15"/>
  <c r="BB84" i="15"/>
  <c r="AV76" i="15"/>
  <c r="AW20" i="15"/>
  <c r="AX76" i="15"/>
  <c r="AO24" i="15"/>
  <c r="AQ88" i="15"/>
  <c r="AS24" i="15"/>
  <c r="AV88" i="15"/>
  <c r="AO80" i="15"/>
  <c r="BB80" i="15"/>
  <c r="AS80" i="15"/>
  <c r="BA20" i="15"/>
  <c r="AY84" i="15"/>
  <c r="AV80" i="15"/>
  <c r="AQ80" i="15"/>
  <c r="AP152" i="15" l="1"/>
  <c r="AY132" i="15"/>
  <c r="AV96" i="15"/>
  <c r="AW96" i="15" s="1"/>
  <c r="AY80" i="15"/>
  <c r="BB76" i="15"/>
  <c r="AS92" i="15"/>
  <c r="AS94" i="15" s="1"/>
  <c r="BB92" i="15"/>
  <c r="AQ36" i="15"/>
  <c r="AR36" i="15" s="1"/>
  <c r="AY108" i="15"/>
  <c r="AZ108" i="15" s="1"/>
  <c r="BA108" i="15" s="1"/>
  <c r="AY136" i="15"/>
  <c r="AZ136" i="15" s="1"/>
  <c r="BA136" i="15" s="1"/>
  <c r="AW44" i="15"/>
  <c r="AW45" i="15" s="1"/>
  <c r="AU140" i="15"/>
  <c r="AU142" i="15" s="1"/>
  <c r="AX148" i="15"/>
  <c r="AX149" i="15" s="1"/>
  <c r="AY128" i="15"/>
  <c r="AY129" i="15" s="1"/>
  <c r="BA48" i="15"/>
  <c r="BA49" i="15" s="1"/>
  <c r="AY156" i="15"/>
  <c r="AZ156" i="15" s="1"/>
  <c r="BA156" i="15" s="1"/>
  <c r="AX156" i="15"/>
  <c r="AX158" i="15" s="1"/>
  <c r="AS120" i="15"/>
  <c r="AT120" i="15" s="1"/>
  <c r="AU120" i="15" s="1"/>
  <c r="AO172" i="15"/>
  <c r="BA172" i="15"/>
  <c r="R36" i="15"/>
  <c r="N164" i="15"/>
  <c r="X164" i="15"/>
  <c r="Q152" i="15"/>
  <c r="N156" i="15"/>
  <c r="L116" i="15"/>
  <c r="Y64" i="15"/>
  <c r="L120" i="15"/>
  <c r="O184" i="15"/>
  <c r="P184" i="15"/>
  <c r="N116" i="15"/>
  <c r="R52" i="15"/>
  <c r="AR168" i="15"/>
  <c r="P108" i="15"/>
  <c r="H64" i="15"/>
  <c r="BC192" i="15"/>
  <c r="BA188" i="15"/>
  <c r="T128" i="15"/>
  <c r="AP188" i="15"/>
  <c r="Q148" i="15"/>
  <c r="AT196" i="15"/>
  <c r="Y60" i="15"/>
  <c r="AX180" i="15"/>
  <c r="V120" i="15"/>
  <c r="L160" i="15"/>
  <c r="V148" i="15"/>
  <c r="Z180" i="15"/>
  <c r="Z188" i="15"/>
  <c r="V188" i="15"/>
  <c r="O188" i="15"/>
  <c r="Q96" i="15"/>
  <c r="X184" i="15"/>
  <c r="AX184" i="15"/>
  <c r="M180" i="15"/>
  <c r="Y68" i="15"/>
  <c r="P200" i="15"/>
  <c r="AV196" i="15"/>
  <c r="M200" i="15"/>
  <c r="V64" i="15"/>
  <c r="U168" i="15"/>
  <c r="AO180" i="15"/>
  <c r="L188" i="15"/>
  <c r="BA200" i="15"/>
  <c r="P112" i="15"/>
  <c r="AS180" i="15"/>
  <c r="P180" i="15"/>
  <c r="AS184" i="15"/>
  <c r="M184" i="15"/>
  <c r="Q188" i="15"/>
  <c r="R56" i="15"/>
  <c r="AY180" i="15"/>
  <c r="S108" i="15"/>
  <c r="O192" i="15"/>
  <c r="AR196" i="15"/>
  <c r="L176" i="15"/>
  <c r="Q156" i="15"/>
  <c r="V180" i="15"/>
  <c r="AX176" i="15"/>
  <c r="Q200" i="15"/>
  <c r="L200" i="15"/>
  <c r="X160" i="15"/>
  <c r="AX188" i="15"/>
  <c r="AY192" i="15"/>
  <c r="R60" i="15"/>
  <c r="T144" i="15"/>
  <c r="S180" i="15"/>
  <c r="M188" i="15"/>
  <c r="Q108" i="15"/>
  <c r="BC176" i="15"/>
  <c r="V108" i="15"/>
  <c r="Y72" i="15"/>
  <c r="BA184" i="15"/>
  <c r="T156" i="15"/>
  <c r="AR172" i="15"/>
  <c r="AS172" i="15"/>
  <c r="Y112" i="15"/>
  <c r="AS196" i="15"/>
  <c r="AT172" i="15"/>
  <c r="Y120" i="15"/>
  <c r="V116" i="15"/>
  <c r="P116" i="15"/>
  <c r="T148" i="15"/>
  <c r="P176" i="15"/>
  <c r="T132" i="15"/>
  <c r="BA192" i="15"/>
  <c r="AX192" i="15"/>
  <c r="N112" i="15"/>
  <c r="BC188" i="15"/>
  <c r="L112" i="15"/>
  <c r="S116" i="15"/>
  <c r="O180" i="15"/>
  <c r="T124" i="15"/>
  <c r="S188" i="15"/>
  <c r="X156" i="15"/>
  <c r="P204" i="15"/>
  <c r="N148" i="15"/>
  <c r="X188" i="15"/>
  <c r="N160" i="15"/>
  <c r="AR200" i="15"/>
  <c r="T164" i="15"/>
  <c r="T136" i="15"/>
  <c r="V60" i="15"/>
  <c r="X192" i="15"/>
  <c r="P196" i="15"/>
  <c r="L192" i="15"/>
  <c r="V56" i="15"/>
  <c r="N120" i="15"/>
  <c r="AR188" i="15"/>
  <c r="AY184" i="15"/>
  <c r="AY172" i="15"/>
  <c r="AT184" i="15"/>
  <c r="AS176" i="15"/>
  <c r="M192" i="15"/>
  <c r="AR180" i="15"/>
  <c r="M196" i="15"/>
  <c r="H72" i="15"/>
  <c r="AT188" i="15"/>
  <c r="AV188" i="15"/>
  <c r="T152" i="15"/>
  <c r="AS168" i="15"/>
  <c r="P188" i="15"/>
  <c r="P152" i="15"/>
  <c r="AV200" i="15"/>
  <c r="N104" i="15"/>
  <c r="BC184" i="15"/>
  <c r="Z176" i="15"/>
  <c r="O200" i="15"/>
  <c r="AP200" i="15"/>
  <c r="Q104" i="15"/>
  <c r="P160" i="15"/>
  <c r="R48" i="15"/>
  <c r="P120" i="15"/>
  <c r="L180" i="15"/>
  <c r="AV180" i="15"/>
  <c r="R44" i="15"/>
  <c r="AX168" i="15"/>
  <c r="AO176" i="15"/>
  <c r="Q192" i="15"/>
  <c r="AX172" i="15"/>
  <c r="Y12" i="15"/>
  <c r="P192" i="15"/>
  <c r="P104" i="15"/>
  <c r="Q92" i="15"/>
  <c r="V156" i="15"/>
  <c r="Y56" i="15"/>
  <c r="P16" i="15"/>
  <c r="L196" i="15"/>
  <c r="H8" i="15"/>
  <c r="V192" i="15"/>
  <c r="Z184" i="15"/>
  <c r="AR184" i="15"/>
  <c r="Y116" i="15"/>
  <c r="L184" i="15"/>
  <c r="AU168" i="15"/>
  <c r="AP172" i="15"/>
  <c r="U192" i="15"/>
  <c r="BA176" i="15"/>
  <c r="AP184" i="15"/>
  <c r="AP180" i="15"/>
  <c r="AY168" i="15"/>
  <c r="P164" i="15"/>
  <c r="AO196" i="15"/>
  <c r="O72" i="15"/>
  <c r="H68" i="15"/>
  <c r="AV172" i="15"/>
  <c r="Q164" i="15"/>
  <c r="H12" i="15"/>
  <c r="AO184" i="15"/>
  <c r="X196" i="15"/>
  <c r="S168" i="15"/>
  <c r="AP176" i="15"/>
  <c r="V164" i="15"/>
  <c r="Z192" i="15"/>
  <c r="AP168" i="15"/>
  <c r="S204" i="15"/>
  <c r="AO192" i="15"/>
  <c r="BC200" i="15"/>
  <c r="AO168" i="15"/>
  <c r="T140" i="15"/>
  <c r="Y108" i="15"/>
  <c r="BA196" i="15"/>
  <c r="AS192" i="15"/>
  <c r="Y16" i="15"/>
  <c r="P148" i="15"/>
  <c r="R68" i="15"/>
  <c r="Q144" i="15"/>
  <c r="Q160" i="15"/>
  <c r="AV192" i="15"/>
  <c r="Q184" i="15"/>
  <c r="AV184" i="15"/>
  <c r="S200" i="15"/>
  <c r="Z152" i="15"/>
  <c r="Q100" i="15"/>
  <c r="O68" i="15"/>
  <c r="S196" i="15"/>
  <c r="AR192" i="15"/>
  <c r="U188" i="15"/>
  <c r="O196" i="15"/>
  <c r="Q196" i="15"/>
  <c r="Q116" i="15"/>
  <c r="V112" i="15"/>
  <c r="O204" i="15"/>
  <c r="L168" i="15"/>
  <c r="AY188" i="15"/>
  <c r="Q112" i="15"/>
  <c r="AS200" i="15"/>
  <c r="Q120" i="15"/>
  <c r="BC180" i="15"/>
  <c r="AT180" i="15"/>
  <c r="S184" i="15"/>
  <c r="P156" i="15"/>
  <c r="AX196" i="15"/>
  <c r="AO200" i="15"/>
  <c r="R40" i="15"/>
  <c r="P12" i="15"/>
  <c r="S112" i="15"/>
  <c r="BB168" i="15"/>
  <c r="V184" i="15"/>
  <c r="U176" i="15"/>
  <c r="R64" i="15"/>
  <c r="S176" i="15"/>
  <c r="Z156" i="15"/>
  <c r="AP196" i="15"/>
  <c r="T160" i="15"/>
  <c r="AO188" i="15"/>
  <c r="H16" i="15"/>
  <c r="U184" i="15"/>
  <c r="Z196" i="15"/>
  <c r="U200" i="15"/>
  <c r="P168" i="15"/>
  <c r="AV176" i="15"/>
  <c r="N108" i="15"/>
  <c r="V196" i="15"/>
  <c r="BA180" i="15"/>
  <c r="AS188" i="15"/>
  <c r="X176" i="15"/>
  <c r="AP192" i="15"/>
  <c r="AY196" i="15"/>
  <c r="V104" i="15"/>
  <c r="V52" i="15"/>
  <c r="BC172" i="15"/>
  <c r="BC196" i="15"/>
  <c r="AY164" i="15"/>
  <c r="O168" i="15"/>
  <c r="V172" i="15"/>
  <c r="N144" i="15"/>
  <c r="AT176" i="15"/>
  <c r="S104" i="15"/>
  <c r="Q136" i="15"/>
  <c r="S120" i="15"/>
  <c r="M168" i="15"/>
  <c r="L172" i="15"/>
  <c r="O60" i="15"/>
  <c r="Y52" i="15"/>
  <c r="O176" i="15"/>
  <c r="V140" i="15"/>
  <c r="V160" i="15"/>
  <c r="Z148" i="15"/>
  <c r="X148" i="15"/>
  <c r="N152" i="15"/>
  <c r="V152" i="15"/>
  <c r="N100" i="15"/>
  <c r="N96" i="15"/>
  <c r="Y104" i="15"/>
  <c r="O172" i="15"/>
  <c r="AT192" i="15"/>
  <c r="X152" i="15"/>
  <c r="AY176" i="15"/>
  <c r="Q88" i="15"/>
  <c r="V176" i="15"/>
  <c r="O56" i="15"/>
  <c r="Q140" i="15"/>
  <c r="AR176" i="15"/>
  <c r="Q180" i="15"/>
  <c r="O52" i="15"/>
  <c r="Q176" i="15"/>
  <c r="P100" i="15"/>
  <c r="P172" i="15"/>
  <c r="S172" i="15"/>
  <c r="N140" i="15"/>
  <c r="Z172" i="15"/>
  <c r="P144" i="15"/>
  <c r="R72" i="15"/>
  <c r="Q84" i="15"/>
  <c r="M172" i="15"/>
  <c r="M176" i="15"/>
  <c r="U180" i="15"/>
  <c r="O64" i="15"/>
  <c r="S192" i="15"/>
  <c r="P96" i="15"/>
  <c r="X180" i="15"/>
  <c r="V144" i="15"/>
  <c r="U196" i="15"/>
  <c r="U172" i="15"/>
  <c r="AY200" i="15"/>
  <c r="R32" i="15"/>
  <c r="L108" i="15"/>
  <c r="V168" i="15"/>
  <c r="AX164" i="15"/>
  <c r="BB164" i="15"/>
  <c r="H60" i="15"/>
  <c r="P136" i="15"/>
  <c r="O48" i="15"/>
  <c r="Q132" i="15"/>
  <c r="Y96" i="15"/>
  <c r="V96" i="15"/>
  <c r="V48" i="15"/>
  <c r="Z144" i="15"/>
  <c r="X144" i="15"/>
  <c r="V100" i="15"/>
  <c r="Q168" i="15"/>
  <c r="N136" i="15"/>
  <c r="R28" i="15"/>
  <c r="Y48" i="15"/>
  <c r="P92" i="15"/>
  <c r="X168" i="15"/>
  <c r="Q172" i="15"/>
  <c r="P140" i="15"/>
  <c r="Z164" i="15"/>
  <c r="V44" i="15"/>
  <c r="Z168" i="15"/>
  <c r="Y44" i="15"/>
  <c r="Q76" i="15"/>
  <c r="H56" i="15"/>
  <c r="Y100" i="15"/>
  <c r="L104" i="15"/>
  <c r="H52" i="15"/>
  <c r="S96" i="15"/>
  <c r="S100" i="15"/>
  <c r="Q80" i="15"/>
  <c r="X172" i="15"/>
  <c r="O44" i="15"/>
  <c r="L100" i="15"/>
  <c r="V92" i="15"/>
  <c r="Y40" i="15"/>
  <c r="Y92" i="15"/>
  <c r="AO164" i="15"/>
  <c r="N88" i="15"/>
  <c r="S92" i="15"/>
  <c r="AP164" i="15"/>
  <c r="Q128" i="15"/>
  <c r="Q124" i="15"/>
  <c r="H48" i="15"/>
  <c r="V136" i="15"/>
  <c r="V40" i="15"/>
  <c r="X140" i="15"/>
  <c r="P88" i="15"/>
  <c r="V132" i="15"/>
  <c r="N92" i="15"/>
  <c r="R20" i="15"/>
  <c r="V128" i="15"/>
  <c r="Z140" i="15"/>
  <c r="Z160" i="15"/>
  <c r="Z136" i="15"/>
  <c r="N132" i="15"/>
  <c r="R24" i="15"/>
  <c r="L96" i="15"/>
  <c r="P132" i="15"/>
  <c r="V36" i="15"/>
  <c r="P84" i="15"/>
  <c r="H44" i="15"/>
  <c r="Y36" i="15"/>
  <c r="P128" i="15"/>
  <c r="X136" i="15"/>
  <c r="N124" i="15"/>
  <c r="V124" i="15"/>
  <c r="V88" i="15"/>
  <c r="L92" i="15"/>
  <c r="N84" i="15"/>
  <c r="N128" i="15"/>
  <c r="L164" i="15"/>
  <c r="P124" i="15"/>
  <c r="Z132" i="15"/>
  <c r="L84" i="15"/>
  <c r="S88" i="15"/>
  <c r="Z128" i="15"/>
  <c r="Y88" i="15"/>
  <c r="P76" i="15"/>
  <c r="V84" i="15"/>
  <c r="O40" i="15"/>
  <c r="N76" i="15"/>
  <c r="Z124" i="15"/>
  <c r="H40" i="15"/>
  <c r="N80" i="15"/>
  <c r="Y28" i="15"/>
  <c r="L88" i="15"/>
  <c r="V28" i="15"/>
  <c r="X132" i="15"/>
  <c r="X124" i="15"/>
  <c r="S84" i="15"/>
  <c r="O36" i="15"/>
  <c r="Y76" i="15"/>
  <c r="Y84" i="15"/>
  <c r="S76" i="15"/>
  <c r="H28" i="15"/>
  <c r="V80" i="15"/>
  <c r="S80" i="15"/>
  <c r="V24" i="15"/>
  <c r="L76" i="15"/>
  <c r="V32" i="15"/>
  <c r="L152" i="15"/>
  <c r="Y80" i="15"/>
  <c r="P80" i="15"/>
  <c r="V72" i="15"/>
  <c r="Y32" i="15"/>
  <c r="L156" i="15"/>
  <c r="X128" i="15"/>
  <c r="O28" i="15"/>
  <c r="O32" i="15"/>
  <c r="V20" i="15"/>
  <c r="Y20" i="15"/>
  <c r="Y24" i="15"/>
  <c r="V76" i="15"/>
  <c r="H32" i="15"/>
  <c r="O20" i="15"/>
  <c r="L148" i="15"/>
  <c r="L80" i="15"/>
  <c r="H36" i="15"/>
  <c r="O24" i="15"/>
  <c r="H20" i="15"/>
  <c r="L144" i="15"/>
  <c r="V68" i="15"/>
  <c r="L140" i="15"/>
  <c r="H24" i="15"/>
  <c r="L136" i="15"/>
  <c r="L132" i="15"/>
  <c r="L128" i="15"/>
  <c r="L124" i="15"/>
  <c r="AS84" i="15"/>
  <c r="AS85" i="15" s="1"/>
  <c r="AQ20" i="15"/>
  <c r="AR20" i="15" s="1"/>
  <c r="AX80" i="15"/>
  <c r="AX81" i="15" s="1"/>
  <c r="BB96" i="15"/>
  <c r="BB98" i="15" s="1"/>
  <c r="AS88" i="15"/>
  <c r="AS90" i="15" s="1"/>
  <c r="AW36" i="15"/>
  <c r="AW38" i="15" s="1"/>
  <c r="AQ40" i="15"/>
  <c r="AQ42" i="15" s="1"/>
  <c r="AO132" i="15"/>
  <c r="AO134" i="15" s="1"/>
  <c r="AR144" i="15"/>
  <c r="AR146" i="15" s="1"/>
  <c r="AY104" i="15"/>
  <c r="AY106" i="15" s="1"/>
  <c r="AX108" i="15"/>
  <c r="AX110" i="15" s="1"/>
  <c r="AW52" i="15"/>
  <c r="AW54" i="15" s="1"/>
  <c r="AQ48" i="15"/>
  <c r="AQ50" i="15" s="1"/>
  <c r="AY116" i="15"/>
  <c r="AY118" i="15" s="1"/>
  <c r="AS60" i="15"/>
  <c r="AS62" i="15" s="1"/>
  <c r="AX160" i="15"/>
  <c r="AX162" i="15" s="1"/>
  <c r="AO160" i="15"/>
  <c r="AO162" i="15" s="1"/>
  <c r="AS20" i="15"/>
  <c r="AS22" i="15" s="1"/>
  <c r="AY76" i="15"/>
  <c r="AY77" i="15" s="1"/>
  <c r="AO84" i="15"/>
  <c r="AO86" i="15" s="1"/>
  <c r="AS32" i="15"/>
  <c r="AT32" i="15" s="1"/>
  <c r="AU32" i="15" s="1"/>
  <c r="AV32" i="15" s="1"/>
  <c r="AY96" i="15"/>
  <c r="AY98" i="15" s="1"/>
  <c r="AV108" i="15"/>
  <c r="AV110" i="15" s="1"/>
  <c r="AX100" i="15"/>
  <c r="AX102" i="15" s="1"/>
  <c r="AY148" i="15"/>
  <c r="AZ148" i="15" s="1"/>
  <c r="BA148" i="15" s="1"/>
  <c r="BB144" i="15"/>
  <c r="BB146" i="15" s="1"/>
  <c r="AS108" i="15"/>
  <c r="AT108" i="15" s="1"/>
  <c r="AU108" i="15" s="1"/>
  <c r="AQ56" i="15"/>
  <c r="AQ57" i="15" s="1"/>
  <c r="AO116" i="15"/>
  <c r="AO118" i="15" s="1"/>
  <c r="AO112" i="15"/>
  <c r="AO114" i="15" s="1"/>
  <c r="AW60" i="15"/>
  <c r="AX60" i="15" s="1"/>
  <c r="AY60" i="15" s="1"/>
  <c r="AZ60" i="15" s="1"/>
  <c r="BA60" i="15"/>
  <c r="BA62" i="15" s="1"/>
  <c r="AW64" i="15"/>
  <c r="AW65" i="15" s="1"/>
  <c r="AY160" i="15"/>
  <c r="AZ160" i="15" s="1"/>
  <c r="BA160" i="15" s="1"/>
  <c r="BB88" i="15"/>
  <c r="BB89" i="15" s="1"/>
  <c r="AS132" i="15"/>
  <c r="AS134" i="15" s="1"/>
  <c r="BA36" i="15"/>
  <c r="BB36" i="15" s="1"/>
  <c r="BC36" i="15" s="1"/>
  <c r="BD36" i="15" s="1"/>
  <c r="BE36" i="15" s="1"/>
  <c r="BF36" i="15" s="1"/>
  <c r="BG36" i="15" s="1"/>
  <c r="AV104" i="15"/>
  <c r="AV106" i="15" s="1"/>
  <c r="AS48" i="15"/>
  <c r="AS50" i="15" s="1"/>
  <c r="AP140" i="15"/>
  <c r="AP142" i="15" s="1"/>
  <c r="AQ44" i="15"/>
  <c r="AQ45" i="15" s="1"/>
  <c r="AQ112" i="15"/>
  <c r="AQ114" i="15" s="1"/>
  <c r="AU148" i="15"/>
  <c r="AU149" i="15" s="1"/>
  <c r="AY112" i="15"/>
  <c r="AZ112" i="15" s="1"/>
  <c r="BA112" i="15" s="1"/>
  <c r="AW56" i="15"/>
  <c r="AW58" i="15" s="1"/>
  <c r="AX120" i="15"/>
  <c r="AX121" i="15" s="1"/>
  <c r="AY120" i="15"/>
  <c r="AY121" i="15" s="1"/>
  <c r="BB160" i="15"/>
  <c r="BC160" i="15" s="1"/>
  <c r="AQ96" i="15"/>
  <c r="AR96" i="15" s="1"/>
  <c r="AO92" i="15"/>
  <c r="AO94" i="15" s="1"/>
  <c r="AU132" i="15"/>
  <c r="AU133" i="15" s="1"/>
  <c r="BB140" i="15"/>
  <c r="BB142" i="15" s="1"/>
  <c r="AW48" i="15"/>
  <c r="AW49" i="15" s="1"/>
  <c r="AP132" i="15"/>
  <c r="AQ132" i="15" s="1"/>
  <c r="BB108" i="15"/>
  <c r="BB110" i="15" s="1"/>
  <c r="BB148" i="15"/>
  <c r="BC148" i="15" s="1"/>
  <c r="AP144" i="15"/>
  <c r="AQ144" i="15" s="1"/>
  <c r="AQ116" i="15"/>
  <c r="AQ118" i="15" s="1"/>
  <c r="AQ52" i="15"/>
  <c r="AR52" i="15" s="1"/>
  <c r="AQ16" i="15"/>
  <c r="AR16" i="15" s="1"/>
  <c r="AS16" i="15" s="1"/>
  <c r="AP156" i="15"/>
  <c r="AP158" i="15" s="1"/>
  <c r="AP160" i="15"/>
  <c r="AQ32" i="15"/>
  <c r="AR32" i="15" s="1"/>
  <c r="AX92" i="15"/>
  <c r="AX94" i="15" s="1"/>
  <c r="BB132" i="15"/>
  <c r="BC132" i="15" s="1"/>
  <c r="BB100" i="15"/>
  <c r="BC100" i="15" s="1"/>
  <c r="AS100" i="15"/>
  <c r="AT100" i="15" s="1"/>
  <c r="AU100" i="15" s="1"/>
  <c r="AY152" i="15"/>
  <c r="AY153" i="15" s="1"/>
  <c r="BB112" i="15"/>
  <c r="BB114" i="15" s="1"/>
  <c r="AU144" i="15"/>
  <c r="AV144" i="15" s="1"/>
  <c r="AW144" i="15" s="1"/>
  <c r="AO144" i="15"/>
  <c r="AO146" i="15" s="1"/>
  <c r="AQ108" i="15"/>
  <c r="AR108" i="15" s="1"/>
  <c r="BA52" i="15"/>
  <c r="BA54" i="15" s="1"/>
  <c r="AO12" i="15"/>
  <c r="AO14" i="15" s="1"/>
  <c r="AQ120" i="15"/>
  <c r="AQ122" i="15" s="1"/>
  <c r="AY124" i="15"/>
  <c r="AY126" i="15" s="1"/>
  <c r="AW32" i="15"/>
  <c r="AW33" i="15" s="1"/>
  <c r="AO100" i="15"/>
  <c r="AO101" i="15" s="1"/>
  <c r="AO32" i="15"/>
  <c r="AO34" i="15" s="1"/>
  <c r="AO40" i="15"/>
  <c r="AO42" i="15" s="1"/>
  <c r="AS96" i="15"/>
  <c r="AT96" i="15" s="1"/>
  <c r="AU96" i="15" s="1"/>
  <c r="BB104" i="15"/>
  <c r="BB105" i="15" s="1"/>
  <c r="AQ104" i="15"/>
  <c r="AQ105" i="15" s="1"/>
  <c r="AO140" i="15"/>
  <c r="AO142" i="15" s="1"/>
  <c r="AV112" i="15"/>
  <c r="AV113" i="15" s="1"/>
  <c r="AO60" i="15"/>
  <c r="AP60" i="15" s="1"/>
  <c r="BB152" i="15"/>
  <c r="BB154" i="15" s="1"/>
  <c r="AQ60" i="15"/>
  <c r="AQ61" i="15" s="1"/>
  <c r="AS156" i="15"/>
  <c r="AS158" i="15" s="1"/>
  <c r="AR160" i="15"/>
  <c r="AR162" i="15" s="1"/>
  <c r="AV100" i="15"/>
  <c r="AV102" i="15" s="1"/>
  <c r="AR140" i="15"/>
  <c r="AR142" i="15" s="1"/>
  <c r="AY92" i="15"/>
  <c r="AZ92" i="15" s="1"/>
  <c r="BA92" i="15" s="1"/>
  <c r="AR132" i="15"/>
  <c r="AR134" i="15" s="1"/>
  <c r="AP136" i="15"/>
  <c r="AQ136" i="15" s="1"/>
  <c r="AO48" i="15"/>
  <c r="AO49" i="15" s="1"/>
  <c r="AV116" i="15"/>
  <c r="AV117" i="15" s="1"/>
  <c r="AS52" i="15"/>
  <c r="AS54" i="15" s="1"/>
  <c r="AS148" i="15"/>
  <c r="AS149" i="15" s="1"/>
  <c r="AX112" i="15"/>
  <c r="AX114" i="15" s="1"/>
  <c r="AU152" i="15"/>
  <c r="AU153" i="15" s="1"/>
  <c r="AO156" i="15"/>
  <c r="AO157" i="15" s="1"/>
  <c r="BB156" i="15"/>
  <c r="BB158" i="15" s="1"/>
  <c r="AU160" i="15"/>
  <c r="AV160" i="15" s="1"/>
  <c r="AW160" i="15" s="1"/>
  <c r="AO136" i="15"/>
  <c r="AO138" i="15" s="1"/>
  <c r="BB136" i="15"/>
  <c r="BB137" i="15" s="1"/>
  <c r="AS140" i="15"/>
  <c r="AS142" i="15" s="1"/>
  <c r="AX136" i="15"/>
  <c r="AX137" i="15" s="1"/>
  <c r="AS144" i="15"/>
  <c r="AS146" i="15" s="1"/>
  <c r="BA44" i="15"/>
  <c r="BA46" i="15" s="1"/>
  <c r="AO108" i="15"/>
  <c r="AO109" i="15" s="1"/>
  <c r="AS56" i="15"/>
  <c r="AT56" i="15" s="1"/>
  <c r="AU56" i="15" s="1"/>
  <c r="AV56" i="15" s="1"/>
  <c r="AS152" i="15"/>
  <c r="AT152" i="15" s="1"/>
  <c r="AP148" i="15"/>
  <c r="AP149" i="15" s="1"/>
  <c r="AU156" i="15"/>
  <c r="AU158" i="15" s="1"/>
  <c r="BA64" i="15"/>
  <c r="BB64" i="15" s="1"/>
  <c r="BC64" i="15" s="1"/>
  <c r="BD64" i="15" s="1"/>
  <c r="BE64" i="15" s="1"/>
  <c r="BF64" i="15" s="1"/>
  <c r="BG64" i="15" s="1"/>
  <c r="AQ12" i="15"/>
  <c r="AQ14" i="15" s="1"/>
  <c r="AS160" i="15"/>
  <c r="AS162" i="15" s="1"/>
  <c r="AO28" i="15"/>
  <c r="AO29" i="15" s="1"/>
  <c r="AY100" i="15"/>
  <c r="AY102" i="15" s="1"/>
  <c r="AS136" i="15"/>
  <c r="AS138" i="15" s="1"/>
  <c r="AO36" i="15"/>
  <c r="AO38" i="15" s="1"/>
  <c r="BA40" i="15"/>
  <c r="BA42" i="15" s="1"/>
  <c r="AY140" i="15"/>
  <c r="AY142" i="15" s="1"/>
  <c r="AX104" i="15"/>
  <c r="AX106" i="15" s="1"/>
  <c r="AS44" i="15"/>
  <c r="AT44" i="15" s="1"/>
  <c r="AU44" i="15" s="1"/>
  <c r="AV44" i="15" s="1"/>
  <c r="AX152" i="15"/>
  <c r="AX153" i="15" s="1"/>
  <c r="AO52" i="15"/>
  <c r="AO53" i="15" s="1"/>
  <c r="AO56" i="15"/>
  <c r="AO58" i="15" s="1"/>
  <c r="BB116" i="15"/>
  <c r="BC116" i="15" s="1"/>
  <c r="BB120" i="15"/>
  <c r="BB122" i="15" s="1"/>
  <c r="AO64" i="15"/>
  <c r="AO65" i="15" s="1"/>
  <c r="AS36" i="15"/>
  <c r="AT36" i="15" s="1"/>
  <c r="AU36" i="15" s="1"/>
  <c r="AV36" i="15" s="1"/>
  <c r="AR136" i="15"/>
  <c r="AR138" i="15" s="1"/>
  <c r="AW40" i="15"/>
  <c r="AW42" i="15" s="1"/>
  <c r="AO104" i="15"/>
  <c r="AP104" i="15" s="1"/>
  <c r="AX96" i="15"/>
  <c r="AX97" i="15" s="1"/>
  <c r="AX140" i="15"/>
  <c r="AX142" i="15" s="1"/>
  <c r="AR152" i="15"/>
  <c r="AR153" i="15" s="1"/>
  <c r="AS112" i="15"/>
  <c r="AT112" i="15" s="1"/>
  <c r="AU112" i="15" s="1"/>
  <c r="AY144" i="15"/>
  <c r="AY145" i="15" s="1"/>
  <c r="BA56" i="15"/>
  <c r="BB56" i="15" s="1"/>
  <c r="BC56" i="15" s="1"/>
  <c r="BD56" i="15" s="1"/>
  <c r="BE56" i="15" s="1"/>
  <c r="BF56" i="15" s="1"/>
  <c r="BG56" i="15" s="1"/>
  <c r="AR156" i="15"/>
  <c r="AR157" i="15" s="1"/>
  <c r="AO120" i="15"/>
  <c r="AO121" i="15" s="1"/>
  <c r="AS64" i="15"/>
  <c r="AS65" i="15" s="1"/>
  <c r="AQ64" i="15"/>
  <c r="AQ65" i="15" s="1"/>
  <c r="AQ76" i="15"/>
  <c r="AR76" i="15" s="1"/>
  <c r="AO76" i="15"/>
  <c r="AP76" i="15" s="1"/>
  <c r="AQ84" i="15"/>
  <c r="AR84" i="15" s="1"/>
  <c r="AO96" i="15"/>
  <c r="AO98" i="15" s="1"/>
  <c r="AX132" i="15"/>
  <c r="AX134" i="15" s="1"/>
  <c r="AS40" i="15"/>
  <c r="AT40" i="15" s="1"/>
  <c r="AU40" i="15" s="1"/>
  <c r="AV40" i="15" s="1"/>
  <c r="AO44" i="15"/>
  <c r="AO46" i="15" s="1"/>
  <c r="AQ100" i="15"/>
  <c r="AQ101" i="15" s="1"/>
  <c r="AU136" i="15"/>
  <c r="AV136" i="15" s="1"/>
  <c r="AW136" i="15" s="1"/>
  <c r="AS104" i="15"/>
  <c r="AS105" i="15" s="1"/>
  <c r="AX144" i="15"/>
  <c r="AX146" i="15" s="1"/>
  <c r="AX116" i="15"/>
  <c r="AX117" i="15" s="1"/>
  <c r="AR148" i="15"/>
  <c r="AR149" i="15" s="1"/>
  <c r="AO152" i="15"/>
  <c r="AO153" i="15" s="1"/>
  <c r="AO148" i="15"/>
  <c r="AO150" i="15" s="1"/>
  <c r="AS116" i="15"/>
  <c r="AT116" i="15" s="1"/>
  <c r="AU116" i="15" s="1"/>
  <c r="AO16" i="15"/>
  <c r="AO18" i="15" s="1"/>
  <c r="AV120" i="15"/>
  <c r="AV121" i="15" s="1"/>
  <c r="AR88" i="15"/>
  <c r="AQ89" i="15"/>
  <c r="AQ90" i="15"/>
  <c r="AX24" i="15"/>
  <c r="AY24" i="15" s="1"/>
  <c r="AZ24" i="15" s="1"/>
  <c r="AW25" i="15"/>
  <c r="AW26" i="15"/>
  <c r="AX85" i="15"/>
  <c r="AX86" i="15"/>
  <c r="AQ81" i="15"/>
  <c r="AR80" i="15"/>
  <c r="AQ82" i="15"/>
  <c r="AP24" i="15"/>
  <c r="AO26" i="15"/>
  <c r="AO25" i="15"/>
  <c r="AO22" i="15"/>
  <c r="AO21" i="15"/>
  <c r="AP20" i="15"/>
  <c r="BB24" i="15"/>
  <c r="BC24" i="15" s="1"/>
  <c r="BD24" i="15" s="1"/>
  <c r="BE24" i="15" s="1"/>
  <c r="BF24" i="15" s="1"/>
  <c r="BG24" i="15" s="1"/>
  <c r="BA25" i="15"/>
  <c r="BA26" i="15"/>
  <c r="AX77" i="15"/>
  <c r="AX78" i="15"/>
  <c r="AY89" i="15"/>
  <c r="AY90" i="15"/>
  <c r="AZ88" i="15"/>
  <c r="BA88" i="15" s="1"/>
  <c r="AW30" i="15"/>
  <c r="AW29" i="15"/>
  <c r="AX28" i="15"/>
  <c r="AY28" i="15" s="1"/>
  <c r="AZ28" i="15" s="1"/>
  <c r="AY85" i="15"/>
  <c r="AZ84" i="15"/>
  <c r="BA84" i="15" s="1"/>
  <c r="AY86" i="15"/>
  <c r="AS81" i="15"/>
  <c r="AS82" i="15"/>
  <c r="AT80" i="15"/>
  <c r="AU80" i="15" s="1"/>
  <c r="AV85" i="15"/>
  <c r="AW84" i="15"/>
  <c r="AV86" i="15"/>
  <c r="AW80" i="15"/>
  <c r="AV82" i="15"/>
  <c r="AV81" i="15"/>
  <c r="BA21" i="15"/>
  <c r="BB20" i="15"/>
  <c r="BC20" i="15" s="1"/>
  <c r="BD20" i="15" s="1"/>
  <c r="BE20" i="15" s="1"/>
  <c r="BF20" i="15" s="1"/>
  <c r="BG20" i="15" s="1"/>
  <c r="BA22" i="15"/>
  <c r="AX20" i="15"/>
  <c r="AY20" i="15" s="1"/>
  <c r="AZ20" i="15" s="1"/>
  <c r="AW21" i="15"/>
  <c r="AW22" i="15"/>
  <c r="AW92" i="15"/>
  <c r="AV93" i="15"/>
  <c r="AV94" i="15"/>
  <c r="BB81" i="15"/>
  <c r="BB82" i="15"/>
  <c r="BC80" i="15"/>
  <c r="AW76" i="15"/>
  <c r="AV77" i="15"/>
  <c r="AV78" i="15"/>
  <c r="AX89" i="15"/>
  <c r="AX90" i="15"/>
  <c r="AS30" i="15"/>
  <c r="AS29" i="15"/>
  <c r="AT28" i="15"/>
  <c r="AU28" i="15" s="1"/>
  <c r="AV28" i="15" s="1"/>
  <c r="AO82" i="15"/>
  <c r="AO81" i="15"/>
  <c r="AP80" i="15"/>
  <c r="BC84" i="15"/>
  <c r="BB86" i="15"/>
  <c r="BB85" i="15"/>
  <c r="BB32" i="15"/>
  <c r="BC32" i="15" s="1"/>
  <c r="BD32" i="15" s="1"/>
  <c r="BE32" i="15" s="1"/>
  <c r="BF32" i="15" s="1"/>
  <c r="BG32" i="15" s="1"/>
  <c r="BA34" i="15"/>
  <c r="BA33" i="15"/>
  <c r="AQ30" i="15"/>
  <c r="AR28" i="15"/>
  <c r="AQ29" i="15"/>
  <c r="AK35" i="15"/>
  <c r="AF27" i="15"/>
  <c r="AD53" i="15"/>
  <c r="AK49" i="15"/>
  <c r="AD49" i="15"/>
  <c r="AK69" i="15"/>
  <c r="AF43" i="15"/>
  <c r="AJ67" i="15"/>
  <c r="AJ37" i="15"/>
  <c r="AF41" i="15"/>
  <c r="AJ77" i="15"/>
  <c r="AD55" i="15"/>
  <c r="AL79" i="15"/>
  <c r="AD67" i="15"/>
  <c r="AJ39" i="15"/>
  <c r="AJ75" i="15"/>
  <c r="AL81" i="15"/>
  <c r="AE81" i="15"/>
  <c r="AF79" i="15"/>
  <c r="AK53" i="15"/>
  <c r="AE53" i="15"/>
  <c r="AK43" i="15"/>
  <c r="AF87" i="15"/>
  <c r="AK47" i="15"/>
  <c r="AF81" i="15"/>
  <c r="AL87" i="15"/>
  <c r="AJ61" i="15"/>
  <c r="AK37" i="15"/>
  <c r="AJ53" i="15"/>
  <c r="AE83" i="15"/>
  <c r="AK61" i="15"/>
  <c r="AE85" i="15"/>
  <c r="AK51" i="15"/>
  <c r="AD57" i="15"/>
  <c r="AF71" i="15"/>
  <c r="AJ71" i="15"/>
  <c r="AL43" i="15"/>
  <c r="AD59" i="15"/>
  <c r="AK57" i="15"/>
  <c r="AK77" i="15"/>
  <c r="AJ29" i="15"/>
  <c r="AL57" i="15"/>
  <c r="AK67" i="15"/>
  <c r="AL55" i="15"/>
  <c r="AD75" i="15"/>
  <c r="AK41" i="15"/>
  <c r="AD83" i="15"/>
  <c r="AL49" i="15"/>
  <c r="AF83" i="15"/>
  <c r="AD73" i="15"/>
  <c r="AE29" i="15"/>
  <c r="AD45" i="15"/>
  <c r="AL53" i="15"/>
  <c r="AF57" i="15"/>
  <c r="AF61" i="15"/>
  <c r="AE51" i="15"/>
  <c r="AE31" i="15"/>
  <c r="AL75" i="15"/>
  <c r="AF67" i="15"/>
  <c r="AJ51" i="15"/>
  <c r="AJ45" i="15"/>
  <c r="AF35" i="15"/>
  <c r="AF75" i="15"/>
  <c r="AL59" i="15"/>
  <c r="AK29" i="15"/>
  <c r="AF45" i="15"/>
  <c r="AJ31" i="15"/>
  <c r="AD65" i="15"/>
  <c r="AE63" i="15"/>
  <c r="AJ85" i="15"/>
  <c r="AD79" i="15"/>
  <c r="AF69" i="15"/>
  <c r="AL37" i="15"/>
  <c r="AE79" i="15"/>
  <c r="AE77" i="15"/>
  <c r="AL83" i="15"/>
  <c r="AF47" i="15"/>
  <c r="AE41" i="15"/>
  <c r="AE69" i="15"/>
  <c r="AK79" i="15"/>
  <c r="AL65" i="15"/>
  <c r="AD43" i="15"/>
  <c r="AE71" i="15"/>
  <c r="AL29" i="15"/>
  <c r="AE27" i="15"/>
  <c r="AK85" i="15"/>
  <c r="AF33" i="15"/>
  <c r="AE61" i="15"/>
  <c r="AD81" i="15"/>
  <c r="AJ69" i="15"/>
  <c r="AJ65" i="15"/>
  <c r="AF77" i="15"/>
  <c r="AJ59" i="15"/>
  <c r="AL61" i="15"/>
  <c r="AE35" i="15"/>
  <c r="AK33" i="15"/>
  <c r="AJ57" i="15"/>
  <c r="AF31" i="15"/>
  <c r="AD29" i="15"/>
  <c r="AK71" i="15"/>
  <c r="AJ63" i="15"/>
  <c r="AJ55" i="15"/>
  <c r="AL71" i="15"/>
  <c r="AD51" i="15"/>
  <c r="AJ35" i="15"/>
  <c r="AK83" i="15"/>
  <c r="AE87" i="15"/>
  <c r="AD63" i="15"/>
  <c r="AD85" i="15"/>
  <c r="AD61" i="15"/>
  <c r="AJ83" i="15"/>
  <c r="AE45" i="15"/>
  <c r="AE47" i="15"/>
  <c r="AJ47" i="15"/>
  <c r="AE37" i="15"/>
  <c r="AK75" i="15"/>
  <c r="AD35" i="15"/>
  <c r="AK63" i="15"/>
  <c r="AK27" i="15"/>
  <c r="AK73" i="15"/>
  <c r="AE75" i="15"/>
  <c r="AJ49" i="15"/>
  <c r="AF37" i="15"/>
  <c r="AD39" i="15"/>
  <c r="AD41" i="15"/>
  <c r="AL73" i="15"/>
  <c r="AJ33" i="15"/>
  <c r="AE67" i="15"/>
  <c r="AE55" i="15"/>
  <c r="AE43" i="15"/>
  <c r="AF63" i="15"/>
  <c r="AF59" i="15"/>
  <c r="AF39" i="15"/>
  <c r="AE39" i="15"/>
  <c r="AJ87" i="15"/>
  <c r="AL41" i="15"/>
  <c r="AL85" i="15"/>
  <c r="AL47" i="15"/>
  <c r="AF65" i="15"/>
  <c r="AJ81" i="15"/>
  <c r="AF49" i="15"/>
  <c r="AL45" i="15"/>
  <c r="AD71" i="15"/>
  <c r="AK45" i="15"/>
  <c r="AJ27" i="15"/>
  <c r="AE65" i="15"/>
  <c r="AF53" i="15"/>
  <c r="AJ73" i="15"/>
  <c r="AL27" i="15"/>
  <c r="AK39" i="15"/>
  <c r="AL33" i="15"/>
  <c r="AD47" i="15"/>
  <c r="AE33" i="15"/>
  <c r="AL31" i="15"/>
  <c r="AL39" i="15"/>
  <c r="AD33" i="15"/>
  <c r="AD37" i="15"/>
  <c r="AK65" i="15"/>
  <c r="AJ41" i="15"/>
  <c r="AK59" i="15"/>
  <c r="AE49" i="15"/>
  <c r="AD77" i="15"/>
  <c r="AJ79" i="15"/>
  <c r="AE73" i="15"/>
  <c r="AL67" i="15"/>
  <c r="AL51" i="15"/>
  <c r="AL63" i="15"/>
  <c r="AD31" i="15"/>
  <c r="AF73" i="15"/>
  <c r="AK87" i="15"/>
  <c r="AF29" i="15"/>
  <c r="AL77" i="15"/>
  <c r="AK55" i="15"/>
  <c r="AF51" i="15"/>
  <c r="AD87" i="15"/>
  <c r="AE57" i="15"/>
  <c r="AD69" i="15"/>
  <c r="AF55" i="15"/>
  <c r="AK31" i="15"/>
  <c r="AL69" i="15"/>
  <c r="AJ43" i="15"/>
  <c r="AD27" i="15"/>
  <c r="AF85" i="15"/>
  <c r="AK81" i="15"/>
  <c r="AE59" i="15"/>
  <c r="AL35" i="15"/>
  <c r="AV90" i="15"/>
  <c r="AW88" i="15"/>
  <c r="AV89" i="15"/>
  <c r="AO90" i="15"/>
  <c r="AP88" i="15"/>
  <c r="AO89" i="15"/>
  <c r="AT76" i="15"/>
  <c r="AU76" i="15" s="1"/>
  <c r="AS77" i="15"/>
  <c r="AS78" i="15"/>
  <c r="BA29" i="15"/>
  <c r="BA30" i="15"/>
  <c r="BB28" i="15"/>
  <c r="BC28" i="15" s="1"/>
  <c r="BD28" i="15" s="1"/>
  <c r="BE28" i="15" s="1"/>
  <c r="BF28" i="15" s="1"/>
  <c r="BG28" i="15" s="1"/>
  <c r="AT24" i="15"/>
  <c r="AU24" i="15" s="1"/>
  <c r="AV24" i="15" s="1"/>
  <c r="AS26" i="15"/>
  <c r="AS25" i="15"/>
  <c r="AQ26" i="15"/>
  <c r="AQ25" i="15"/>
  <c r="AR24" i="15"/>
  <c r="AQ94" i="15"/>
  <c r="AR92" i="15"/>
  <c r="AQ93" i="15"/>
  <c r="AO8" i="15"/>
  <c r="AO124" i="15"/>
  <c r="AS124" i="15"/>
  <c r="AU164" i="15"/>
  <c r="AQ124" i="15"/>
  <c r="AR164" i="15"/>
  <c r="AO68" i="15"/>
  <c r="AX124" i="15"/>
  <c r="AQ68" i="15"/>
  <c r="AV128" i="15"/>
  <c r="BB124" i="15"/>
  <c r="BB128" i="15"/>
  <c r="AY12" i="15"/>
  <c r="AS164" i="15"/>
  <c r="BA72" i="15"/>
  <c r="AQ72" i="15"/>
  <c r="AW68" i="15"/>
  <c r="AW72" i="15"/>
  <c r="AS68" i="15"/>
  <c r="AV124" i="15"/>
  <c r="AO72" i="15"/>
  <c r="AX128" i="15"/>
  <c r="BA68" i="15"/>
  <c r="AQ128" i="15"/>
  <c r="AO128" i="15"/>
  <c r="AS128" i="15"/>
  <c r="AS72" i="15"/>
  <c r="AY16" i="15"/>
  <c r="AP153" i="15" l="1"/>
  <c r="AQ152" i="15"/>
  <c r="AP154" i="15"/>
  <c r="AY134" i="15"/>
  <c r="AZ132" i="15"/>
  <c r="BA132" i="15" s="1"/>
  <c r="AY133" i="15"/>
  <c r="AZ80" i="15"/>
  <c r="BA80" i="15" s="1"/>
  <c r="AY82" i="15"/>
  <c r="AY81" i="15"/>
  <c r="BB78" i="15"/>
  <c r="BB77" i="15"/>
  <c r="BB93" i="15"/>
  <c r="BB94" i="15"/>
  <c r="AP162" i="15"/>
  <c r="AP161" i="15"/>
  <c r="AV98" i="15"/>
  <c r="AQ37" i="15"/>
  <c r="AX161" i="15"/>
  <c r="AV97" i="15"/>
  <c r="BC92" i="15"/>
  <c r="AS45" i="15"/>
  <c r="AO141" i="15"/>
  <c r="AZ96" i="15"/>
  <c r="BA96" i="15" s="1"/>
  <c r="AY137" i="15"/>
  <c r="AS46" i="15"/>
  <c r="AQ17" i="15"/>
  <c r="AV105" i="15"/>
  <c r="AW104" i="15"/>
  <c r="AQ18" i="15"/>
  <c r="BB153" i="15"/>
  <c r="BC104" i="15"/>
  <c r="AS93" i="15"/>
  <c r="AQ160" i="15"/>
  <c r="AT48" i="15"/>
  <c r="AU48" i="15" s="1"/>
  <c r="AV48" i="15" s="1"/>
  <c r="AS49" i="15"/>
  <c r="AS86" i="15"/>
  <c r="AR112" i="15"/>
  <c r="AY109" i="15"/>
  <c r="AT92" i="15"/>
  <c r="AU92" i="15" s="1"/>
  <c r="BC76" i="15"/>
  <c r="BC136" i="15"/>
  <c r="AR60" i="15"/>
  <c r="AR161" i="15"/>
  <c r="AQ62" i="15"/>
  <c r="BB138" i="15"/>
  <c r="BC152" i="15"/>
  <c r="BB102" i="15"/>
  <c r="AU150" i="15"/>
  <c r="AR100" i="15"/>
  <c r="AQ102" i="15"/>
  <c r="AO61" i="15"/>
  <c r="AS106" i="15"/>
  <c r="AY110" i="15"/>
  <c r="BB162" i="15"/>
  <c r="AQ38" i="15"/>
  <c r="AP92" i="15"/>
  <c r="AR44" i="15"/>
  <c r="AP96" i="15"/>
  <c r="AP141" i="15"/>
  <c r="AO97" i="15"/>
  <c r="AP64" i="15"/>
  <c r="AQ140" i="15"/>
  <c r="AS21" i="15"/>
  <c r="AS57" i="15"/>
  <c r="AX52" i="15"/>
  <c r="AY52" i="15" s="1"/>
  <c r="AZ52" i="15" s="1"/>
  <c r="AT104" i="15"/>
  <c r="AU104" i="15" s="1"/>
  <c r="AS58" i="15"/>
  <c r="AO62" i="15"/>
  <c r="BB161" i="15"/>
  <c r="AY138" i="15"/>
  <c r="AX122" i="15"/>
  <c r="AQ22" i="15"/>
  <c r="BB106" i="15"/>
  <c r="AQ33" i="15"/>
  <c r="AO66" i="15"/>
  <c r="AQ110" i="15"/>
  <c r="AX93" i="15"/>
  <c r="AR56" i="15"/>
  <c r="AO93" i="15"/>
  <c r="AQ58" i="15"/>
  <c r="AQ109" i="15"/>
  <c r="AU146" i="15"/>
  <c r="AU145" i="15"/>
  <c r="AX118" i="15"/>
  <c r="AQ113" i="15"/>
  <c r="AZ128" i="15"/>
  <c r="BA128" i="15" s="1"/>
  <c r="AP150" i="15"/>
  <c r="AQ148" i="15"/>
  <c r="AY130" i="15"/>
  <c r="AX36" i="15"/>
  <c r="AY36" i="15" s="1"/>
  <c r="AZ36" i="15" s="1"/>
  <c r="BC96" i="15"/>
  <c r="AX141" i="15"/>
  <c r="BB97" i="15"/>
  <c r="AR133" i="15"/>
  <c r="AS109" i="15"/>
  <c r="AW37" i="15"/>
  <c r="AR150" i="15"/>
  <c r="AS110" i="15"/>
  <c r="AQ21" i="15"/>
  <c r="AO149" i="15"/>
  <c r="AY150" i="15"/>
  <c r="AQ34" i="15"/>
  <c r="BB145" i="15"/>
  <c r="BB48" i="15"/>
  <c r="BC48" i="15" s="1"/>
  <c r="BD48" i="15" s="1"/>
  <c r="BE48" i="15" s="1"/>
  <c r="BF48" i="15" s="1"/>
  <c r="BG48" i="15" s="1"/>
  <c r="AX82" i="15"/>
  <c r="AW46" i="15"/>
  <c r="BA50" i="15"/>
  <c r="BC144" i="15"/>
  <c r="AX44" i="15"/>
  <c r="AY44" i="15" s="1"/>
  <c r="AZ44" i="15" s="1"/>
  <c r="AS121" i="15"/>
  <c r="AS122" i="15"/>
  <c r="AT20" i="15"/>
  <c r="AU20" i="15" s="1"/>
  <c r="AV20" i="15" s="1"/>
  <c r="AX101" i="15"/>
  <c r="AQ66" i="15"/>
  <c r="AZ140" i="15"/>
  <c r="BA140" i="15" s="1"/>
  <c r="BB117" i="15"/>
  <c r="AS117" i="15"/>
  <c r="AS118" i="15"/>
  <c r="BB118" i="15"/>
  <c r="AX157" i="15"/>
  <c r="AW53" i="15"/>
  <c r="AX138" i="15"/>
  <c r="AO102" i="15"/>
  <c r="AR137" i="15"/>
  <c r="AO158" i="15"/>
  <c r="AQ121" i="15"/>
  <c r="BB101" i="15"/>
  <c r="AT148" i="15"/>
  <c r="AR120" i="15"/>
  <c r="AZ116" i="15"/>
  <c r="BA116" i="15" s="1"/>
  <c r="AS150" i="15"/>
  <c r="AO13" i="15"/>
  <c r="AY117" i="15"/>
  <c r="AR116" i="15"/>
  <c r="BA57" i="15"/>
  <c r="AZ104" i="15"/>
  <c r="BA104" i="15" s="1"/>
  <c r="AS53" i="15"/>
  <c r="BA53" i="15"/>
  <c r="AQ117" i="15"/>
  <c r="AP120" i="15"/>
  <c r="AZ124" i="15"/>
  <c r="BA124" i="15" s="1"/>
  <c r="AP12" i="15"/>
  <c r="AP133" i="15"/>
  <c r="AP48" i="15"/>
  <c r="AT160" i="15"/>
  <c r="AZ100" i="15"/>
  <c r="BA100" i="15" s="1"/>
  <c r="AO50" i="15"/>
  <c r="AO110" i="15"/>
  <c r="AT60" i="15"/>
  <c r="AU60" i="15" s="1"/>
  <c r="AV60" i="15" s="1"/>
  <c r="AT52" i="15"/>
  <c r="AU52" i="15" s="1"/>
  <c r="AV52" i="15" s="1"/>
  <c r="BA58" i="15"/>
  <c r="AY105" i="15"/>
  <c r="AY157" i="15"/>
  <c r="AP134" i="15"/>
  <c r="AS161" i="15"/>
  <c r="AR64" i="15"/>
  <c r="AY141" i="15"/>
  <c r="AO122" i="15"/>
  <c r="AY125" i="15"/>
  <c r="AY101" i="15"/>
  <c r="BC140" i="15"/>
  <c r="AQ77" i="15"/>
  <c r="AX40" i="15"/>
  <c r="AY40" i="15" s="1"/>
  <c r="AZ40" i="15" s="1"/>
  <c r="BB44" i="15"/>
  <c r="BC44" i="15" s="1"/>
  <c r="BD44" i="15" s="1"/>
  <c r="BE44" i="15" s="1"/>
  <c r="BF44" i="15" s="1"/>
  <c r="BG44" i="15" s="1"/>
  <c r="AS61" i="15"/>
  <c r="AU134" i="15"/>
  <c r="AY158" i="15"/>
  <c r="BB141" i="15"/>
  <c r="AW41" i="15"/>
  <c r="BA45" i="15"/>
  <c r="AO37" i="15"/>
  <c r="AP36" i="15"/>
  <c r="AP108" i="15"/>
  <c r="AV132" i="15"/>
  <c r="AW132" i="15" s="1"/>
  <c r="AO113" i="15"/>
  <c r="AY97" i="15"/>
  <c r="BA41" i="15"/>
  <c r="BB40" i="15"/>
  <c r="BC40" i="15" s="1"/>
  <c r="BD40" i="15" s="1"/>
  <c r="BE40" i="15" s="1"/>
  <c r="BF40" i="15" s="1"/>
  <c r="BG40" i="15" s="1"/>
  <c r="AT132" i="15"/>
  <c r="AS133" i="15"/>
  <c r="AP100" i="15"/>
  <c r="AY162" i="15"/>
  <c r="AX32" i="15"/>
  <c r="AY32" i="15" s="1"/>
  <c r="AZ32" i="15" s="1"/>
  <c r="AY161" i="15"/>
  <c r="AX113" i="15"/>
  <c r="AP112" i="15"/>
  <c r="AQ78" i="15"/>
  <c r="AW108" i="15"/>
  <c r="AS101" i="15"/>
  <c r="BB109" i="15"/>
  <c r="AV152" i="15"/>
  <c r="AW152" i="15" s="1"/>
  <c r="BB133" i="15"/>
  <c r="AS157" i="15"/>
  <c r="AX48" i="15"/>
  <c r="AY48" i="15" s="1"/>
  <c r="AZ48" i="15" s="1"/>
  <c r="AO154" i="15"/>
  <c r="AO78" i="15"/>
  <c r="AO77" i="15"/>
  <c r="AO106" i="15"/>
  <c r="AO105" i="15"/>
  <c r="AT156" i="15"/>
  <c r="AW34" i="15"/>
  <c r="BA38" i="15"/>
  <c r="AU154" i="15"/>
  <c r="BB134" i="15"/>
  <c r="AW50" i="15"/>
  <c r="AQ46" i="15"/>
  <c r="AX105" i="15"/>
  <c r="AQ85" i="15"/>
  <c r="AO161" i="15"/>
  <c r="AS154" i="15"/>
  <c r="AS89" i="15"/>
  <c r="AO117" i="15"/>
  <c r="AQ86" i="15"/>
  <c r="AX98" i="15"/>
  <c r="AS153" i="15"/>
  <c r="AT88" i="15"/>
  <c r="AU88" i="15" s="1"/>
  <c r="AP116" i="15"/>
  <c r="AV101" i="15"/>
  <c r="AP28" i="15"/>
  <c r="AV109" i="15"/>
  <c r="AO30" i="15"/>
  <c r="AR158" i="15"/>
  <c r="AT144" i="15"/>
  <c r="AU137" i="15"/>
  <c r="AY122" i="15"/>
  <c r="BB121" i="15"/>
  <c r="AX109" i="15"/>
  <c r="BC88" i="15"/>
  <c r="AO45" i="15"/>
  <c r="AS97" i="15"/>
  <c r="BC112" i="15"/>
  <c r="AP145" i="15"/>
  <c r="BC120" i="15"/>
  <c r="AW120" i="15"/>
  <c r="AO85" i="15"/>
  <c r="AY154" i="15"/>
  <c r="AY114" i="15"/>
  <c r="AU138" i="15"/>
  <c r="AU157" i="15"/>
  <c r="AZ120" i="15"/>
  <c r="BA120" i="15" s="1"/>
  <c r="AT140" i="15"/>
  <c r="AS141" i="15"/>
  <c r="AQ106" i="15"/>
  <c r="AR104" i="15"/>
  <c r="AQ53" i="15"/>
  <c r="AQ54" i="15"/>
  <c r="BB113" i="15"/>
  <c r="AW66" i="15"/>
  <c r="AX150" i="15"/>
  <c r="AS37" i="15"/>
  <c r="AQ13" i="15"/>
  <c r="AV118" i="15"/>
  <c r="AV114" i="15"/>
  <c r="AS98" i="15"/>
  <c r="AS38" i="15"/>
  <c r="AR12" i="15"/>
  <c r="AS12" i="15" s="1"/>
  <c r="AT12" i="15" s="1"/>
  <c r="AU12" i="15" s="1"/>
  <c r="AV12" i="15" s="1"/>
  <c r="AW12" i="15" s="1"/>
  <c r="AX12" i="15" s="1"/>
  <c r="AW116" i="15"/>
  <c r="AW112" i="15"/>
  <c r="AX56" i="15"/>
  <c r="AY56" i="15" s="1"/>
  <c r="AZ56" i="15" s="1"/>
  <c r="AW57" i="15"/>
  <c r="AQ98" i="15"/>
  <c r="AX64" i="15"/>
  <c r="AY64" i="15" s="1"/>
  <c r="AZ64" i="15" s="1"/>
  <c r="AT136" i="15"/>
  <c r="AO57" i="15"/>
  <c r="AS33" i="15"/>
  <c r="AR145" i="15"/>
  <c r="AR48" i="15"/>
  <c r="AQ97" i="15"/>
  <c r="AZ144" i="15"/>
  <c r="BA144" i="15" s="1"/>
  <c r="AP56" i="15"/>
  <c r="AS34" i="15"/>
  <c r="AQ49" i="15"/>
  <c r="AT64" i="15"/>
  <c r="AU64" i="15" s="1"/>
  <c r="AV64" i="15" s="1"/>
  <c r="AO137" i="15"/>
  <c r="AS66" i="15"/>
  <c r="AP44" i="15"/>
  <c r="AS137" i="15"/>
  <c r="BB52" i="15"/>
  <c r="BC52" i="15" s="1"/>
  <c r="BD52" i="15" s="1"/>
  <c r="BE52" i="15" s="1"/>
  <c r="BF52" i="15" s="1"/>
  <c r="BG52" i="15" s="1"/>
  <c r="AX145" i="15"/>
  <c r="AS145" i="15"/>
  <c r="AY94" i="15"/>
  <c r="AY149" i="15"/>
  <c r="AQ156" i="15"/>
  <c r="AP146" i="15"/>
  <c r="AP157" i="15"/>
  <c r="BA37" i="15"/>
  <c r="AT84" i="15"/>
  <c r="AU84" i="15" s="1"/>
  <c r="AY146" i="15"/>
  <c r="AY93" i="15"/>
  <c r="AO17" i="15"/>
  <c r="AX133" i="15"/>
  <c r="AR154" i="15"/>
  <c r="AW100" i="15"/>
  <c r="AS102" i="15"/>
  <c r="AW62" i="15"/>
  <c r="AV156" i="15"/>
  <c r="AW156" i="15" s="1"/>
  <c r="AO145" i="15"/>
  <c r="BC108" i="15"/>
  <c r="AV148" i="15"/>
  <c r="AW148" i="15" s="1"/>
  <c r="BB90" i="15"/>
  <c r="AP137" i="15"/>
  <c r="AP16" i="15"/>
  <c r="AX154" i="15"/>
  <c r="BB157" i="15"/>
  <c r="AP138" i="15"/>
  <c r="AO33" i="15"/>
  <c r="AZ76" i="15"/>
  <c r="BA76" i="15" s="1"/>
  <c r="BC156" i="15"/>
  <c r="AP32" i="15"/>
  <c r="AQ41" i="15"/>
  <c r="AR40" i="15"/>
  <c r="AY78" i="15"/>
  <c r="AW61" i="15"/>
  <c r="AV140" i="15"/>
  <c r="AW140" i="15" s="1"/>
  <c r="AS41" i="15"/>
  <c r="AU141" i="15"/>
  <c r="BA65" i="15"/>
  <c r="BA66" i="15"/>
  <c r="AV122" i="15"/>
  <c r="AP84" i="15"/>
  <c r="AZ152" i="15"/>
  <c r="BA152" i="15" s="1"/>
  <c r="AY113" i="15"/>
  <c r="AO41" i="15"/>
  <c r="AS114" i="15"/>
  <c r="AP40" i="15"/>
  <c r="AS113" i="15"/>
  <c r="BB150" i="15"/>
  <c r="AO54" i="15"/>
  <c r="AR141" i="15"/>
  <c r="BB149" i="15"/>
  <c r="BA61" i="15"/>
  <c r="AP52" i="15"/>
  <c r="BB60" i="15"/>
  <c r="BC60" i="15" s="1"/>
  <c r="BD60" i="15" s="1"/>
  <c r="BE60" i="15" s="1"/>
  <c r="BF60" i="15" s="1"/>
  <c r="BG60" i="15" s="1"/>
  <c r="AU162" i="15"/>
  <c r="AU161" i="15"/>
  <c r="AO133" i="15"/>
  <c r="AS42" i="15"/>
  <c r="L138" i="15"/>
  <c r="L137" i="15"/>
  <c r="M136" i="15"/>
  <c r="V77" i="15"/>
  <c r="W76" i="15"/>
  <c r="V78" i="15"/>
  <c r="X76" i="15"/>
  <c r="M152" i="15"/>
  <c r="L153" i="15"/>
  <c r="L154" i="15"/>
  <c r="Y124" i="15"/>
  <c r="X125" i="15"/>
  <c r="X126" i="15"/>
  <c r="Y89" i="15"/>
  <c r="Y90" i="15"/>
  <c r="AA88" i="15"/>
  <c r="Z88" i="15"/>
  <c r="O124" i="15"/>
  <c r="N125" i="15"/>
  <c r="N126" i="15"/>
  <c r="Z162" i="15"/>
  <c r="Z161" i="15"/>
  <c r="AA160" i="15"/>
  <c r="R128" i="15"/>
  <c r="S128" i="15" s="1"/>
  <c r="Q130" i="15"/>
  <c r="Q129" i="15"/>
  <c r="S101" i="15"/>
  <c r="S102" i="15"/>
  <c r="T100" i="15"/>
  <c r="U100" i="15" s="1"/>
  <c r="Q174" i="15"/>
  <c r="R172" i="15"/>
  <c r="Q173" i="15"/>
  <c r="Y98" i="15"/>
  <c r="AA96" i="15"/>
  <c r="Z96" i="15"/>
  <c r="Y97" i="15"/>
  <c r="U197" i="15"/>
  <c r="U198" i="15"/>
  <c r="Z173" i="15"/>
  <c r="AA172" i="15"/>
  <c r="Z174" i="15"/>
  <c r="R88" i="15"/>
  <c r="Q89" i="15"/>
  <c r="Q90" i="15"/>
  <c r="W160" i="15"/>
  <c r="V161" i="15"/>
  <c r="V162" i="15"/>
  <c r="V174" i="15"/>
  <c r="V173" i="15"/>
  <c r="W172" i="15"/>
  <c r="V197" i="15"/>
  <c r="W196" i="15"/>
  <c r="V198" i="15"/>
  <c r="S177" i="15"/>
  <c r="S178" i="15"/>
  <c r="T176" i="15"/>
  <c r="AT182" i="15"/>
  <c r="AU180" i="15"/>
  <c r="AT181" i="15"/>
  <c r="U189" i="15"/>
  <c r="U190" i="15"/>
  <c r="R69" i="15"/>
  <c r="R70" i="15"/>
  <c r="S68" i="15"/>
  <c r="T68" i="15" s="1"/>
  <c r="U68" i="15" s="1"/>
  <c r="Z194" i="15"/>
  <c r="AA192" i="15"/>
  <c r="Z193" i="15"/>
  <c r="P165" i="15"/>
  <c r="P166" i="15"/>
  <c r="V193" i="15"/>
  <c r="W192" i="15"/>
  <c r="V194" i="15"/>
  <c r="AO178" i="15"/>
  <c r="AO177" i="15"/>
  <c r="BC185" i="15"/>
  <c r="BC186" i="15"/>
  <c r="M193" i="15"/>
  <c r="M194" i="15"/>
  <c r="N192" i="15"/>
  <c r="T138" i="15"/>
  <c r="U136" i="15"/>
  <c r="T137" i="15"/>
  <c r="L114" i="15"/>
  <c r="M112" i="15"/>
  <c r="L113" i="15"/>
  <c r="AS197" i="15"/>
  <c r="AS198" i="15"/>
  <c r="T145" i="15"/>
  <c r="U144" i="15"/>
  <c r="T146" i="15"/>
  <c r="O193" i="15"/>
  <c r="O194" i="15"/>
  <c r="AO181" i="15"/>
  <c r="AO182" i="15"/>
  <c r="V190" i="15"/>
  <c r="V189" i="15"/>
  <c r="W188" i="15"/>
  <c r="BA189" i="15"/>
  <c r="BA190" i="15"/>
  <c r="BB188" i="15"/>
  <c r="N157" i="15"/>
  <c r="O156" i="15"/>
  <c r="N158" i="15"/>
  <c r="I24" i="15"/>
  <c r="J24" i="15" s="1"/>
  <c r="K24" i="15" s="1"/>
  <c r="L24" i="15" s="1"/>
  <c r="M24" i="15" s="1"/>
  <c r="N24" i="15" s="1"/>
  <c r="H26" i="15"/>
  <c r="H25" i="15"/>
  <c r="AA24" i="15"/>
  <c r="Y26" i="15"/>
  <c r="Z24" i="15"/>
  <c r="Y25" i="15"/>
  <c r="V33" i="15"/>
  <c r="V34" i="15"/>
  <c r="W32" i="15"/>
  <c r="X32" i="15"/>
  <c r="X133" i="15"/>
  <c r="Y132" i="15"/>
  <c r="X134" i="15"/>
  <c r="Z129" i="15"/>
  <c r="Z130" i="15"/>
  <c r="AA128" i="15"/>
  <c r="Y136" i="15"/>
  <c r="X138" i="15"/>
  <c r="X137" i="15"/>
  <c r="AA140" i="15"/>
  <c r="Z142" i="15"/>
  <c r="Z141" i="15"/>
  <c r="AQ164" i="15"/>
  <c r="AP166" i="15"/>
  <c r="AP165" i="15"/>
  <c r="S97" i="15"/>
  <c r="S98" i="15"/>
  <c r="T96" i="15"/>
  <c r="U96" i="15" s="1"/>
  <c r="X170" i="15"/>
  <c r="Y168" i="15"/>
  <c r="X169" i="15"/>
  <c r="Q133" i="15"/>
  <c r="R132" i="15"/>
  <c r="S132" i="15" s="1"/>
  <c r="Q134" i="15"/>
  <c r="V145" i="15"/>
  <c r="W144" i="15"/>
  <c r="V146" i="15"/>
  <c r="N141" i="15"/>
  <c r="O140" i="15"/>
  <c r="N142" i="15"/>
  <c r="AY178" i="15"/>
  <c r="AY177" i="15"/>
  <c r="AZ176" i="15"/>
  <c r="V142" i="15"/>
  <c r="V141" i="15"/>
  <c r="W140" i="15"/>
  <c r="O169" i="15"/>
  <c r="O170" i="15"/>
  <c r="N109" i="15"/>
  <c r="N110" i="15"/>
  <c r="O108" i="15"/>
  <c r="R66" i="15"/>
  <c r="S64" i="15"/>
  <c r="T64" i="15" s="1"/>
  <c r="U64" i="15" s="1"/>
  <c r="R65" i="15"/>
  <c r="BC182" i="15"/>
  <c r="BC181" i="15"/>
  <c r="AR193" i="15"/>
  <c r="AR194" i="15"/>
  <c r="P150" i="15"/>
  <c r="P149" i="15"/>
  <c r="V165" i="15"/>
  <c r="V166" i="15"/>
  <c r="W164" i="15"/>
  <c r="AY169" i="15"/>
  <c r="AY170" i="15"/>
  <c r="AZ168" i="15"/>
  <c r="BA168" i="15" s="1"/>
  <c r="H10" i="15"/>
  <c r="I8" i="15"/>
  <c r="J8" i="15" s="1"/>
  <c r="K8" i="15" s="1"/>
  <c r="L8" i="15" s="1"/>
  <c r="M8" i="15" s="1"/>
  <c r="N8" i="15" s="1"/>
  <c r="O8" i="15" s="1"/>
  <c r="P8" i="15" s="1"/>
  <c r="Q8" i="15" s="1"/>
  <c r="R8" i="15" s="1"/>
  <c r="S8" i="15" s="1"/>
  <c r="T8" i="15" s="1"/>
  <c r="U8" i="15" s="1"/>
  <c r="H9" i="15"/>
  <c r="AX169" i="15"/>
  <c r="AX170" i="15"/>
  <c r="N105" i="15"/>
  <c r="N106" i="15"/>
  <c r="O104" i="15"/>
  <c r="AS178" i="15"/>
  <c r="AS177" i="15"/>
  <c r="U164" i="15"/>
  <c r="T165" i="15"/>
  <c r="T166" i="15"/>
  <c r="BC190" i="15"/>
  <c r="BC189" i="15"/>
  <c r="Y114" i="15"/>
  <c r="Z112" i="15"/>
  <c r="AA112" i="15"/>
  <c r="Y113" i="15"/>
  <c r="R61" i="15"/>
  <c r="S60" i="15"/>
  <c r="T60" i="15" s="1"/>
  <c r="U60" i="15" s="1"/>
  <c r="R62" i="15"/>
  <c r="S110" i="15"/>
  <c r="T108" i="15"/>
  <c r="U108" i="15" s="1"/>
  <c r="S109" i="15"/>
  <c r="U169" i="15"/>
  <c r="U170" i="15"/>
  <c r="AA188" i="15"/>
  <c r="Z189" i="15"/>
  <c r="Z190" i="15"/>
  <c r="BC194" i="15"/>
  <c r="BC193" i="15"/>
  <c r="Q153" i="15"/>
  <c r="R152" i="15"/>
  <c r="S152" i="15" s="1"/>
  <c r="Q154" i="15"/>
  <c r="L142" i="15"/>
  <c r="L141" i="15"/>
  <c r="M140" i="15"/>
  <c r="Y21" i="15"/>
  <c r="Y22" i="15"/>
  <c r="Z20" i="15"/>
  <c r="AA20" i="15"/>
  <c r="L78" i="15"/>
  <c r="L77" i="15"/>
  <c r="M76" i="15"/>
  <c r="V30" i="15"/>
  <c r="W28" i="15"/>
  <c r="X28" i="15"/>
  <c r="V29" i="15"/>
  <c r="S90" i="15"/>
  <c r="T88" i="15"/>
  <c r="U88" i="15" s="1"/>
  <c r="S89" i="15"/>
  <c r="P130" i="15"/>
  <c r="P129" i="15"/>
  <c r="V130" i="15"/>
  <c r="V129" i="15"/>
  <c r="W128" i="15"/>
  <c r="S94" i="15"/>
  <c r="S93" i="15"/>
  <c r="T92" i="15"/>
  <c r="U92" i="15" s="1"/>
  <c r="I52" i="15"/>
  <c r="J52" i="15" s="1"/>
  <c r="K52" i="15" s="1"/>
  <c r="L52" i="15" s="1"/>
  <c r="M52" i="15" s="1"/>
  <c r="N52" i="15" s="1"/>
  <c r="H53" i="15"/>
  <c r="H54" i="15"/>
  <c r="P94" i="15"/>
  <c r="P93" i="15"/>
  <c r="O49" i="15"/>
  <c r="P48" i="15"/>
  <c r="Q48" i="15" s="1"/>
  <c r="O50" i="15"/>
  <c r="X181" i="15"/>
  <c r="Y180" i="15"/>
  <c r="X182" i="15"/>
  <c r="T172" i="15"/>
  <c r="S173" i="15"/>
  <c r="S174" i="15"/>
  <c r="X154" i="15"/>
  <c r="X153" i="15"/>
  <c r="Y152" i="15"/>
  <c r="O177" i="15"/>
  <c r="O178" i="15"/>
  <c r="AY166" i="15"/>
  <c r="AY165" i="15"/>
  <c r="AZ164" i="15"/>
  <c r="BA164" i="15" s="1"/>
  <c r="AW176" i="15"/>
  <c r="AV177" i="15"/>
  <c r="AV178" i="15"/>
  <c r="U178" i="15"/>
  <c r="U177" i="15"/>
  <c r="R120" i="15"/>
  <c r="Q121" i="15"/>
  <c r="Q122" i="15"/>
  <c r="T196" i="15"/>
  <c r="S197" i="15"/>
  <c r="S198" i="15"/>
  <c r="Y18" i="15"/>
  <c r="AA16" i="15"/>
  <c r="Y17" i="15"/>
  <c r="AQ176" i="15"/>
  <c r="AP178" i="15"/>
  <c r="AP177" i="15"/>
  <c r="AP182" i="15"/>
  <c r="AQ180" i="15"/>
  <c r="AP181" i="15"/>
  <c r="L197" i="15"/>
  <c r="L198" i="15"/>
  <c r="R45" i="15"/>
  <c r="S44" i="15"/>
  <c r="T44" i="15" s="1"/>
  <c r="U44" i="15" s="1"/>
  <c r="R46" i="15"/>
  <c r="AV202" i="15"/>
  <c r="AV201" i="15"/>
  <c r="AW200" i="15"/>
  <c r="AX200" i="15" s="1"/>
  <c r="AT186" i="15"/>
  <c r="AT185" i="15"/>
  <c r="AU184" i="15"/>
  <c r="AR201" i="15"/>
  <c r="AR202" i="15"/>
  <c r="N114" i="15"/>
  <c r="O112" i="15"/>
  <c r="N113" i="15"/>
  <c r="AS173" i="15"/>
  <c r="AS174" i="15"/>
  <c r="AY194" i="15"/>
  <c r="AZ192" i="15"/>
  <c r="AY193" i="15"/>
  <c r="AY181" i="15"/>
  <c r="AZ180" i="15"/>
  <c r="AY182" i="15"/>
  <c r="X64" i="15"/>
  <c r="V66" i="15"/>
  <c r="W64" i="15"/>
  <c r="V65" i="15"/>
  <c r="Z182" i="15"/>
  <c r="AA180" i="15"/>
  <c r="Z181" i="15"/>
  <c r="I64" i="15"/>
  <c r="J64" i="15" s="1"/>
  <c r="K64" i="15" s="1"/>
  <c r="L64" i="15" s="1"/>
  <c r="M64" i="15" s="1"/>
  <c r="N64" i="15" s="1"/>
  <c r="H65" i="15"/>
  <c r="H66" i="15"/>
  <c r="Y164" i="15"/>
  <c r="X166" i="15"/>
  <c r="X165" i="15"/>
  <c r="W68" i="15"/>
  <c r="V70" i="15"/>
  <c r="V69" i="15"/>
  <c r="X68" i="15"/>
  <c r="V22" i="15"/>
  <c r="V21" i="15"/>
  <c r="W20" i="15"/>
  <c r="X20" i="15"/>
  <c r="V26" i="15"/>
  <c r="V25" i="15"/>
  <c r="W24" i="15"/>
  <c r="X24" i="15"/>
  <c r="L90" i="15"/>
  <c r="M88" i="15"/>
  <c r="L89" i="15"/>
  <c r="L85" i="15"/>
  <c r="M84" i="15"/>
  <c r="L86" i="15"/>
  <c r="Z36" i="15"/>
  <c r="AA36" i="15"/>
  <c r="Y37" i="15"/>
  <c r="Y38" i="15"/>
  <c r="R22" i="15"/>
  <c r="S20" i="15"/>
  <c r="T20" i="15" s="1"/>
  <c r="U20" i="15" s="1"/>
  <c r="R21" i="15"/>
  <c r="O88" i="15"/>
  <c r="N89" i="15"/>
  <c r="N90" i="15"/>
  <c r="L106" i="15"/>
  <c r="M104" i="15"/>
  <c r="L105" i="15"/>
  <c r="AA48" i="15"/>
  <c r="Y50" i="15"/>
  <c r="Z48" i="15"/>
  <c r="Y49" i="15"/>
  <c r="P137" i="15"/>
  <c r="P138" i="15"/>
  <c r="P98" i="15"/>
  <c r="P97" i="15"/>
  <c r="P173" i="15"/>
  <c r="P174" i="15"/>
  <c r="AU192" i="15"/>
  <c r="AT193" i="15"/>
  <c r="AT194" i="15"/>
  <c r="Z52" i="15"/>
  <c r="AA52" i="15"/>
  <c r="Y53" i="15"/>
  <c r="Y54" i="15"/>
  <c r="BC197" i="15"/>
  <c r="BC198" i="15"/>
  <c r="P169" i="15"/>
  <c r="P170" i="15"/>
  <c r="W184" i="15"/>
  <c r="V185" i="15"/>
  <c r="V186" i="15"/>
  <c r="AS201" i="15"/>
  <c r="AS202" i="15"/>
  <c r="AT200" i="15"/>
  <c r="AU200" i="15" s="1"/>
  <c r="O69" i="15"/>
  <c r="O70" i="15"/>
  <c r="P68" i="15"/>
  <c r="Q68" i="15" s="1"/>
  <c r="AS193" i="15"/>
  <c r="AS194" i="15"/>
  <c r="S170" i="15"/>
  <c r="T168" i="15"/>
  <c r="S169" i="15"/>
  <c r="AQ184" i="15"/>
  <c r="AP185" i="15"/>
  <c r="AP186" i="15"/>
  <c r="P17" i="15"/>
  <c r="P18" i="15"/>
  <c r="Q16" i="15"/>
  <c r="R16" i="15" s="1"/>
  <c r="S16" i="15" s="1"/>
  <c r="T16" i="15" s="1"/>
  <c r="U16" i="15" s="1"/>
  <c r="AV182" i="15"/>
  <c r="AW180" i="15"/>
  <c r="AV181" i="15"/>
  <c r="P154" i="15"/>
  <c r="P153" i="15"/>
  <c r="AY173" i="15"/>
  <c r="AY174" i="15"/>
  <c r="AZ172" i="15"/>
  <c r="N161" i="15"/>
  <c r="N162" i="15"/>
  <c r="O160" i="15"/>
  <c r="AX193" i="15"/>
  <c r="AX194" i="15"/>
  <c r="AR174" i="15"/>
  <c r="AR173" i="15"/>
  <c r="AX190" i="15"/>
  <c r="AX189" i="15"/>
  <c r="S56" i="15"/>
  <c r="T56" i="15" s="1"/>
  <c r="U56" i="15" s="1"/>
  <c r="R57" i="15"/>
  <c r="R58" i="15"/>
  <c r="M202" i="15"/>
  <c r="N200" i="15"/>
  <c r="M201" i="15"/>
  <c r="V150" i="15"/>
  <c r="V149" i="15"/>
  <c r="W148" i="15"/>
  <c r="P109" i="15"/>
  <c r="P110" i="15"/>
  <c r="O164" i="15"/>
  <c r="N166" i="15"/>
  <c r="N165" i="15"/>
  <c r="L145" i="15"/>
  <c r="M144" i="15"/>
  <c r="L146" i="15"/>
  <c r="O33" i="15"/>
  <c r="O34" i="15"/>
  <c r="P32" i="15"/>
  <c r="Q32" i="15" s="1"/>
  <c r="S82" i="15"/>
  <c r="S81" i="15"/>
  <c r="T80" i="15"/>
  <c r="U80" i="15" s="1"/>
  <c r="Z28" i="15"/>
  <c r="AA28" i="15"/>
  <c r="Y29" i="15"/>
  <c r="Y30" i="15"/>
  <c r="Z134" i="15"/>
  <c r="Z133" i="15"/>
  <c r="AA132" i="15"/>
  <c r="I44" i="15"/>
  <c r="J44" i="15" s="1"/>
  <c r="K44" i="15" s="1"/>
  <c r="L44" i="15" s="1"/>
  <c r="M44" i="15" s="1"/>
  <c r="N44" i="15" s="1"/>
  <c r="H46" i="15"/>
  <c r="H45" i="15"/>
  <c r="N93" i="15"/>
  <c r="O92" i="15"/>
  <c r="N94" i="15"/>
  <c r="AO165" i="15"/>
  <c r="AO166" i="15"/>
  <c r="Z100" i="15"/>
  <c r="Y101" i="15"/>
  <c r="AA100" i="15"/>
  <c r="Y102" i="15"/>
  <c r="S28" i="15"/>
  <c r="T28" i="15" s="1"/>
  <c r="U28" i="15" s="1"/>
  <c r="R30" i="15"/>
  <c r="R29" i="15"/>
  <c r="I60" i="15"/>
  <c r="J60" i="15" s="1"/>
  <c r="K60" i="15" s="1"/>
  <c r="L60" i="15" s="1"/>
  <c r="M60" i="15" s="1"/>
  <c r="N60" i="15" s="1"/>
  <c r="H61" i="15"/>
  <c r="H62" i="15"/>
  <c r="S193" i="15"/>
  <c r="S194" i="15"/>
  <c r="T192" i="15"/>
  <c r="P102" i="15"/>
  <c r="P101" i="15"/>
  <c r="O173" i="15"/>
  <c r="O174" i="15"/>
  <c r="P60" i="15"/>
  <c r="Q60" i="15" s="1"/>
  <c r="O61" i="15"/>
  <c r="O62" i="15"/>
  <c r="BC173" i="15"/>
  <c r="BC174" i="15"/>
  <c r="U202" i="15"/>
  <c r="U201" i="15"/>
  <c r="BC168" i="15"/>
  <c r="BB170" i="15"/>
  <c r="BB169" i="15"/>
  <c r="Q113" i="15"/>
  <c r="Q114" i="15"/>
  <c r="R112" i="15"/>
  <c r="Q102" i="15"/>
  <c r="R100" i="15"/>
  <c r="Q101" i="15"/>
  <c r="BB196" i="15"/>
  <c r="BA197" i="15"/>
  <c r="BA198" i="15"/>
  <c r="Y196" i="15"/>
  <c r="X198" i="15"/>
  <c r="X197" i="15"/>
  <c r="BA177" i="15"/>
  <c r="BB176" i="15"/>
  <c r="BA178" i="15"/>
  <c r="Z56" i="15"/>
  <c r="AA56" i="15"/>
  <c r="Y57" i="15"/>
  <c r="Y58" i="15"/>
  <c r="L182" i="15"/>
  <c r="L181" i="15"/>
  <c r="P190" i="15"/>
  <c r="P189" i="15"/>
  <c r="AY185" i="15"/>
  <c r="AY186" i="15"/>
  <c r="AZ184" i="15"/>
  <c r="X190" i="15"/>
  <c r="X189" i="15"/>
  <c r="Y188" i="15"/>
  <c r="BA193" i="15"/>
  <c r="BB192" i="15"/>
  <c r="BA194" i="15"/>
  <c r="T157" i="15"/>
  <c r="U156" i="15"/>
  <c r="T158" i="15"/>
  <c r="X162" i="15"/>
  <c r="Y160" i="15"/>
  <c r="X161" i="15"/>
  <c r="R188" i="15"/>
  <c r="Q189" i="15"/>
  <c r="Q190" i="15"/>
  <c r="AV197" i="15"/>
  <c r="AW196" i="15"/>
  <c r="AV198" i="15"/>
  <c r="L161" i="15"/>
  <c r="L162" i="15"/>
  <c r="M160" i="15"/>
  <c r="AR170" i="15"/>
  <c r="AR169" i="15"/>
  <c r="R37" i="15"/>
  <c r="R38" i="15"/>
  <c r="S36" i="15"/>
  <c r="T36" i="15" s="1"/>
  <c r="U36" i="15" s="1"/>
  <c r="I20" i="15"/>
  <c r="J20" i="15" s="1"/>
  <c r="K20" i="15" s="1"/>
  <c r="L20" i="15" s="1"/>
  <c r="M20" i="15" s="1"/>
  <c r="N20" i="15" s="1"/>
  <c r="H22" i="15"/>
  <c r="H21" i="15"/>
  <c r="O30" i="15"/>
  <c r="O29" i="15"/>
  <c r="P28" i="15"/>
  <c r="Q28" i="15" s="1"/>
  <c r="W80" i="15"/>
  <c r="V82" i="15"/>
  <c r="V81" i="15"/>
  <c r="X80" i="15"/>
  <c r="N81" i="15"/>
  <c r="O80" i="15"/>
  <c r="N82" i="15"/>
  <c r="P126" i="15"/>
  <c r="P125" i="15"/>
  <c r="P86" i="15"/>
  <c r="P85" i="15"/>
  <c r="W132" i="15"/>
  <c r="V134" i="15"/>
  <c r="V133" i="15"/>
  <c r="Z92" i="15"/>
  <c r="Y93" i="15"/>
  <c r="Y94" i="15"/>
  <c r="AA92" i="15"/>
  <c r="I56" i="15"/>
  <c r="J56" i="15" s="1"/>
  <c r="K56" i="15" s="1"/>
  <c r="L56" i="15" s="1"/>
  <c r="M56" i="15" s="1"/>
  <c r="N56" i="15" s="1"/>
  <c r="H58" i="15"/>
  <c r="H57" i="15"/>
  <c r="O136" i="15"/>
  <c r="N138" i="15"/>
  <c r="N137" i="15"/>
  <c r="BB165" i="15"/>
  <c r="BB166" i="15"/>
  <c r="BC164" i="15"/>
  <c r="O65" i="15"/>
  <c r="O66" i="15"/>
  <c r="P64" i="15"/>
  <c r="Q64" i="15" s="1"/>
  <c r="Q177" i="15"/>
  <c r="Q178" i="15"/>
  <c r="R176" i="15"/>
  <c r="Y106" i="15"/>
  <c r="Z104" i="15"/>
  <c r="Y105" i="15"/>
  <c r="AA104" i="15"/>
  <c r="L174" i="15"/>
  <c r="L173" i="15"/>
  <c r="X52" i="15"/>
  <c r="V53" i="15"/>
  <c r="V54" i="15"/>
  <c r="W52" i="15"/>
  <c r="Z197" i="15"/>
  <c r="AA196" i="15"/>
  <c r="Z198" i="15"/>
  <c r="T112" i="15"/>
  <c r="U112" i="15" s="1"/>
  <c r="S114" i="15"/>
  <c r="S113" i="15"/>
  <c r="AY189" i="15"/>
  <c r="AZ188" i="15"/>
  <c r="AY190" i="15"/>
  <c r="Z154" i="15"/>
  <c r="AA152" i="15"/>
  <c r="Z153" i="15"/>
  <c r="AA108" i="15"/>
  <c r="Y109" i="15"/>
  <c r="Y110" i="15"/>
  <c r="Z108" i="15"/>
  <c r="AO186" i="15"/>
  <c r="AO185" i="15"/>
  <c r="U193" i="15"/>
  <c r="U194" i="15"/>
  <c r="V157" i="15"/>
  <c r="V158" i="15"/>
  <c r="W156" i="15"/>
  <c r="P122" i="15"/>
  <c r="P121" i="15"/>
  <c r="AS169" i="15"/>
  <c r="AT168" i="15"/>
  <c r="AS170" i="15"/>
  <c r="AR189" i="15"/>
  <c r="AR190" i="15"/>
  <c r="N149" i="15"/>
  <c r="N150" i="15"/>
  <c r="O148" i="15"/>
  <c r="T134" i="15"/>
  <c r="T133" i="15"/>
  <c r="U132" i="15"/>
  <c r="BA186" i="15"/>
  <c r="BA185" i="15"/>
  <c r="BB184" i="15"/>
  <c r="L201" i="15"/>
  <c r="L202" i="15"/>
  <c r="M186" i="15"/>
  <c r="M185" i="15"/>
  <c r="N184" i="15"/>
  <c r="P202" i="15"/>
  <c r="P201" i="15"/>
  <c r="W120" i="15"/>
  <c r="V122" i="15"/>
  <c r="V121" i="15"/>
  <c r="X120" i="15"/>
  <c r="S52" i="15"/>
  <c r="T52" i="15" s="1"/>
  <c r="U52" i="15" s="1"/>
  <c r="R53" i="15"/>
  <c r="R54" i="15"/>
  <c r="BB172" i="15"/>
  <c r="BA173" i="15"/>
  <c r="BA174" i="15"/>
  <c r="O25" i="15"/>
  <c r="O26" i="15"/>
  <c r="P24" i="15"/>
  <c r="Q24" i="15" s="1"/>
  <c r="X130" i="15"/>
  <c r="X129" i="15"/>
  <c r="Y128" i="15"/>
  <c r="I28" i="15"/>
  <c r="J28" i="15" s="1"/>
  <c r="K28" i="15" s="1"/>
  <c r="L28" i="15" s="1"/>
  <c r="M28" i="15" s="1"/>
  <c r="N28" i="15" s="1"/>
  <c r="H29" i="15"/>
  <c r="H30" i="15"/>
  <c r="I40" i="15"/>
  <c r="J40" i="15" s="1"/>
  <c r="K40" i="15" s="1"/>
  <c r="L40" i="15" s="1"/>
  <c r="M40" i="15" s="1"/>
  <c r="N40" i="15" s="1"/>
  <c r="H42" i="15"/>
  <c r="H41" i="15"/>
  <c r="L165" i="15"/>
  <c r="L166" i="15"/>
  <c r="M164" i="15"/>
  <c r="V38" i="15"/>
  <c r="X36" i="15"/>
  <c r="V37" i="15"/>
  <c r="W36" i="15"/>
  <c r="P90" i="15"/>
  <c r="P89" i="15"/>
  <c r="Y41" i="15"/>
  <c r="Z40" i="15"/>
  <c r="AA40" i="15"/>
  <c r="Y42" i="15"/>
  <c r="Q77" i="15"/>
  <c r="Q78" i="15"/>
  <c r="R76" i="15"/>
  <c r="Q169" i="15"/>
  <c r="Q170" i="15"/>
  <c r="R168" i="15"/>
  <c r="AX165" i="15"/>
  <c r="AX166" i="15"/>
  <c r="U182" i="15"/>
  <c r="U181" i="15"/>
  <c r="P52" i="15"/>
  <c r="Q52" i="15" s="1"/>
  <c r="O54" i="15"/>
  <c r="O53" i="15"/>
  <c r="N98" i="15"/>
  <c r="N97" i="15"/>
  <c r="O96" i="15"/>
  <c r="M169" i="15"/>
  <c r="M170" i="15"/>
  <c r="N168" i="15"/>
  <c r="X104" i="15"/>
  <c r="W104" i="15"/>
  <c r="V105" i="15"/>
  <c r="V106" i="15"/>
  <c r="U186" i="15"/>
  <c r="U185" i="15"/>
  <c r="Q12" i="15"/>
  <c r="R12" i="15" s="1"/>
  <c r="S12" i="15" s="1"/>
  <c r="T12" i="15" s="1"/>
  <c r="U12" i="15" s="1"/>
  <c r="P14" i="15"/>
  <c r="P13" i="15"/>
  <c r="L170" i="15"/>
  <c r="L169" i="15"/>
  <c r="S202" i="15"/>
  <c r="T200" i="15"/>
  <c r="S201" i="15"/>
  <c r="T142" i="15"/>
  <c r="U140" i="15"/>
  <c r="T141" i="15"/>
  <c r="H13" i="15"/>
  <c r="J12" i="15"/>
  <c r="K12" i="15" s="1"/>
  <c r="L12" i="15" s="1"/>
  <c r="M12" i="15" s="1"/>
  <c r="N12" i="15" s="1"/>
  <c r="O12" i="15" s="1"/>
  <c r="H14" i="15"/>
  <c r="AP173" i="15"/>
  <c r="AQ172" i="15"/>
  <c r="AP174" i="15"/>
  <c r="Q93" i="15"/>
  <c r="Q94" i="15"/>
  <c r="R92" i="15"/>
  <c r="R49" i="15"/>
  <c r="R50" i="15"/>
  <c r="S48" i="15"/>
  <c r="T48" i="15" s="1"/>
  <c r="U48" i="15" s="1"/>
  <c r="T154" i="15"/>
  <c r="T153" i="15"/>
  <c r="U152" i="15"/>
  <c r="N121" i="15"/>
  <c r="O120" i="15"/>
  <c r="N122" i="15"/>
  <c r="P206" i="15"/>
  <c r="P205" i="15"/>
  <c r="Q204" i="15"/>
  <c r="R204" i="15" s="1"/>
  <c r="P178" i="15"/>
  <c r="P177" i="15"/>
  <c r="Y73" i="15"/>
  <c r="Y74" i="15"/>
  <c r="AA72" i="15"/>
  <c r="Z72" i="15"/>
  <c r="Q201" i="15"/>
  <c r="Q202" i="15"/>
  <c r="R200" i="15"/>
  <c r="AS185" i="15"/>
  <c r="AS186" i="15"/>
  <c r="Y70" i="15"/>
  <c r="Y69" i="15"/>
  <c r="Z68" i="15"/>
  <c r="AA68" i="15"/>
  <c r="AX182" i="15"/>
  <c r="AX181" i="15"/>
  <c r="N118" i="15"/>
  <c r="N117" i="15"/>
  <c r="O116" i="15"/>
  <c r="AO174" i="15"/>
  <c r="AO173" i="15"/>
  <c r="I36" i="15"/>
  <c r="J36" i="15" s="1"/>
  <c r="K36" i="15" s="1"/>
  <c r="L36" i="15" s="1"/>
  <c r="M36" i="15" s="1"/>
  <c r="N36" i="15" s="1"/>
  <c r="H37" i="15"/>
  <c r="H38" i="15"/>
  <c r="L158" i="15"/>
  <c r="M156" i="15"/>
  <c r="L157" i="15"/>
  <c r="S78" i="15"/>
  <c r="T76" i="15"/>
  <c r="U76" i="15" s="1"/>
  <c r="S77" i="15"/>
  <c r="Z125" i="15"/>
  <c r="Z126" i="15"/>
  <c r="AA124" i="15"/>
  <c r="N129" i="15"/>
  <c r="N130" i="15"/>
  <c r="O128" i="15"/>
  <c r="P134" i="15"/>
  <c r="P133" i="15"/>
  <c r="X142" i="15"/>
  <c r="X141" i="15"/>
  <c r="Y140" i="15"/>
  <c r="X92" i="15"/>
  <c r="V93" i="15"/>
  <c r="W92" i="15"/>
  <c r="V94" i="15"/>
  <c r="Z44" i="15"/>
  <c r="AA44" i="15"/>
  <c r="Y45" i="15"/>
  <c r="Y46" i="15"/>
  <c r="V102" i="15"/>
  <c r="V101" i="15"/>
  <c r="X100" i="15"/>
  <c r="W100" i="15"/>
  <c r="V170" i="15"/>
  <c r="W168" i="15"/>
  <c r="V169" i="15"/>
  <c r="N176" i="15"/>
  <c r="M178" i="15"/>
  <c r="M177" i="15"/>
  <c r="Q181" i="15"/>
  <c r="Q182" i="15"/>
  <c r="R180" i="15"/>
  <c r="N102" i="15"/>
  <c r="O100" i="15"/>
  <c r="N101" i="15"/>
  <c r="T120" i="15"/>
  <c r="U120" i="15" s="1"/>
  <c r="S122" i="15"/>
  <c r="S121" i="15"/>
  <c r="AY198" i="15"/>
  <c r="AZ196" i="15"/>
  <c r="AY197" i="15"/>
  <c r="H18" i="15"/>
  <c r="J16" i="15"/>
  <c r="K16" i="15" s="1"/>
  <c r="L16" i="15" s="1"/>
  <c r="M16" i="15" s="1"/>
  <c r="N16" i="15" s="1"/>
  <c r="O16" i="15" s="1"/>
  <c r="H17" i="15"/>
  <c r="R42" i="15"/>
  <c r="R41" i="15"/>
  <c r="S40" i="15"/>
  <c r="T40" i="15" s="1"/>
  <c r="U40" i="15" s="1"/>
  <c r="O206" i="15"/>
  <c r="O205" i="15"/>
  <c r="AV186" i="15"/>
  <c r="AW184" i="15"/>
  <c r="AV185" i="15"/>
  <c r="AO169" i="15"/>
  <c r="AO170" i="15"/>
  <c r="Q166" i="15"/>
  <c r="Q165" i="15"/>
  <c r="R164" i="15"/>
  <c r="S164" i="15" s="1"/>
  <c r="AV168" i="15"/>
  <c r="AW168" i="15" s="1"/>
  <c r="AU169" i="15"/>
  <c r="AU170" i="15"/>
  <c r="P106" i="15"/>
  <c r="P105" i="15"/>
  <c r="P161" i="15"/>
  <c r="P162" i="15"/>
  <c r="AW188" i="15"/>
  <c r="AV190" i="15"/>
  <c r="AV189" i="15"/>
  <c r="X56" i="15"/>
  <c r="V57" i="15"/>
  <c r="V58" i="15"/>
  <c r="W56" i="15"/>
  <c r="Y156" i="15"/>
  <c r="X158" i="15"/>
  <c r="X157" i="15"/>
  <c r="T149" i="15"/>
  <c r="U148" i="15"/>
  <c r="T150" i="15"/>
  <c r="V110" i="15"/>
  <c r="V109" i="15"/>
  <c r="X108" i="15"/>
  <c r="W108" i="15"/>
  <c r="AX178" i="15"/>
  <c r="AX177" i="15"/>
  <c r="P181" i="15"/>
  <c r="P182" i="15"/>
  <c r="M181" i="15"/>
  <c r="N180" i="15"/>
  <c r="M182" i="15"/>
  <c r="Z60" i="15"/>
  <c r="Y62" i="15"/>
  <c r="AA60" i="15"/>
  <c r="Y61" i="15"/>
  <c r="P185" i="15"/>
  <c r="P186" i="15"/>
  <c r="L82" i="15"/>
  <c r="M80" i="15"/>
  <c r="L81" i="15"/>
  <c r="Z32" i="15"/>
  <c r="Y33" i="15"/>
  <c r="AA32" i="15"/>
  <c r="Y34" i="15"/>
  <c r="Z84" i="15"/>
  <c r="Y86" i="15"/>
  <c r="Y85" i="15"/>
  <c r="AA84" i="15"/>
  <c r="N78" i="15"/>
  <c r="O76" i="15"/>
  <c r="N77" i="15"/>
  <c r="N86" i="15"/>
  <c r="N85" i="15"/>
  <c r="O84" i="15"/>
  <c r="L97" i="15"/>
  <c r="M96" i="15"/>
  <c r="L98" i="15"/>
  <c r="X40" i="15"/>
  <c r="V41" i="15"/>
  <c r="V42" i="15"/>
  <c r="W40" i="15"/>
  <c r="L101" i="15"/>
  <c r="M100" i="15"/>
  <c r="L102" i="15"/>
  <c r="Z169" i="15"/>
  <c r="Z170" i="15"/>
  <c r="AA168" i="15"/>
  <c r="X145" i="15"/>
  <c r="Y144" i="15"/>
  <c r="X146" i="15"/>
  <c r="M108" i="15"/>
  <c r="L110" i="15"/>
  <c r="L109" i="15"/>
  <c r="N172" i="15"/>
  <c r="M174" i="15"/>
  <c r="M173" i="15"/>
  <c r="AR178" i="15"/>
  <c r="AR177" i="15"/>
  <c r="V153" i="15"/>
  <c r="W152" i="15"/>
  <c r="V154" i="15"/>
  <c r="Q138" i="15"/>
  <c r="Q137" i="15"/>
  <c r="R136" i="15"/>
  <c r="S136" i="15" s="1"/>
  <c r="AP194" i="15"/>
  <c r="AP193" i="15"/>
  <c r="AQ192" i="15"/>
  <c r="AO189" i="15"/>
  <c r="AO190" i="15"/>
  <c r="AO201" i="15"/>
  <c r="AO202" i="15"/>
  <c r="V113" i="15"/>
  <c r="X112" i="15"/>
  <c r="V114" i="15"/>
  <c r="W112" i="15"/>
  <c r="Q186" i="15"/>
  <c r="R184" i="15"/>
  <c r="Q185" i="15"/>
  <c r="BC201" i="15"/>
  <c r="BC202" i="15"/>
  <c r="AV174" i="15"/>
  <c r="AW172" i="15"/>
  <c r="AV173" i="15"/>
  <c r="L185" i="15"/>
  <c r="L186" i="15"/>
  <c r="P193" i="15"/>
  <c r="P194" i="15"/>
  <c r="Q106" i="15"/>
  <c r="Q105" i="15"/>
  <c r="R104" i="15"/>
  <c r="AU188" i="15"/>
  <c r="AT190" i="15"/>
  <c r="AT189" i="15"/>
  <c r="L194" i="15"/>
  <c r="L193" i="15"/>
  <c r="T188" i="15"/>
  <c r="S190" i="15"/>
  <c r="S189" i="15"/>
  <c r="P118" i="15"/>
  <c r="P117" i="15"/>
  <c r="BC177" i="15"/>
  <c r="BC178" i="15"/>
  <c r="W180" i="15"/>
  <c r="V182" i="15"/>
  <c r="V181" i="15"/>
  <c r="AS182" i="15"/>
  <c r="AS181" i="15"/>
  <c r="AX185" i="15"/>
  <c r="AX186" i="15"/>
  <c r="AU196" i="15"/>
  <c r="AT197" i="15"/>
  <c r="AT198" i="15"/>
  <c r="O186" i="15"/>
  <c r="O185" i="15"/>
  <c r="M124" i="15"/>
  <c r="L126" i="15"/>
  <c r="L125" i="15"/>
  <c r="M148" i="15"/>
  <c r="L149" i="15"/>
  <c r="L150" i="15"/>
  <c r="W72" i="15"/>
  <c r="V73" i="15"/>
  <c r="V74" i="15"/>
  <c r="X72" i="15"/>
  <c r="Y78" i="15"/>
  <c r="Y77" i="15"/>
  <c r="AA76" i="15"/>
  <c r="Z76" i="15"/>
  <c r="O41" i="15"/>
  <c r="O42" i="15"/>
  <c r="P40" i="15"/>
  <c r="Q40" i="15" s="1"/>
  <c r="L94" i="15"/>
  <c r="M92" i="15"/>
  <c r="L93" i="15"/>
  <c r="R26" i="15"/>
  <c r="R25" i="15"/>
  <c r="S24" i="15"/>
  <c r="T24" i="15" s="1"/>
  <c r="U24" i="15" s="1"/>
  <c r="W136" i="15"/>
  <c r="V138" i="15"/>
  <c r="V137" i="15"/>
  <c r="O45" i="15"/>
  <c r="O46" i="15"/>
  <c r="P44" i="15"/>
  <c r="Q44" i="15" s="1"/>
  <c r="V45" i="15"/>
  <c r="X44" i="15"/>
  <c r="V46" i="15"/>
  <c r="W44" i="15"/>
  <c r="Z146" i="15"/>
  <c r="Z145" i="15"/>
  <c r="AA144" i="15"/>
  <c r="R34" i="15"/>
  <c r="R33" i="15"/>
  <c r="S32" i="15"/>
  <c r="T32" i="15" s="1"/>
  <c r="U32" i="15" s="1"/>
  <c r="R84" i="15"/>
  <c r="Q86" i="15"/>
  <c r="Q85" i="15"/>
  <c r="R140" i="15"/>
  <c r="S140" i="15" s="1"/>
  <c r="Q142" i="15"/>
  <c r="Q141" i="15"/>
  <c r="N154" i="15"/>
  <c r="N153" i="15"/>
  <c r="O152" i="15"/>
  <c r="S106" i="15"/>
  <c r="S105" i="15"/>
  <c r="T104" i="15"/>
  <c r="U104" i="15" s="1"/>
  <c r="X178" i="15"/>
  <c r="Y176" i="15"/>
  <c r="X177" i="15"/>
  <c r="U160" i="15"/>
  <c r="T162" i="15"/>
  <c r="T161" i="15"/>
  <c r="AX197" i="15"/>
  <c r="AX198" i="15"/>
  <c r="Q117" i="15"/>
  <c r="Q118" i="15"/>
  <c r="R116" i="15"/>
  <c r="AW192" i="15"/>
  <c r="AV193" i="15"/>
  <c r="AV194" i="15"/>
  <c r="AO193" i="15"/>
  <c r="AO194" i="15"/>
  <c r="I68" i="15"/>
  <c r="J68" i="15" s="1"/>
  <c r="K68" i="15" s="1"/>
  <c r="L68" i="15" s="1"/>
  <c r="M68" i="15" s="1"/>
  <c r="N68" i="15" s="1"/>
  <c r="H70" i="15"/>
  <c r="H69" i="15"/>
  <c r="Z116" i="15"/>
  <c r="Y118" i="15"/>
  <c r="Y117" i="15"/>
  <c r="AA116" i="15"/>
  <c r="Y14" i="15"/>
  <c r="Y13" i="15"/>
  <c r="AA12" i="15"/>
  <c r="AP202" i="15"/>
  <c r="AP201" i="15"/>
  <c r="AQ200" i="15"/>
  <c r="H74" i="15"/>
  <c r="I72" i="15"/>
  <c r="J72" i="15" s="1"/>
  <c r="K72" i="15" s="1"/>
  <c r="L72" i="15" s="1"/>
  <c r="M72" i="15" s="1"/>
  <c r="N72" i="15" s="1"/>
  <c r="H73" i="15"/>
  <c r="P197" i="15"/>
  <c r="P198" i="15"/>
  <c r="U124" i="15"/>
  <c r="T125" i="15"/>
  <c r="T126" i="15"/>
  <c r="X116" i="15"/>
  <c r="V118" i="15"/>
  <c r="V117" i="15"/>
  <c r="W116" i="15"/>
  <c r="R108" i="15"/>
  <c r="Q110" i="15"/>
  <c r="Q109" i="15"/>
  <c r="Q157" i="15"/>
  <c r="R156" i="15"/>
  <c r="S156" i="15" s="1"/>
  <c r="Q158" i="15"/>
  <c r="P113" i="15"/>
  <c r="P114" i="15"/>
  <c r="Y184" i="15"/>
  <c r="X185" i="15"/>
  <c r="X186" i="15"/>
  <c r="Q149" i="15"/>
  <c r="Q150" i="15"/>
  <c r="R148" i="15"/>
  <c r="S148" i="15" s="1"/>
  <c r="L121" i="15"/>
  <c r="M120" i="15"/>
  <c r="L122" i="15"/>
  <c r="M128" i="15"/>
  <c r="L129" i="15"/>
  <c r="L130" i="15"/>
  <c r="O22" i="15"/>
  <c r="O21" i="15"/>
  <c r="P20" i="15"/>
  <c r="Q20" i="15" s="1"/>
  <c r="P81" i="15"/>
  <c r="P82" i="15"/>
  <c r="P36" i="15"/>
  <c r="Q36" i="15" s="1"/>
  <c r="O38" i="15"/>
  <c r="O37" i="15"/>
  <c r="W84" i="15"/>
  <c r="V85" i="15"/>
  <c r="X84" i="15"/>
  <c r="V86" i="15"/>
  <c r="X88" i="15"/>
  <c r="W88" i="15"/>
  <c r="V89" i="15"/>
  <c r="V90" i="15"/>
  <c r="N134" i="15"/>
  <c r="N133" i="15"/>
  <c r="O132" i="15"/>
  <c r="I48" i="15"/>
  <c r="J48" i="15" s="1"/>
  <c r="K48" i="15" s="1"/>
  <c r="L48" i="15" s="1"/>
  <c r="M48" i="15" s="1"/>
  <c r="N48" i="15" s="1"/>
  <c r="H50" i="15"/>
  <c r="H49" i="15"/>
  <c r="X174" i="15"/>
  <c r="Y172" i="15"/>
  <c r="X173" i="15"/>
  <c r="Z166" i="15"/>
  <c r="Z165" i="15"/>
  <c r="AA164" i="15"/>
  <c r="X48" i="15"/>
  <c r="V50" i="15"/>
  <c r="W48" i="15"/>
  <c r="V49" i="15"/>
  <c r="AY202" i="15"/>
  <c r="AZ200" i="15"/>
  <c r="AY201" i="15"/>
  <c r="R73" i="15"/>
  <c r="S72" i="15"/>
  <c r="T72" i="15" s="1"/>
  <c r="U72" i="15" s="1"/>
  <c r="R74" i="15"/>
  <c r="O58" i="15"/>
  <c r="P56" i="15"/>
  <c r="Q56" i="15" s="1"/>
  <c r="O57" i="15"/>
  <c r="Y148" i="15"/>
  <c r="X150" i="15"/>
  <c r="X149" i="15"/>
  <c r="AT177" i="15"/>
  <c r="AU176" i="15"/>
  <c r="AT178" i="15"/>
  <c r="AS189" i="15"/>
  <c r="AS190" i="15"/>
  <c r="AQ196" i="15"/>
  <c r="AP197" i="15"/>
  <c r="AP198" i="15"/>
  <c r="P158" i="15"/>
  <c r="P157" i="15"/>
  <c r="Q197" i="15"/>
  <c r="R196" i="15"/>
  <c r="Q198" i="15"/>
  <c r="R160" i="15"/>
  <c r="S160" i="15" s="1"/>
  <c r="Q161" i="15"/>
  <c r="Q162" i="15"/>
  <c r="S206" i="15"/>
  <c r="S205" i="15"/>
  <c r="T204" i="15"/>
  <c r="U204" i="15" s="1"/>
  <c r="O73" i="15"/>
  <c r="O74" i="15"/>
  <c r="P72" i="15"/>
  <c r="Q72" i="15" s="1"/>
  <c r="AR186" i="15"/>
  <c r="AR185" i="15"/>
  <c r="AX174" i="15"/>
  <c r="AX173" i="15"/>
  <c r="O202" i="15"/>
  <c r="O201" i="15"/>
  <c r="N196" i="15"/>
  <c r="M197" i="15"/>
  <c r="M198" i="15"/>
  <c r="Y192" i="15"/>
  <c r="X194" i="15"/>
  <c r="X193" i="15"/>
  <c r="O182" i="15"/>
  <c r="O181" i="15"/>
  <c r="Y122" i="15"/>
  <c r="Y121" i="15"/>
  <c r="Z120" i="15"/>
  <c r="AA120" i="15"/>
  <c r="M189" i="15"/>
  <c r="N188" i="15"/>
  <c r="M190" i="15"/>
  <c r="L177" i="15"/>
  <c r="L178" i="15"/>
  <c r="BA202" i="15"/>
  <c r="BA201" i="15"/>
  <c r="BB200" i="15"/>
  <c r="Q98" i="15"/>
  <c r="Q97" i="15"/>
  <c r="R96" i="15"/>
  <c r="AP189" i="15"/>
  <c r="AQ188" i="15"/>
  <c r="AP190" i="15"/>
  <c r="Z64" i="15"/>
  <c r="AA64" i="15"/>
  <c r="Y66" i="15"/>
  <c r="Y65" i="15"/>
  <c r="M132" i="15"/>
  <c r="L133" i="15"/>
  <c r="L134" i="15"/>
  <c r="I32" i="15"/>
  <c r="J32" i="15" s="1"/>
  <c r="K32" i="15" s="1"/>
  <c r="L32" i="15" s="1"/>
  <c r="M32" i="15" s="1"/>
  <c r="N32" i="15" s="1"/>
  <c r="H34" i="15"/>
  <c r="H33" i="15"/>
  <c r="Y81" i="15"/>
  <c r="Z80" i="15"/>
  <c r="AA80" i="15"/>
  <c r="Y82" i="15"/>
  <c r="S86" i="15"/>
  <c r="S85" i="15"/>
  <c r="T84" i="15"/>
  <c r="U84" i="15" s="1"/>
  <c r="P78" i="15"/>
  <c r="P77" i="15"/>
  <c r="V126" i="15"/>
  <c r="W124" i="15"/>
  <c r="V125" i="15"/>
  <c r="Z137" i="15"/>
  <c r="AA136" i="15"/>
  <c r="Z138" i="15"/>
  <c r="Q125" i="15"/>
  <c r="R124" i="15"/>
  <c r="S124" i="15" s="1"/>
  <c r="Q126" i="15"/>
  <c r="R80" i="15"/>
  <c r="Q81" i="15"/>
  <c r="Q82" i="15"/>
  <c r="P141" i="15"/>
  <c r="P142" i="15"/>
  <c r="V98" i="15"/>
  <c r="X96" i="15"/>
  <c r="W96" i="15"/>
  <c r="V97" i="15"/>
  <c r="U174" i="15"/>
  <c r="U173" i="15"/>
  <c r="P145" i="15"/>
  <c r="P146" i="15"/>
  <c r="W176" i="15"/>
  <c r="V178" i="15"/>
  <c r="V177" i="15"/>
  <c r="Z149" i="15"/>
  <c r="AA148" i="15"/>
  <c r="Z150" i="15"/>
  <c r="N146" i="15"/>
  <c r="O144" i="15"/>
  <c r="N145" i="15"/>
  <c r="BB180" i="15"/>
  <c r="BA182" i="15"/>
  <c r="BA181" i="15"/>
  <c r="AA156" i="15"/>
  <c r="Z157" i="15"/>
  <c r="Z158" i="15"/>
  <c r="S186" i="15"/>
  <c r="T184" i="15"/>
  <c r="S185" i="15"/>
  <c r="O197" i="15"/>
  <c r="O198" i="15"/>
  <c r="R144" i="15"/>
  <c r="S144" i="15" s="1"/>
  <c r="Q146" i="15"/>
  <c r="Q145" i="15"/>
  <c r="AQ168" i="15"/>
  <c r="AP169" i="15"/>
  <c r="AP170" i="15"/>
  <c r="AO197" i="15"/>
  <c r="AO198" i="15"/>
  <c r="Z185" i="15"/>
  <c r="Z186" i="15"/>
  <c r="AA184" i="15"/>
  <c r="Q194" i="15"/>
  <c r="R192" i="15"/>
  <c r="Q193" i="15"/>
  <c r="Z177" i="15"/>
  <c r="AA176" i="15"/>
  <c r="Z178" i="15"/>
  <c r="AR181" i="15"/>
  <c r="AR182" i="15"/>
  <c r="X60" i="15"/>
  <c r="W60" i="15"/>
  <c r="V62" i="15"/>
  <c r="V61" i="15"/>
  <c r="S118" i="15"/>
  <c r="S117" i="15"/>
  <c r="T116" i="15"/>
  <c r="U116" i="15" s="1"/>
  <c r="AU172" i="15"/>
  <c r="AT173" i="15"/>
  <c r="AT174" i="15"/>
  <c r="T180" i="15"/>
  <c r="S181" i="15"/>
  <c r="S182" i="15"/>
  <c r="AR197" i="15"/>
  <c r="AR198" i="15"/>
  <c r="L189" i="15"/>
  <c r="L190" i="15"/>
  <c r="O189" i="15"/>
  <c r="O190" i="15"/>
  <c r="T130" i="15"/>
  <c r="U128" i="15"/>
  <c r="T129" i="15"/>
  <c r="M116" i="15"/>
  <c r="L118" i="15"/>
  <c r="L117" i="15"/>
  <c r="AG71" i="15"/>
  <c r="AT164" i="18"/>
  <c r="AQ132" i="18"/>
  <c r="BC136" i="18"/>
  <c r="AT104" i="18"/>
  <c r="AU104" i="18" s="1"/>
  <c r="AT64" i="18"/>
  <c r="AU64" i="18" s="1"/>
  <c r="AV64" i="18" s="1"/>
  <c r="AR116" i="18"/>
  <c r="AT120" i="18"/>
  <c r="AU120" i="18" s="1"/>
  <c r="AP28" i="18"/>
  <c r="AT88" i="18"/>
  <c r="AU88" i="18" s="1"/>
  <c r="AP76" i="18"/>
  <c r="AZ116" i="18"/>
  <c r="BA116" i="18" s="1"/>
  <c r="AR88" i="18"/>
  <c r="AR20" i="18"/>
  <c r="AQ136" i="18"/>
  <c r="BC88" i="18"/>
  <c r="AR92" i="18"/>
  <c r="AR40" i="18"/>
  <c r="AT92" i="18"/>
  <c r="AU92" i="18" s="1"/>
  <c r="BB40" i="18"/>
  <c r="BC40" i="18" s="1"/>
  <c r="BD40" i="18" s="1"/>
  <c r="BE40" i="18" s="1"/>
  <c r="BF40" i="18" s="1"/>
  <c r="BG40" i="18" s="1"/>
  <c r="AX48" i="18"/>
  <c r="AY48" i="18" s="1"/>
  <c r="AZ48" i="18" s="1"/>
  <c r="AT96" i="18"/>
  <c r="AU96" i="18" s="1"/>
  <c r="AR108" i="18"/>
  <c r="AR52" i="18"/>
  <c r="BC160" i="18"/>
  <c r="AX68" i="18"/>
  <c r="AY68" i="18" s="1"/>
  <c r="AZ68" i="18" s="1"/>
  <c r="AP128" i="18"/>
  <c r="BC148" i="18"/>
  <c r="AR64" i="18"/>
  <c r="AZ120" i="18"/>
  <c r="BA120" i="18" s="1"/>
  <c r="AX36" i="18"/>
  <c r="AY36" i="18" s="1"/>
  <c r="AZ36" i="18" s="1"/>
  <c r="AZ144" i="18"/>
  <c r="BA144" i="18" s="1"/>
  <c r="AV152" i="18"/>
  <c r="AW152" i="18" s="1"/>
  <c r="BC104" i="18"/>
  <c r="AX28" i="18"/>
  <c r="AY28" i="18" s="1"/>
  <c r="AZ28" i="18" s="1"/>
  <c r="AX32" i="18"/>
  <c r="AY32" i="18" s="1"/>
  <c r="AZ32" i="18" s="1"/>
  <c r="AZ76" i="18"/>
  <c r="BA76" i="18" s="1"/>
  <c r="AR100" i="18"/>
  <c r="AZ136" i="18"/>
  <c r="BA136" i="18" s="1"/>
  <c r="AW96" i="18"/>
  <c r="BC100" i="18"/>
  <c r="AR56" i="18"/>
  <c r="AT152" i="18"/>
  <c r="AV156" i="18"/>
  <c r="AW156" i="18" s="1"/>
  <c r="AP92" i="18"/>
  <c r="BB68" i="18"/>
  <c r="BC68" i="18" s="1"/>
  <c r="BD68" i="18" s="1"/>
  <c r="BE68" i="18" s="1"/>
  <c r="BF68" i="18" s="1"/>
  <c r="BG68" i="18" s="1"/>
  <c r="AT124" i="18"/>
  <c r="AU124" i="18" s="1"/>
  <c r="AQ152" i="18"/>
  <c r="BC112" i="18"/>
  <c r="AW120" i="18"/>
  <c r="AT128" i="18"/>
  <c r="AU128" i="18" s="1"/>
  <c r="BA12" i="18"/>
  <c r="BB12" i="18" s="1"/>
  <c r="BC12" i="18" s="1"/>
  <c r="BD12" i="18" s="1"/>
  <c r="BE12" i="18" s="1"/>
  <c r="BF12" i="18" s="1"/>
  <c r="AT20" i="18"/>
  <c r="AU20" i="18" s="1"/>
  <c r="AV20" i="18" s="1"/>
  <c r="AR84" i="18"/>
  <c r="AW88" i="18"/>
  <c r="AW92" i="18"/>
  <c r="AX40" i="18"/>
  <c r="AY40" i="18" s="1"/>
  <c r="AZ40" i="18" s="1"/>
  <c r="AW100" i="18"/>
  <c r="BC132" i="18"/>
  <c r="AX60" i="18"/>
  <c r="AY60" i="18" s="1"/>
  <c r="AZ60" i="18" s="1"/>
  <c r="AZ104" i="18"/>
  <c r="BA104" i="18" s="1"/>
  <c r="AT156" i="18"/>
  <c r="AP104" i="18"/>
  <c r="AT60" i="18"/>
  <c r="AU60" i="18" s="1"/>
  <c r="AV60" i="18" s="1"/>
  <c r="AP96" i="18"/>
  <c r="AP16" i="18"/>
  <c r="BC128" i="18"/>
  <c r="AP108" i="18"/>
  <c r="AT116" i="18"/>
  <c r="AU116" i="18" s="1"/>
  <c r="AR76" i="18"/>
  <c r="BB24" i="18"/>
  <c r="BC24" i="18" s="1"/>
  <c r="BD24" i="18" s="1"/>
  <c r="BE24" i="18" s="1"/>
  <c r="BF24" i="18" s="1"/>
  <c r="BG24" i="18" s="1"/>
  <c r="AT24" i="18"/>
  <c r="AU24" i="18" s="1"/>
  <c r="AV24" i="18" s="1"/>
  <c r="AT132" i="18"/>
  <c r="AP80" i="18"/>
  <c r="BC96" i="18"/>
  <c r="AT40" i="18"/>
  <c r="AU40" i="18" s="1"/>
  <c r="AV40" i="18" s="1"/>
  <c r="AZ100" i="18"/>
  <c r="BA100" i="18" s="1"/>
  <c r="AR104" i="18"/>
  <c r="BC140" i="18"/>
  <c r="AQ160" i="18"/>
  <c r="AP56" i="18"/>
  <c r="AZ112" i="18"/>
  <c r="BA112" i="18" s="1"/>
  <c r="AX64" i="18"/>
  <c r="AY64" i="18" s="1"/>
  <c r="AZ64" i="18" s="1"/>
  <c r="AW124" i="18"/>
  <c r="AX72" i="18"/>
  <c r="AY72" i="18" s="1"/>
  <c r="AZ72" i="18" s="1"/>
  <c r="AV164" i="18"/>
  <c r="AW164" i="18" s="1"/>
  <c r="AR16" i="18"/>
  <c r="AS16" i="18" s="1"/>
  <c r="AT16" i="18" s="1"/>
  <c r="AU16" i="18" s="1"/>
  <c r="AV16" i="18" s="1"/>
  <c r="AW16" i="18" s="1"/>
  <c r="AX16" i="18" s="1"/>
  <c r="AZ124" i="18"/>
  <c r="BA124" i="18" s="1"/>
  <c r="AR68" i="18"/>
  <c r="BC84" i="18"/>
  <c r="AR28" i="18"/>
  <c r="AR36" i="18"/>
  <c r="AT80" i="18"/>
  <c r="AU80" i="18" s="1"/>
  <c r="AT32" i="18"/>
  <c r="AU32" i="18" s="1"/>
  <c r="AV32" i="18" s="1"/>
  <c r="BC92" i="18"/>
  <c r="AR44" i="18"/>
  <c r="AP84" i="18"/>
  <c r="AZ148" i="18"/>
  <c r="BA148" i="18" s="1"/>
  <c r="AZ152" i="18"/>
  <c r="BA152" i="18" s="1"/>
  <c r="BC156" i="18"/>
  <c r="AR120" i="18"/>
  <c r="AW112" i="18"/>
  <c r="AT100" i="18"/>
  <c r="AU100" i="18" s="1"/>
  <c r="BC124" i="18"/>
  <c r="AP20" i="18"/>
  <c r="BC80" i="18"/>
  <c r="AZ80" i="18"/>
  <c r="BA80" i="18" s="1"/>
  <c r="AP36" i="18"/>
  <c r="BB44" i="18"/>
  <c r="BC44" i="18" s="1"/>
  <c r="BD44" i="18" s="1"/>
  <c r="BE44" i="18" s="1"/>
  <c r="BF44" i="18" s="1"/>
  <c r="BG44" i="18" s="1"/>
  <c r="AT84" i="18"/>
  <c r="AU84" i="18" s="1"/>
  <c r="BC144" i="18"/>
  <c r="AP88" i="18"/>
  <c r="AW116" i="18"/>
  <c r="BC108" i="18"/>
  <c r="AX56" i="18"/>
  <c r="AY56" i="18" s="1"/>
  <c r="AZ56" i="18" s="1"/>
  <c r="AP116" i="18"/>
  <c r="AV148" i="18"/>
  <c r="AW148" i="18" s="1"/>
  <c r="BB72" i="18"/>
  <c r="BC72" i="18" s="1"/>
  <c r="BD72" i="18" s="1"/>
  <c r="BE72" i="18" s="1"/>
  <c r="BF72" i="18" s="1"/>
  <c r="BG72" i="18" s="1"/>
  <c r="AW80" i="18"/>
  <c r="BB36" i="18"/>
  <c r="BC36" i="18" s="1"/>
  <c r="BD36" i="18" s="1"/>
  <c r="BE36" i="18" s="1"/>
  <c r="BF36" i="18" s="1"/>
  <c r="BG36" i="18" s="1"/>
  <c r="AR96" i="18"/>
  <c r="AT140" i="18"/>
  <c r="AT76" i="18"/>
  <c r="AU76" i="18" s="1"/>
  <c r="AP40" i="18"/>
  <c r="AQ140" i="18"/>
  <c r="AT144" i="18"/>
  <c r="AT52" i="18"/>
  <c r="AU52" i="18" s="1"/>
  <c r="AV52" i="18" s="1"/>
  <c r="AT48" i="18"/>
  <c r="AU48" i="18" s="1"/>
  <c r="AV48" i="18" s="1"/>
  <c r="AT108" i="18"/>
  <c r="AU108" i="18" s="1"/>
  <c r="AZ156" i="18"/>
  <c r="BA156" i="18" s="1"/>
  <c r="BB60" i="18"/>
  <c r="BC60" i="18" s="1"/>
  <c r="BD60" i="18" s="1"/>
  <c r="BE60" i="18" s="1"/>
  <c r="BF60" i="18" s="1"/>
  <c r="BG60" i="18" s="1"/>
  <c r="AP68" i="18"/>
  <c r="AP64" i="18"/>
  <c r="AP8" i="18"/>
  <c r="AQ8" i="18" s="1"/>
  <c r="AR8" i="18" s="1"/>
  <c r="AS8" i="18" s="1"/>
  <c r="AT8" i="18" s="1"/>
  <c r="AU8" i="18" s="1"/>
  <c r="AV8" i="18" s="1"/>
  <c r="AW8" i="18" s="1"/>
  <c r="AX8" i="18" s="1"/>
  <c r="AY8" i="18" s="1"/>
  <c r="AZ8" i="18" s="1"/>
  <c r="BA8" i="18" s="1"/>
  <c r="BB8" i="18" s="1"/>
  <c r="BC8" i="18" s="1"/>
  <c r="BD8" i="18" s="1"/>
  <c r="BE8" i="18" s="1"/>
  <c r="BF8" i="18" s="1"/>
  <c r="BG8" i="18" s="1"/>
  <c r="AP124" i="18"/>
  <c r="AR80" i="18"/>
  <c r="AX20" i="18"/>
  <c r="AY20" i="18" s="1"/>
  <c r="AZ20" i="18" s="1"/>
  <c r="BB32" i="18"/>
  <c r="BC32" i="18" s="1"/>
  <c r="BD32" i="18" s="1"/>
  <c r="BE32" i="18" s="1"/>
  <c r="BF32" i="18" s="1"/>
  <c r="BG32" i="18" s="1"/>
  <c r="AT136" i="18"/>
  <c r="AR32" i="18"/>
  <c r="BB48" i="18"/>
  <c r="BC48" i="18" s="1"/>
  <c r="BD48" i="18" s="1"/>
  <c r="BE48" i="18" s="1"/>
  <c r="BF48" i="18" s="1"/>
  <c r="BG48" i="18" s="1"/>
  <c r="AV144" i="18"/>
  <c r="AW144" i="18" s="1"/>
  <c r="AQ148" i="18"/>
  <c r="AQ144" i="18"/>
  <c r="AW108" i="18"/>
  <c r="AR60" i="18"/>
  <c r="AP60" i="18"/>
  <c r="AR12" i="18"/>
  <c r="AS12" i="18" s="1"/>
  <c r="AT12" i="18" s="1"/>
  <c r="AU12" i="18" s="1"/>
  <c r="AV12" i="18" s="1"/>
  <c r="AW12" i="18" s="1"/>
  <c r="AX12" i="18" s="1"/>
  <c r="BC120" i="18"/>
  <c r="AV160" i="18"/>
  <c r="AW160" i="18" s="1"/>
  <c r="AX24" i="18"/>
  <c r="AY24" i="18" s="1"/>
  <c r="AZ24" i="18" s="1"/>
  <c r="AW76" i="18"/>
  <c r="BC76" i="18"/>
  <c r="AT36" i="18"/>
  <c r="AU36" i="18" s="1"/>
  <c r="AV36" i="18" s="1"/>
  <c r="AP32" i="18"/>
  <c r="AZ92" i="18"/>
  <c r="BA92" i="18" s="1"/>
  <c r="AZ132" i="18"/>
  <c r="BA132" i="18" s="1"/>
  <c r="AT44" i="18"/>
  <c r="AU44" i="18" s="1"/>
  <c r="AV44" i="18" s="1"/>
  <c r="BC152" i="18"/>
  <c r="AT160" i="18"/>
  <c r="BC116" i="18"/>
  <c r="AT148" i="18"/>
  <c r="AZ160" i="18"/>
  <c r="BA160" i="18" s="1"/>
  <c r="AP100" i="18"/>
  <c r="AR112" i="18"/>
  <c r="AT56" i="18"/>
  <c r="AU56" i="18" s="1"/>
  <c r="AV56" i="18" s="1"/>
  <c r="AT112" i="18"/>
  <c r="AU112" i="18" s="1"/>
  <c r="AR128" i="18"/>
  <c r="AP112" i="18"/>
  <c r="AT72" i="18"/>
  <c r="AU72" i="18" s="1"/>
  <c r="AV72" i="18" s="1"/>
  <c r="AT68" i="18"/>
  <c r="AU68" i="18" s="1"/>
  <c r="AV68" i="18" s="1"/>
  <c r="BB20" i="18"/>
  <c r="BC20" i="18" s="1"/>
  <c r="BD20" i="18" s="1"/>
  <c r="BE20" i="18" s="1"/>
  <c r="BF20" i="18" s="1"/>
  <c r="BG20" i="18" s="1"/>
  <c r="BB28" i="18"/>
  <c r="BC28" i="18" s="1"/>
  <c r="BD28" i="18" s="1"/>
  <c r="BE28" i="18" s="1"/>
  <c r="BF28" i="18" s="1"/>
  <c r="BG28" i="18" s="1"/>
  <c r="AT28" i="18"/>
  <c r="AU28" i="18" s="1"/>
  <c r="AV28" i="18" s="1"/>
  <c r="AZ84" i="18"/>
  <c r="BA84" i="18" s="1"/>
  <c r="AZ140" i="18"/>
  <c r="BA140" i="18" s="1"/>
  <c r="AX52" i="18"/>
  <c r="AY52" i="18" s="1"/>
  <c r="AZ52" i="18" s="1"/>
  <c r="AV136" i="18"/>
  <c r="AW136" i="18" s="1"/>
  <c r="AQ156" i="18"/>
  <c r="AR48" i="18"/>
  <c r="AZ108" i="18"/>
  <c r="BA108" i="18" s="1"/>
  <c r="AP48" i="18"/>
  <c r="BB64" i="18"/>
  <c r="BC64" i="18" s="1"/>
  <c r="BD64" i="18" s="1"/>
  <c r="BE64" i="18" s="1"/>
  <c r="BF64" i="18" s="1"/>
  <c r="BG64" i="18" s="1"/>
  <c r="AP12" i="18"/>
  <c r="AP120" i="18"/>
  <c r="AR124" i="18"/>
  <c r="AR24" i="18"/>
  <c r="AP24" i="18"/>
  <c r="AW84" i="18"/>
  <c r="AZ88" i="18"/>
  <c r="BA88" i="18" s="1"/>
  <c r="AX44" i="18"/>
  <c r="AY44" i="18" s="1"/>
  <c r="AZ44" i="18" s="1"/>
  <c r="AV132" i="18"/>
  <c r="AW132" i="18" s="1"/>
  <c r="AV140" i="18"/>
  <c r="AW140" i="18" s="1"/>
  <c r="AP44" i="18"/>
  <c r="AW104" i="18"/>
  <c r="BB52" i="18"/>
  <c r="BC52" i="18" s="1"/>
  <c r="BD52" i="18" s="1"/>
  <c r="BE52" i="18" s="1"/>
  <c r="BF52" i="18" s="1"/>
  <c r="BG52" i="18" s="1"/>
  <c r="AZ96" i="18"/>
  <c r="BA96" i="18" s="1"/>
  <c r="AP52" i="18"/>
  <c r="AZ128" i="18"/>
  <c r="BA128" i="18" s="1"/>
  <c r="BA16" i="18"/>
  <c r="BB16" i="18" s="1"/>
  <c r="BC16" i="18" s="1"/>
  <c r="BD16" i="18" s="1"/>
  <c r="BE16" i="18" s="1"/>
  <c r="BF16" i="18" s="1"/>
  <c r="AW128" i="18"/>
  <c r="BB56" i="18"/>
  <c r="BC56" i="18" s="1"/>
  <c r="BD56" i="18" s="1"/>
  <c r="BE56" i="18" s="1"/>
  <c r="BF56" i="18" s="1"/>
  <c r="BG56" i="18" s="1"/>
  <c r="AG77" i="15"/>
  <c r="AI77" i="15"/>
  <c r="AG87" i="15"/>
  <c r="AI79" i="15"/>
  <c r="AG35" i="15"/>
  <c r="AI49" i="15"/>
  <c r="AI41" i="15"/>
  <c r="AI83" i="15"/>
  <c r="AI55" i="15"/>
  <c r="AI69" i="15"/>
  <c r="AG41" i="15"/>
  <c r="AI63" i="15"/>
  <c r="AG61" i="15"/>
  <c r="AG37" i="15"/>
  <c r="AG39" i="15"/>
  <c r="AI31" i="15"/>
  <c r="AG69" i="15"/>
  <c r="AG63" i="15"/>
  <c r="AI47" i="15"/>
  <c r="AI73" i="15"/>
  <c r="AG45" i="15"/>
  <c r="AG49" i="15"/>
  <c r="AI87" i="15"/>
  <c r="AG29" i="15"/>
  <c r="AI61" i="15"/>
  <c r="AI39" i="15"/>
  <c r="AG53" i="15"/>
  <c r="AG81" i="15"/>
  <c r="AI29" i="15"/>
  <c r="AD89" i="15"/>
  <c r="AG31" i="15"/>
  <c r="AI85" i="15"/>
  <c r="AG73" i="15"/>
  <c r="AG59" i="15"/>
  <c r="AG67" i="15"/>
  <c r="AF89" i="15"/>
  <c r="AJ89" i="15"/>
  <c r="AI27" i="15"/>
  <c r="AG85" i="15"/>
  <c r="AI57" i="15"/>
  <c r="AG27" i="15"/>
  <c r="AE89" i="15"/>
  <c r="AI45" i="15"/>
  <c r="AI43" i="15"/>
  <c r="AG33" i="15"/>
  <c r="AI51" i="15"/>
  <c r="AI71" i="15"/>
  <c r="AL89" i="15"/>
  <c r="AG47" i="15"/>
  <c r="AK89" i="15"/>
  <c r="AG79" i="15"/>
  <c r="AG83" i="15"/>
  <c r="AI53" i="15"/>
  <c r="AG55" i="15"/>
  <c r="AG43" i="15"/>
  <c r="AI75" i="15"/>
  <c r="AG57" i="15"/>
  <c r="AI35" i="15"/>
  <c r="AI59" i="15"/>
  <c r="AG75" i="15"/>
  <c r="AI37" i="15"/>
  <c r="AP8" i="15"/>
  <c r="AQ8" i="15" s="1"/>
  <c r="AR8" i="15" s="1"/>
  <c r="AS8" i="15" s="1"/>
  <c r="AT8" i="15" s="1"/>
  <c r="AU8" i="15" s="1"/>
  <c r="AV8" i="15" s="1"/>
  <c r="AW8" i="15" s="1"/>
  <c r="AX8" i="15" s="1"/>
  <c r="AO9" i="15"/>
  <c r="AO10" i="15"/>
  <c r="AI81" i="15"/>
  <c r="AG51" i="15"/>
  <c r="AG65" i="15"/>
  <c r="AI67" i="15"/>
  <c r="AI33" i="15"/>
  <c r="AI65" i="15"/>
  <c r="BB130" i="15"/>
  <c r="BC128" i="15"/>
  <c r="BB129" i="15"/>
  <c r="BB126" i="15"/>
  <c r="BB125" i="15"/>
  <c r="BC124" i="15"/>
  <c r="AW73" i="15"/>
  <c r="AX72" i="15"/>
  <c r="AY72" i="15" s="1"/>
  <c r="AZ72" i="15" s="1"/>
  <c r="AW74" i="15"/>
  <c r="AR166" i="15"/>
  <c r="AR165" i="15"/>
  <c r="AV129" i="15"/>
  <c r="AW128" i="15"/>
  <c r="AV130" i="15"/>
  <c r="AS129" i="15"/>
  <c r="AS130" i="15"/>
  <c r="AT128" i="15"/>
  <c r="AU128" i="15" s="1"/>
  <c r="AO70" i="15"/>
  <c r="AO69" i="15"/>
  <c r="AP68" i="15"/>
  <c r="AY17" i="15"/>
  <c r="AY18" i="15"/>
  <c r="BA16" i="15"/>
  <c r="BB16" i="15" s="1"/>
  <c r="BC16" i="15" s="1"/>
  <c r="BD16" i="15" s="1"/>
  <c r="BE16" i="15" s="1"/>
  <c r="BF16" i="15" s="1"/>
  <c r="AP72" i="15"/>
  <c r="AO73" i="15"/>
  <c r="AO74" i="15"/>
  <c r="AS166" i="15"/>
  <c r="AS165" i="15"/>
  <c r="AT164" i="15"/>
  <c r="AQ129" i="15"/>
  <c r="AR128" i="15"/>
  <c r="AQ130" i="15"/>
  <c r="BA70" i="15"/>
  <c r="BB68" i="15"/>
  <c r="BC68" i="15" s="1"/>
  <c r="BD68" i="15" s="1"/>
  <c r="BE68" i="15" s="1"/>
  <c r="BF68" i="15" s="1"/>
  <c r="BG68" i="15" s="1"/>
  <c r="BA69" i="15"/>
  <c r="AX129" i="15"/>
  <c r="AX130" i="15"/>
  <c r="AX68" i="15"/>
  <c r="AY68" i="15" s="1"/>
  <c r="AZ68" i="15" s="1"/>
  <c r="AW69" i="15"/>
  <c r="AW70" i="15"/>
  <c r="AR124" i="15"/>
  <c r="AQ126" i="15"/>
  <c r="AQ125" i="15"/>
  <c r="AR72" i="15"/>
  <c r="AQ73" i="15"/>
  <c r="AQ74" i="15"/>
  <c r="AV164" i="15"/>
  <c r="AW164" i="15" s="1"/>
  <c r="AU166" i="15"/>
  <c r="AU165" i="15"/>
  <c r="AS70" i="15"/>
  <c r="AS69" i="15"/>
  <c r="AT68" i="15"/>
  <c r="AU68" i="15" s="1"/>
  <c r="AV68" i="15" s="1"/>
  <c r="AQ70" i="15"/>
  <c r="AQ69" i="15"/>
  <c r="AR68" i="15"/>
  <c r="AO129" i="15"/>
  <c r="AP128" i="15"/>
  <c r="AO130" i="15"/>
  <c r="BA74" i="15"/>
  <c r="BA73" i="15"/>
  <c r="BB72" i="15"/>
  <c r="BC72" i="15" s="1"/>
  <c r="BD72" i="15" s="1"/>
  <c r="BE72" i="15" s="1"/>
  <c r="BF72" i="15" s="1"/>
  <c r="BG72" i="15" s="1"/>
  <c r="AT124" i="15"/>
  <c r="AU124" i="15" s="1"/>
  <c r="AS126" i="15"/>
  <c r="AS125" i="15"/>
  <c r="AT16" i="15"/>
  <c r="AU16" i="15" s="1"/>
  <c r="AV16" i="15" s="1"/>
  <c r="AW16" i="15" s="1"/>
  <c r="AX16" i="15" s="1"/>
  <c r="AO126" i="15"/>
  <c r="AP124" i="15"/>
  <c r="AO125" i="15"/>
  <c r="AT72" i="15"/>
  <c r="AU72" i="15" s="1"/>
  <c r="AV72" i="15" s="1"/>
  <c r="AS74" i="15"/>
  <c r="AS73" i="15"/>
  <c r="AV126" i="15"/>
  <c r="AV125" i="15"/>
  <c r="AW124" i="15"/>
  <c r="BA12" i="15"/>
  <c r="BB12" i="15" s="1"/>
  <c r="BC12" i="15" s="1"/>
  <c r="BD12" i="15" s="1"/>
  <c r="BE12" i="15" s="1"/>
  <c r="BF12" i="15" s="1"/>
  <c r="AY14" i="15"/>
  <c r="AY13" i="15"/>
  <c r="AX126" i="15"/>
  <c r="AX125" i="15"/>
  <c r="V12" i="15" l="1"/>
  <c r="X12" i="15" s="1"/>
  <c r="Z12" i="15" s="1"/>
  <c r="W12" i="15"/>
  <c r="V16" i="15"/>
  <c r="X16" i="15" s="1"/>
  <c r="Z16" i="15" s="1"/>
  <c r="W16" i="15"/>
  <c r="W8" i="15"/>
  <c r="V8" i="15"/>
  <c r="X8" i="15" s="1"/>
  <c r="AH71" i="15"/>
  <c r="AH87" i="15"/>
  <c r="AH33" i="15"/>
  <c r="AH79" i="15"/>
  <c r="AH37" i="15"/>
  <c r="AH77" i="15"/>
  <c r="AH83" i="15"/>
  <c r="AH35" i="15"/>
  <c r="AH49" i="15"/>
  <c r="AH41" i="15"/>
  <c r="AH61" i="15"/>
  <c r="AH39" i="15"/>
  <c r="AH67" i="15"/>
  <c r="AH45" i="15"/>
  <c r="AH55" i="15"/>
  <c r="AH65" i="15"/>
  <c r="AH51" i="15"/>
  <c r="AH63" i="15"/>
  <c r="AH85" i="15"/>
  <c r="AH31" i="15"/>
  <c r="AH69" i="15"/>
  <c r="AH81" i="15"/>
  <c r="AH73" i="15"/>
  <c r="AI89" i="15"/>
  <c r="AH27" i="15"/>
  <c r="AH59" i="15"/>
  <c r="AH95" i="15"/>
  <c r="AH91" i="15"/>
  <c r="AH75" i="15"/>
  <c r="AH43" i="15"/>
  <c r="AH53" i="15"/>
  <c r="AH93" i="15"/>
  <c r="AH57" i="15"/>
  <c r="AH29" i="15"/>
  <c r="AG89" i="15"/>
  <c r="AH47" i="15"/>
  <c r="AY8" i="15"/>
  <c r="AZ8" i="15" s="1"/>
  <c r="BA8" i="15" s="1"/>
  <c r="BB8" i="15" s="1"/>
  <c r="BC8" i="15" s="1"/>
  <c r="BD8" i="15" s="1"/>
  <c r="BE8" i="15" s="1"/>
  <c r="BF8" i="15" s="1"/>
  <c r="BG8" i="15" s="1"/>
  <c r="Z8" i="15" l="1"/>
  <c r="Y8" i="15"/>
  <c r="AA8" i="15" s="1"/>
  <c r="AH89" i="15"/>
</calcChain>
</file>

<file path=xl/sharedStrings.xml><?xml version="1.0" encoding="utf-8"?>
<sst xmlns="http://schemas.openxmlformats.org/spreadsheetml/2006/main" count="6531" uniqueCount="1431">
  <si>
    <t>דירה</t>
  </si>
  <si>
    <t>טיפוס</t>
  </si>
  <si>
    <t>4H</t>
  </si>
  <si>
    <t>4G</t>
  </si>
  <si>
    <t>2C*</t>
  </si>
  <si>
    <t>PH5</t>
  </si>
  <si>
    <t>2A</t>
  </si>
  <si>
    <t>2B</t>
  </si>
  <si>
    <t>2C</t>
  </si>
  <si>
    <t>3A</t>
  </si>
  <si>
    <t>2D</t>
  </si>
  <si>
    <t>2E</t>
  </si>
  <si>
    <t>2F</t>
  </si>
  <si>
    <t>4G*</t>
  </si>
  <si>
    <t>4A</t>
  </si>
  <si>
    <t>2G</t>
  </si>
  <si>
    <t>4B</t>
  </si>
  <si>
    <t>4H*</t>
  </si>
  <si>
    <t>3C</t>
  </si>
  <si>
    <t>3B</t>
  </si>
  <si>
    <t>3E</t>
  </si>
  <si>
    <t>3D</t>
  </si>
  <si>
    <t>3G</t>
  </si>
  <si>
    <t>3F</t>
  </si>
  <si>
    <t>5B</t>
  </si>
  <si>
    <t>5A</t>
  </si>
  <si>
    <t>4C</t>
  </si>
  <si>
    <t>4D</t>
  </si>
  <si>
    <t>4E</t>
  </si>
  <si>
    <t>4F</t>
  </si>
  <si>
    <t>5AP</t>
  </si>
  <si>
    <t>5BP</t>
  </si>
  <si>
    <t>PH1</t>
  </si>
  <si>
    <t>PH2</t>
  </si>
  <si>
    <t>PH3</t>
  </si>
  <si>
    <t>PH4</t>
  </si>
  <si>
    <t>קומת קרקע</t>
  </si>
  <si>
    <t>קומת גלריה</t>
  </si>
  <si>
    <t>מרתף -1</t>
  </si>
  <si>
    <t>מרתף -2</t>
  </si>
  <si>
    <t>מרתף -3</t>
  </si>
  <si>
    <t>מרתף -4</t>
  </si>
  <si>
    <t>מרתף -5</t>
  </si>
  <si>
    <t>מחסני מסחר</t>
  </si>
  <si>
    <t>ח. אצירת אשפה מסחר</t>
  </si>
  <si>
    <t>מסחר</t>
  </si>
  <si>
    <t>חדר כושר</t>
  </si>
  <si>
    <t>ספא</t>
  </si>
  <si>
    <t>בריכת פעוטות</t>
  </si>
  <si>
    <t>ח. עזרה ראשונה</t>
  </si>
  <si>
    <t>פרגולה מעל בריכה</t>
  </si>
  <si>
    <t>מגדל דרומי</t>
  </si>
  <si>
    <t>מגדל צפוני</t>
  </si>
  <si>
    <t>קומה</t>
  </si>
  <si>
    <t>מגדל</t>
  </si>
  <si>
    <t>דרומי</t>
  </si>
  <si>
    <t>צפוני</t>
  </si>
  <si>
    <t>3 דירות בקומה</t>
  </si>
  <si>
    <t>7 דירות בקומה</t>
  </si>
  <si>
    <t>8 דירות בקומה</t>
  </si>
  <si>
    <t>10 דירות בקומה</t>
  </si>
  <si>
    <t>5 דירות בקומה</t>
  </si>
  <si>
    <t>2 דירות בקומה</t>
  </si>
  <si>
    <t>דירה בקומה</t>
  </si>
  <si>
    <t>סה"כ</t>
  </si>
  <si>
    <t># צל</t>
  </si>
  <si>
    <t>A-S</t>
  </si>
  <si>
    <t>B-S</t>
  </si>
  <si>
    <t>C-S</t>
  </si>
  <si>
    <t>D-S</t>
  </si>
  <si>
    <t>כבאים</t>
  </si>
  <si>
    <t>E-S</t>
  </si>
  <si>
    <t>F-S</t>
  </si>
  <si>
    <t>G-S</t>
  </si>
  <si>
    <t>H-S</t>
  </si>
  <si>
    <t>A-N</t>
  </si>
  <si>
    <t>B-N</t>
  </si>
  <si>
    <t>C-N</t>
  </si>
  <si>
    <t>D-N</t>
  </si>
  <si>
    <t>E-N</t>
  </si>
  <si>
    <t>F-N</t>
  </si>
  <si>
    <t>G-N</t>
  </si>
  <si>
    <t>H-N</t>
  </si>
  <si>
    <t>שפ"ח</t>
  </si>
  <si>
    <t>L10</t>
  </si>
  <si>
    <t>פנטהאוס</t>
  </si>
  <si>
    <t>מספר דירה</t>
  </si>
  <si>
    <t>מספר צל</t>
  </si>
  <si>
    <t>סוג מרפסת</t>
  </si>
  <si>
    <t>סטטוס</t>
  </si>
  <si>
    <t>E</t>
  </si>
  <si>
    <t>בעלים</t>
  </si>
  <si>
    <t>G</t>
  </si>
  <si>
    <t>F</t>
  </si>
  <si>
    <t>D</t>
  </si>
  <si>
    <t>C</t>
  </si>
  <si>
    <t>B</t>
  </si>
  <si>
    <t>A</t>
  </si>
  <si>
    <t>J</t>
  </si>
  <si>
    <t>I</t>
  </si>
  <si>
    <t>H</t>
  </si>
  <si>
    <t>G (P)</t>
  </si>
  <si>
    <t>C+D</t>
  </si>
  <si>
    <t>A (P)</t>
  </si>
  <si>
    <t>מספר חדרים</t>
  </si>
  <si>
    <t>סוג</t>
  </si>
  <si>
    <t>סטנדרט</t>
  </si>
  <si>
    <t>פרימיום</t>
  </si>
  <si>
    <t>פנויה</t>
  </si>
  <si>
    <t>קוד</t>
  </si>
  <si>
    <t>חדר טכני מ"א</t>
  </si>
  <si>
    <t>אזור טכני בריכה</t>
  </si>
  <si>
    <t>מסחר 20</t>
  </si>
  <si>
    <t>מסחר 21</t>
  </si>
  <si>
    <t>מסחר 11</t>
  </si>
  <si>
    <t>מסחר 10</t>
  </si>
  <si>
    <t>לובי ראשי מגורים</t>
  </si>
  <si>
    <t>מסחר 9</t>
  </si>
  <si>
    <t>מסחר 14</t>
  </si>
  <si>
    <t>מסחר 8</t>
  </si>
  <si>
    <t>מסחר 7</t>
  </si>
  <si>
    <t>מסחר 5</t>
  </si>
  <si>
    <t>מסחר 4</t>
  </si>
  <si>
    <t>אזור חח"י</t>
  </si>
  <si>
    <t>ח. דחסנית מסחר</t>
  </si>
  <si>
    <t>ח. דחסנית מגורים</t>
  </si>
  <si>
    <t>ח. חשמל מבנה ציבור</t>
  </si>
  <si>
    <t>משרדי הנהלה מגורים</t>
  </si>
  <si>
    <t>ח. שירות</t>
  </si>
  <si>
    <t>מבנה ציבור - שפ"ח</t>
  </si>
  <si>
    <t>מכורה</t>
  </si>
  <si>
    <t>סימון</t>
  </si>
  <si>
    <t>מכורות</t>
  </si>
  <si>
    <t>מקרא</t>
  </si>
  <si>
    <t>2 חד'</t>
  </si>
  <si>
    <t>3 חד'</t>
  </si>
  <si>
    <t>4 חד'</t>
  </si>
  <si>
    <t>5 חד'</t>
  </si>
  <si>
    <t>S.2.1</t>
  </si>
  <si>
    <t>S.3.1</t>
  </si>
  <si>
    <t>S.4.1</t>
  </si>
  <si>
    <t>P.4.1</t>
  </si>
  <si>
    <t>S.5.1</t>
  </si>
  <si>
    <t>P.5.1</t>
  </si>
  <si>
    <t>PH.1</t>
  </si>
  <si>
    <t>מגדל דרומי (2)</t>
  </si>
  <si>
    <t>מגדל צפוני (1)</t>
  </si>
  <si>
    <t>כל הפרויקט</t>
  </si>
  <si>
    <t>סטטוס דירה</t>
  </si>
  <si>
    <t>V</t>
  </si>
  <si>
    <t>S</t>
  </si>
  <si>
    <t>O</t>
  </si>
  <si>
    <t>מס' חדרים</t>
  </si>
  <si>
    <t>S.2A</t>
  </si>
  <si>
    <t>S.2B</t>
  </si>
  <si>
    <t>S.2C</t>
  </si>
  <si>
    <t>S.2D</t>
  </si>
  <si>
    <t>S.2E</t>
  </si>
  <si>
    <t>S.2F</t>
  </si>
  <si>
    <t>S.2G</t>
  </si>
  <si>
    <t>S.3A</t>
  </si>
  <si>
    <t>S.3B</t>
  </si>
  <si>
    <t>S.3C</t>
  </si>
  <si>
    <t>S.3D</t>
  </si>
  <si>
    <t>S.3E</t>
  </si>
  <si>
    <t>S.3F</t>
  </si>
  <si>
    <t>S.3G</t>
  </si>
  <si>
    <t>S.4A</t>
  </si>
  <si>
    <t>S.4B</t>
  </si>
  <si>
    <t>S.4C</t>
  </si>
  <si>
    <t>P.4D</t>
  </si>
  <si>
    <t>P.4E</t>
  </si>
  <si>
    <t>P.4F</t>
  </si>
  <si>
    <t>S.4G</t>
  </si>
  <si>
    <t>S.4H</t>
  </si>
  <si>
    <t>S.5A</t>
  </si>
  <si>
    <t>S.5B</t>
  </si>
  <si>
    <t>P.5AP</t>
  </si>
  <si>
    <t>P.5BP</t>
  </si>
  <si>
    <t>TN</t>
  </si>
  <si>
    <t>TS</t>
  </si>
  <si>
    <t>מרפסת</t>
  </si>
  <si>
    <t>o.s.2</t>
  </si>
  <si>
    <t>o.s.3</t>
  </si>
  <si>
    <t>o.s.4</t>
  </si>
  <si>
    <t>o.p.4</t>
  </si>
  <si>
    <t>o.s.5</t>
  </si>
  <si>
    <t>o.p.5</t>
  </si>
  <si>
    <t>o.ph</t>
  </si>
  <si>
    <t>חלל כפול לובי ראשי מגורים</t>
  </si>
  <si>
    <t>מבואת מסחר</t>
  </si>
  <si>
    <t>לובי רווחת דיירים</t>
  </si>
  <si>
    <t>חדרי דואר</t>
  </si>
  <si>
    <t>מסחר 12</t>
  </si>
  <si>
    <t>מסחר 13</t>
  </si>
  <si>
    <t>ח. גנרטור חניון</t>
  </si>
  <si>
    <t>ח. מע' פניאומטית מגורים</t>
  </si>
  <si>
    <t>ח. אשפה מבנה ציבור</t>
  </si>
  <si>
    <t>חדרי חשמל צפוני</t>
  </si>
  <si>
    <t>ח. גנרטור צפוני</t>
  </si>
  <si>
    <t>ח. גנרטור דרומי</t>
  </si>
  <si>
    <t>משרדי הנהלה מסחר</t>
  </si>
  <si>
    <t>ח. חשמל טעינת רכבים</t>
  </si>
  <si>
    <t>חדרי חשמל מסחר</t>
  </si>
  <si>
    <t>חדרי חשמל חניון</t>
  </si>
  <si>
    <t>חדרי חשמל דרומי</t>
  </si>
  <si>
    <t>אלמנטי מים בפיתוח</t>
  </si>
  <si>
    <t>מאגרי מים מסחר</t>
  </si>
  <si>
    <t>חניות מסחר</t>
  </si>
  <si>
    <t>ח. מפוחים</t>
  </si>
  <si>
    <t>חניות מגורים</t>
  </si>
  <si>
    <t>מחסני מגורים</t>
  </si>
  <si>
    <t>חשמל מ"א</t>
  </si>
  <si>
    <t>ח. מ"א</t>
  </si>
  <si>
    <t/>
  </si>
  <si>
    <t>תאריך חתימה</t>
  </si>
  <si>
    <t>שיוך חניה 1</t>
  </si>
  <si>
    <t>שיוך חניה 2</t>
  </si>
  <si>
    <t>שיוך מחסן</t>
  </si>
  <si>
    <t>5103A</t>
  </si>
  <si>
    <t>5103</t>
  </si>
  <si>
    <t>5-43</t>
  </si>
  <si>
    <t>5156</t>
  </si>
  <si>
    <t>אביעד שוב</t>
  </si>
  <si>
    <t>5104</t>
  </si>
  <si>
    <t>5104A</t>
  </si>
  <si>
    <t>5-42</t>
  </si>
  <si>
    <t>עמיחי עצמון</t>
  </si>
  <si>
    <t>5180</t>
  </si>
  <si>
    <t>3-53</t>
  </si>
  <si>
    <t>אלון ברוך</t>
  </si>
  <si>
    <t>5159</t>
  </si>
  <si>
    <t>3-41</t>
  </si>
  <si>
    <t>ישפה נדל"ן בע"מ</t>
  </si>
  <si>
    <t>5155</t>
  </si>
  <si>
    <t>3-8</t>
  </si>
  <si>
    <t>5175</t>
  </si>
  <si>
    <t>3-51</t>
  </si>
  <si>
    <t>אברהם ברוך</t>
  </si>
  <si>
    <t>5158</t>
  </si>
  <si>
    <t>דוריס רבה</t>
  </si>
  <si>
    <t>5153</t>
  </si>
  <si>
    <t>5-21</t>
  </si>
  <si>
    <t>נאור ניסים ברזני</t>
  </si>
  <si>
    <t>4223</t>
  </si>
  <si>
    <t>4-7</t>
  </si>
  <si>
    <t>5177</t>
  </si>
  <si>
    <t>מוריס רקח</t>
  </si>
  <si>
    <t>5173</t>
  </si>
  <si>
    <t>4107</t>
  </si>
  <si>
    <t>4-12</t>
  </si>
  <si>
    <t>אמיר דקל</t>
  </si>
  <si>
    <t>4222</t>
  </si>
  <si>
    <t>5-27</t>
  </si>
  <si>
    <t>איינסז ג'הנגיר</t>
  </si>
  <si>
    <t>4182</t>
  </si>
  <si>
    <t>3-37</t>
  </si>
  <si>
    <t>4179</t>
  </si>
  <si>
    <t>גילת אלגרסי</t>
  </si>
  <si>
    <t>5051</t>
  </si>
  <si>
    <t>ירון ברמי</t>
  </si>
  <si>
    <t>3166</t>
  </si>
  <si>
    <t>אברהם טייב</t>
  </si>
  <si>
    <t>4238</t>
  </si>
  <si>
    <t>5079</t>
  </si>
  <si>
    <t>3-34</t>
  </si>
  <si>
    <t>3114A</t>
  </si>
  <si>
    <t>3114</t>
  </si>
  <si>
    <t>5-1</t>
  </si>
  <si>
    <t>3102A</t>
  </si>
  <si>
    <t>3102</t>
  </si>
  <si>
    <t>3-33</t>
  </si>
  <si>
    <t>4265</t>
  </si>
  <si>
    <t>4266</t>
  </si>
  <si>
    <t>מאיר דהאן</t>
  </si>
  <si>
    <t>5091A</t>
  </si>
  <si>
    <t>5091</t>
  </si>
  <si>
    <t>5-10</t>
  </si>
  <si>
    <t>יגאל לויט</t>
  </si>
  <si>
    <t>5058</t>
  </si>
  <si>
    <t>5058A</t>
  </si>
  <si>
    <t>4-8</t>
  </si>
  <si>
    <t>5053</t>
  </si>
  <si>
    <t>5053A</t>
  </si>
  <si>
    <t>5-25</t>
  </si>
  <si>
    <t>מיכאל כץ</t>
  </si>
  <si>
    <t>4081</t>
  </si>
  <si>
    <t>4090</t>
  </si>
  <si>
    <t>4116</t>
  </si>
  <si>
    <t>4116A</t>
  </si>
  <si>
    <t xml:space="preserve">יוסף יחזקאל </t>
  </si>
  <si>
    <t>4111</t>
  </si>
  <si>
    <t>4112</t>
  </si>
  <si>
    <t xml:space="preserve">3-20 </t>
  </si>
  <si>
    <t>תמר הורוביץ</t>
  </si>
  <si>
    <t>4088</t>
  </si>
  <si>
    <t>4089</t>
  </si>
  <si>
    <t>3-5</t>
  </si>
  <si>
    <t>דוד כהן</t>
  </si>
  <si>
    <t>4084</t>
  </si>
  <si>
    <t>4085</t>
  </si>
  <si>
    <t>4086</t>
  </si>
  <si>
    <t>4087</t>
  </si>
  <si>
    <t>4-5</t>
  </si>
  <si>
    <t>4104</t>
  </si>
  <si>
    <t>4105</t>
  </si>
  <si>
    <t>4091</t>
  </si>
  <si>
    <t>4092</t>
  </si>
  <si>
    <t>יצחק יוד</t>
  </si>
  <si>
    <t>3089</t>
  </si>
  <si>
    <t>3080</t>
  </si>
  <si>
    <t>4065</t>
  </si>
  <si>
    <t>4065A</t>
  </si>
  <si>
    <t>ליאור מרק לוי</t>
  </si>
  <si>
    <t>4061</t>
  </si>
  <si>
    <t>4062</t>
  </si>
  <si>
    <t>אלי בואהרון</t>
  </si>
  <si>
    <t>3116</t>
  </si>
  <si>
    <t>3116A</t>
  </si>
  <si>
    <t>דניאל לוית</t>
  </si>
  <si>
    <t>4063</t>
  </si>
  <si>
    <t>4064</t>
  </si>
  <si>
    <t>3228</t>
  </si>
  <si>
    <t>3229</t>
  </si>
  <si>
    <t>4-29</t>
  </si>
  <si>
    <t>3098</t>
  </si>
  <si>
    <t>3099</t>
  </si>
  <si>
    <t>5-26</t>
  </si>
  <si>
    <t>4082</t>
  </si>
  <si>
    <t>4083</t>
  </si>
  <si>
    <t>איל משיח</t>
  </si>
  <si>
    <t>3263</t>
  </si>
  <si>
    <t>3264</t>
  </si>
  <si>
    <t>4-36</t>
  </si>
  <si>
    <t>3261</t>
  </si>
  <si>
    <t>3262</t>
  </si>
  <si>
    <t>3077</t>
  </si>
  <si>
    <t>3077A</t>
  </si>
  <si>
    <t>4-15</t>
  </si>
  <si>
    <t xml:space="preserve">ישפה נדל"ן בע"מ
</t>
  </si>
  <si>
    <t>3257</t>
  </si>
  <si>
    <t>3258</t>
  </si>
  <si>
    <t>3067</t>
  </si>
  <si>
    <t>3068</t>
  </si>
  <si>
    <t>3230</t>
  </si>
  <si>
    <t>3231</t>
  </si>
  <si>
    <t>4-33</t>
  </si>
  <si>
    <t>3224</t>
  </si>
  <si>
    <t>3225</t>
  </si>
  <si>
    <t>5-19</t>
  </si>
  <si>
    <t>4227</t>
  </si>
  <si>
    <t>4228</t>
  </si>
  <si>
    <t>3157</t>
  </si>
  <si>
    <t>3158</t>
  </si>
  <si>
    <t>5-23</t>
  </si>
  <si>
    <t>שמואל שוב</t>
  </si>
  <si>
    <t>4152</t>
  </si>
  <si>
    <t>4153</t>
  </si>
  <si>
    <t>5-7</t>
  </si>
  <si>
    <t>ביכורי השדה דרום שיווק (1994) בע"מ</t>
  </si>
  <si>
    <t>3150</t>
  </si>
  <si>
    <t>3151</t>
  </si>
  <si>
    <t>5-35</t>
  </si>
  <si>
    <t>3094</t>
  </si>
  <si>
    <t>3095</t>
  </si>
  <si>
    <t>3-12</t>
  </si>
  <si>
    <t>5064</t>
  </si>
  <si>
    <t>5064A</t>
  </si>
  <si>
    <t>5065</t>
  </si>
  <si>
    <t>5065A</t>
  </si>
  <si>
    <t>3-35</t>
  </si>
  <si>
    <t>טובה ראט זלצר</t>
  </si>
  <si>
    <t>3-50</t>
  </si>
  <si>
    <t>שרון וייסמן</t>
  </si>
  <si>
    <t>3217</t>
  </si>
  <si>
    <t>3216</t>
  </si>
  <si>
    <t>4200</t>
  </si>
  <si>
    <t>4196</t>
  </si>
  <si>
    <t>4197</t>
  </si>
  <si>
    <t>א.ס.ש השקעות בע"מ</t>
  </si>
  <si>
    <t>5209</t>
  </si>
  <si>
    <t>5187</t>
  </si>
  <si>
    <t>יהודה רזניקוב</t>
  </si>
  <si>
    <t>3215</t>
  </si>
  <si>
    <t>יורי גלמן</t>
  </si>
  <si>
    <t>4203</t>
  </si>
  <si>
    <t>4198</t>
  </si>
  <si>
    <t>4199</t>
  </si>
  <si>
    <t>5205</t>
  </si>
  <si>
    <t>5190</t>
  </si>
  <si>
    <t>ישראל אביאב</t>
  </si>
  <si>
    <t>3214</t>
  </si>
  <si>
    <t>שני בר גיל כהן</t>
  </si>
  <si>
    <t>4206</t>
  </si>
  <si>
    <t>4201</t>
  </si>
  <si>
    <t>5201</t>
  </si>
  <si>
    <t xml:space="preserve">ברק קראוס </t>
  </si>
  <si>
    <t>5194</t>
  </si>
  <si>
    <t>3213</t>
  </si>
  <si>
    <t xml:space="preserve">אתי יחזקאל </t>
  </si>
  <si>
    <t>5188</t>
  </si>
  <si>
    <t>שחר מוזס</t>
  </si>
  <si>
    <t>5210</t>
  </si>
  <si>
    <t>5033</t>
  </si>
  <si>
    <t>3212</t>
  </si>
  <si>
    <t xml:space="preserve">גרציה קשתי </t>
  </si>
  <si>
    <t>3211</t>
  </si>
  <si>
    <t>4-37</t>
  </si>
  <si>
    <t>5211</t>
  </si>
  <si>
    <t>4213</t>
  </si>
  <si>
    <t>סער אלדד</t>
  </si>
  <si>
    <t>5031</t>
  </si>
  <si>
    <t>3210</t>
  </si>
  <si>
    <t>4210</t>
  </si>
  <si>
    <t>3209</t>
  </si>
  <si>
    <t>5203</t>
  </si>
  <si>
    <t>יעקב קרני</t>
  </si>
  <si>
    <t>4209</t>
  </si>
  <si>
    <t>5136</t>
  </si>
  <si>
    <t>5195</t>
  </si>
  <si>
    <t>3208</t>
  </si>
  <si>
    <t>5110</t>
  </si>
  <si>
    <t>3207</t>
  </si>
  <si>
    <t>3206</t>
  </si>
  <si>
    <t>4006</t>
  </si>
  <si>
    <t>3205</t>
  </si>
  <si>
    <t>4008</t>
  </si>
  <si>
    <t>3195</t>
  </si>
  <si>
    <t>רוזמדיקס מרכז רפואי רב תחומי בע"מ</t>
  </si>
  <si>
    <t>4010</t>
  </si>
  <si>
    <t>5-12</t>
  </si>
  <si>
    <t>5268</t>
  </si>
  <si>
    <t>דנית הוטמן שלם</t>
  </si>
  <si>
    <t>5124</t>
  </si>
  <si>
    <t>5-41</t>
  </si>
  <si>
    <t>4243</t>
  </si>
  <si>
    <t>5-39</t>
  </si>
  <si>
    <t>4017</t>
  </si>
  <si>
    <t>פליקס והבה</t>
  </si>
  <si>
    <t>3202</t>
  </si>
  <si>
    <t>4020</t>
  </si>
  <si>
    <t>4019</t>
  </si>
  <si>
    <t>5010</t>
  </si>
  <si>
    <t>4214</t>
  </si>
  <si>
    <t xml:space="preserve">נעמה שיף </t>
  </si>
  <si>
    <t>5044</t>
  </si>
  <si>
    <t>3-45</t>
  </si>
  <si>
    <t>עופר מזרחי</t>
  </si>
  <si>
    <t>3032</t>
  </si>
  <si>
    <t>3032A</t>
  </si>
  <si>
    <t>4245</t>
  </si>
  <si>
    <t>4246</t>
  </si>
  <si>
    <t>חנן שמעונוב</t>
  </si>
  <si>
    <t>5011</t>
  </si>
  <si>
    <t>5011A</t>
  </si>
  <si>
    <t>אפרת דיבון</t>
  </si>
  <si>
    <t>3026</t>
  </si>
  <si>
    <t>3026A</t>
  </si>
  <si>
    <t>4-44</t>
  </si>
  <si>
    <t>זיו אלול</t>
  </si>
  <si>
    <t>5119</t>
  </si>
  <si>
    <t>5119A</t>
  </si>
  <si>
    <t>4247</t>
  </si>
  <si>
    <t>4248</t>
  </si>
  <si>
    <t>4-41</t>
  </si>
  <si>
    <t>ישי עובד</t>
  </si>
  <si>
    <t>5029</t>
  </si>
  <si>
    <t>5029A</t>
  </si>
  <si>
    <t>מלי רוזנבלום</t>
  </si>
  <si>
    <t>4253</t>
  </si>
  <si>
    <t>4254</t>
  </si>
  <si>
    <t>5015</t>
  </si>
  <si>
    <t>עוז משיח</t>
  </si>
  <si>
    <t>5034</t>
  </si>
  <si>
    <t>5034A</t>
  </si>
  <si>
    <t>4003</t>
  </si>
  <si>
    <t>3198</t>
  </si>
  <si>
    <t>4056</t>
  </si>
  <si>
    <t>4057</t>
  </si>
  <si>
    <t>שמואל אייזנטל</t>
  </si>
  <si>
    <t>3009</t>
  </si>
  <si>
    <t>3010</t>
  </si>
  <si>
    <t>3-41
3-37</t>
  </si>
  <si>
    <t>3270</t>
  </si>
  <si>
    <t>3271</t>
  </si>
  <si>
    <t>4050</t>
  </si>
  <si>
    <t>4051</t>
  </si>
  <si>
    <t>4044</t>
  </si>
  <si>
    <t>4045</t>
  </si>
  <si>
    <t>שמעון הראל</t>
  </si>
  <si>
    <t>4042</t>
  </si>
  <si>
    <t>4043</t>
  </si>
  <si>
    <t>מיכל פורטמן</t>
  </si>
  <si>
    <t>4031</t>
  </si>
  <si>
    <t>4033</t>
  </si>
  <si>
    <t>3124</t>
  </si>
  <si>
    <t>3125</t>
  </si>
  <si>
    <t>5-14
5-7</t>
  </si>
  <si>
    <t>3138</t>
  </si>
  <si>
    <t>3139</t>
  </si>
  <si>
    <t>3128</t>
  </si>
  <si>
    <t>3129</t>
  </si>
  <si>
    <t>יובל שוב</t>
  </si>
  <si>
    <t>3122</t>
  </si>
  <si>
    <t>3123</t>
  </si>
  <si>
    <t>עודד מורד</t>
  </si>
  <si>
    <t>3134</t>
  </si>
  <si>
    <t>3135</t>
  </si>
  <si>
    <t>5-24</t>
  </si>
  <si>
    <t>3130</t>
  </si>
  <si>
    <t>3131</t>
  </si>
  <si>
    <t>5-14</t>
  </si>
  <si>
    <t>3055</t>
  </si>
  <si>
    <t>3056</t>
  </si>
  <si>
    <t>3245</t>
  </si>
  <si>
    <t>3246</t>
  </si>
  <si>
    <t>3144</t>
  </si>
  <si>
    <t>3145</t>
  </si>
  <si>
    <t>4147</t>
  </si>
  <si>
    <t>4148</t>
  </si>
  <si>
    <t>3051</t>
  </si>
  <si>
    <t>3052</t>
  </si>
  <si>
    <t>5-20</t>
  </si>
  <si>
    <t>נעמה שיף</t>
  </si>
  <si>
    <t>3253</t>
  </si>
  <si>
    <t>3254</t>
  </si>
  <si>
    <t>4141</t>
  </si>
  <si>
    <t>4142</t>
  </si>
  <si>
    <t>3033</t>
  </si>
  <si>
    <t>3036</t>
  </si>
  <si>
    <t>3047</t>
  </si>
  <si>
    <t>3048</t>
  </si>
  <si>
    <t>3-52</t>
  </si>
  <si>
    <t>3142</t>
  </si>
  <si>
    <t>3143</t>
  </si>
  <si>
    <t>פסגות עופרים בע"מ</t>
  </si>
  <si>
    <t>4139</t>
  </si>
  <si>
    <t>4140</t>
  </si>
  <si>
    <t>3042</t>
  </si>
  <si>
    <t>3043</t>
  </si>
  <si>
    <t>דפנה ברכפלד</t>
  </si>
  <si>
    <t>3039</t>
  </si>
  <si>
    <t>3040</t>
  </si>
  <si>
    <t>3120</t>
  </si>
  <si>
    <t>3121</t>
  </si>
  <si>
    <t>3044</t>
  </si>
  <si>
    <t>3045</t>
  </si>
  <si>
    <t>3027</t>
  </si>
  <si>
    <t>3028</t>
  </si>
  <si>
    <t xml:space="preserve">5-12
</t>
  </si>
  <si>
    <t>3024</t>
  </si>
  <si>
    <t>3025</t>
  </si>
  <si>
    <t>3-52
3-40</t>
  </si>
  <si>
    <t>בק אוליביה</t>
  </si>
  <si>
    <t>5216</t>
  </si>
  <si>
    <t>תבור מלכה</t>
  </si>
  <si>
    <t>5178</t>
  </si>
  <si>
    <t>לוי שושנה</t>
  </si>
  <si>
    <t>5059</t>
  </si>
  <si>
    <t>5160</t>
  </si>
  <si>
    <t>3188</t>
  </si>
  <si>
    <t>4193</t>
  </si>
  <si>
    <t>5081</t>
  </si>
  <si>
    <t>יוספן אוהד</t>
  </si>
  <si>
    <t>3180</t>
  </si>
  <si>
    <t>3189</t>
  </si>
  <si>
    <t>5212</t>
  </si>
  <si>
    <t>5046</t>
  </si>
  <si>
    <t>5084</t>
  </si>
  <si>
    <t>3221</t>
  </si>
  <si>
    <t>5171</t>
  </si>
  <si>
    <t>5049</t>
  </si>
  <si>
    <t>5048</t>
  </si>
  <si>
    <t>5172</t>
  </si>
  <si>
    <t>3220</t>
  </si>
  <si>
    <t>5215</t>
  </si>
  <si>
    <t>5168</t>
  </si>
  <si>
    <t>5154</t>
  </si>
  <si>
    <t>5086</t>
  </si>
  <si>
    <t>5050</t>
  </si>
  <si>
    <t>4185</t>
  </si>
  <si>
    <t>5169</t>
  </si>
  <si>
    <t>3219</t>
  </si>
  <si>
    <t>5157</t>
  </si>
  <si>
    <t>5165</t>
  </si>
  <si>
    <t>5249</t>
  </si>
  <si>
    <t>למגורים בע"מ ליאד השכרה</t>
  </si>
  <si>
    <t>5068</t>
  </si>
  <si>
    <t>4191</t>
  </si>
  <si>
    <t>5088</t>
  </si>
  <si>
    <t>5-4</t>
  </si>
  <si>
    <t>4183</t>
  </si>
  <si>
    <t>5166</t>
  </si>
  <si>
    <t>5176</t>
  </si>
  <si>
    <t>3218</t>
  </si>
  <si>
    <t>גביזון יוסף שאשא</t>
  </si>
  <si>
    <t>5170</t>
  </si>
  <si>
    <t>5163</t>
  </si>
  <si>
    <t>4188</t>
  </si>
  <si>
    <t>5060</t>
  </si>
  <si>
    <t>5069</t>
  </si>
  <si>
    <t>5164</t>
  </si>
  <si>
    <t>5179</t>
  </si>
  <si>
    <t>3187</t>
  </si>
  <si>
    <t>5167</t>
  </si>
  <si>
    <t>5161</t>
  </si>
  <si>
    <t>4190</t>
  </si>
  <si>
    <t>5056</t>
  </si>
  <si>
    <t>גולוס צבי</t>
  </si>
  <si>
    <t>5057</t>
  </si>
  <si>
    <t>5162</t>
  </si>
  <si>
    <t>5213</t>
  </si>
  <si>
    <t>3181</t>
  </si>
  <si>
    <t>3169</t>
  </si>
  <si>
    <t>5243</t>
  </si>
  <si>
    <t>5087</t>
  </si>
  <si>
    <t>4224</t>
  </si>
  <si>
    <t>5140</t>
  </si>
  <si>
    <t>בע"מ מ.ר. סוויד</t>
  </si>
  <si>
    <t>3175</t>
  </si>
  <si>
    <t>4180</t>
  </si>
  <si>
    <t>5246</t>
  </si>
  <si>
    <t>5071</t>
  </si>
  <si>
    <t>4172</t>
  </si>
  <si>
    <t>5096</t>
  </si>
  <si>
    <t>5144</t>
  </si>
  <si>
    <t>3173</t>
  </si>
  <si>
    <t>3179</t>
  </si>
  <si>
    <t>3185</t>
  </si>
  <si>
    <t>5139</t>
  </si>
  <si>
    <t>5054</t>
  </si>
  <si>
    <t>4184</t>
  </si>
  <si>
    <t>שפיר תמר אלכס</t>
  </si>
  <si>
    <t>5092</t>
  </si>
  <si>
    <t>כהן אברהם וענת</t>
  </si>
  <si>
    <t>5148</t>
  </si>
  <si>
    <t>בע"מ אלה איטח</t>
  </si>
  <si>
    <t>3171</t>
  </si>
  <si>
    <t>אורפלי שאול , יוניס אורפלי מור</t>
  </si>
  <si>
    <t>3162</t>
  </si>
  <si>
    <t>קריזלר מאיה</t>
  </si>
  <si>
    <t>5143</t>
  </si>
  <si>
    <t>מצר גינדי שרית , גינדי שלמה ור</t>
  </si>
  <si>
    <t>5097</t>
  </si>
  <si>
    <t>כהן אורית עדנה ורן</t>
  </si>
  <si>
    <t>4181</t>
  </si>
  <si>
    <t>אנדה עדית ושייקה</t>
  </si>
  <si>
    <t>4106</t>
  </si>
  <si>
    <t>שקד אורי ושני</t>
  </si>
  <si>
    <t>5151</t>
  </si>
  <si>
    <t>קטורזה מרים רויטל וטוני אנטוני</t>
  </si>
  <si>
    <t>3168</t>
  </si>
  <si>
    <t>טייאט משש קרול ביאטריס , משש ד</t>
  </si>
  <si>
    <t>3177</t>
  </si>
  <si>
    <t>גורן רעות , סוקניק חנן</t>
  </si>
  <si>
    <t>5265</t>
  </si>
  <si>
    <t>L.W.I.P.S ל.וו.אי.פי.אס</t>
  </si>
  <si>
    <t>5147</t>
  </si>
  <si>
    <t>בלבול נתלי פרחה</t>
  </si>
  <si>
    <t>5094</t>
  </si>
  <si>
    <t>שפר ניר ונטלי</t>
  </si>
  <si>
    <t>4178</t>
  </si>
  <si>
    <t>הורוביץ אילוז ענת לי</t>
  </si>
  <si>
    <t>4270</t>
  </si>
  <si>
    <t>4226</t>
  </si>
  <si>
    <t>וייזום במקרקעין רון אבידן שמאו</t>
  </si>
  <si>
    <t>5106</t>
  </si>
  <si>
    <t>חברת עורכי דין דביר גליזר</t>
  </si>
  <si>
    <t>3186</t>
  </si>
  <si>
    <t>אבידן דורון ואסתר</t>
  </si>
  <si>
    <t>3176</t>
  </si>
  <si>
    <t>גבי אלי ויפעת</t>
  </si>
  <si>
    <t>5263</t>
  </si>
  <si>
    <t>5150</t>
  </si>
  <si>
    <t>5090</t>
  </si>
  <si>
    <t>5-2</t>
  </si>
  <si>
    <t>לוקסנבורג יעקב</t>
  </si>
  <si>
    <t>4176</t>
  </si>
  <si>
    <t>לוקסנבורג רותם רינה</t>
  </si>
  <si>
    <t>4268</t>
  </si>
  <si>
    <t>4-10</t>
  </si>
  <si>
    <t>שטרית שרון אברהם , צסרקס עודד</t>
  </si>
  <si>
    <t>5098</t>
  </si>
  <si>
    <t>נבט הוגט</t>
  </si>
  <si>
    <t>3163</t>
  </si>
  <si>
    <t>עזרא ערן וקרן</t>
  </si>
  <si>
    <t>5260</t>
  </si>
  <si>
    <t>והבה פליקס</t>
  </si>
  <si>
    <t>5108</t>
  </si>
  <si>
    <t>ראובן תומר</t>
  </si>
  <si>
    <t>4271</t>
  </si>
  <si>
    <t>דניאל הרשפט ניר , דניאל קרן</t>
  </si>
  <si>
    <t>4174</t>
  </si>
  <si>
    <t>לוקסנבורג תמר שולמית</t>
  </si>
  <si>
    <t>4240</t>
  </si>
  <si>
    <t>4-6</t>
  </si>
  <si>
    <t>קוטלר דב וחגית</t>
  </si>
  <si>
    <t>5073</t>
  </si>
  <si>
    <t>נחום ג'ון לאון יהודה ואנאיס דו</t>
  </si>
  <si>
    <t>3222</t>
  </si>
  <si>
    <t>ווליכמן עידן ישראל</t>
  </si>
  <si>
    <t>5257</t>
  </si>
  <si>
    <t>צדיק אהובה ויהודה שי</t>
  </si>
  <si>
    <t>4269</t>
  </si>
  <si>
    <t>לוטן חיים שאול</t>
  </si>
  <si>
    <t>4171</t>
  </si>
  <si>
    <t>טופז אסף שלמה ומיכל</t>
  </si>
  <si>
    <t>5074</t>
  </si>
  <si>
    <t>5264</t>
  </si>
  <si>
    <t>סגל דנה ואודי</t>
  </si>
  <si>
    <t>5255</t>
  </si>
  <si>
    <t>לוריא אלישע , פרסובסקי דגנית ב</t>
  </si>
  <si>
    <t>5099</t>
  </si>
  <si>
    <t>5-16</t>
  </si>
  <si>
    <t>פלקוביץ דור</t>
  </si>
  <si>
    <t>4267</t>
  </si>
  <si>
    <t>גלוגאו גיא ורועי</t>
  </si>
  <si>
    <t>4170</t>
  </si>
  <si>
    <t>לוקסנבורג שחר</t>
  </si>
  <si>
    <t>4237</t>
  </si>
  <si>
    <t>4-1</t>
  </si>
  <si>
    <t>גלוגאו רן אפרים ופזית</t>
  </si>
  <si>
    <t>5075</t>
  </si>
  <si>
    <t>5262</t>
  </si>
  <si>
    <t>סוקניק גדי</t>
  </si>
  <si>
    <t>5253</t>
  </si>
  <si>
    <t>קרשטיין יובל צבי</t>
  </si>
  <si>
    <t>5072</t>
  </si>
  <si>
    <t>פלקוביץ עמית</t>
  </si>
  <si>
    <t>4239</t>
  </si>
  <si>
    <t>גרדי אופיר , מאי שרון</t>
  </si>
  <si>
    <t>4167</t>
  </si>
  <si>
    <t>לוקסנבורג נועה</t>
  </si>
  <si>
    <t>4165</t>
  </si>
  <si>
    <t>קוטלר עפר</t>
  </si>
  <si>
    <t>5076</t>
  </si>
  <si>
    <t>U , I EP MAMOU COLETTE TRABELS</t>
  </si>
  <si>
    <t>5259</t>
  </si>
  <si>
    <t>לוי רועי-גיא</t>
  </si>
  <si>
    <t>5261</t>
  </si>
  <si>
    <t>ויעוץ בע"מ ל.י.ד.גד תכנון</t>
  </si>
  <si>
    <t>5252</t>
  </si>
  <si>
    <t>צפריר רונית ועמיר</t>
  </si>
  <si>
    <t>5077</t>
  </si>
  <si>
    <t>ברזן דניאל</t>
  </si>
  <si>
    <t>4103A</t>
  </si>
  <si>
    <t>4103</t>
  </si>
  <si>
    <t>כהן יצחק , שלמה דדי ספיר</t>
  </si>
  <si>
    <t>5102</t>
  </si>
  <si>
    <t>5102A</t>
  </si>
  <si>
    <t>הרמלין גיא , שורץ הרמלין שלומי</t>
  </si>
  <si>
    <t>5250</t>
  </si>
  <si>
    <t>5078</t>
  </si>
  <si>
    <t>גביזון יוסף שאשא , ליאון אוסנת</t>
  </si>
  <si>
    <t>4078</t>
  </si>
  <si>
    <t>4078A</t>
  </si>
  <si>
    <t>3073</t>
  </si>
  <si>
    <t>3073A</t>
  </si>
  <si>
    <t>לוינסון יורם</t>
  </si>
  <si>
    <t>5101</t>
  </si>
  <si>
    <t>5101A</t>
  </si>
  <si>
    <t>וייסנביק שאולי רותי תניה , שאו</t>
  </si>
  <si>
    <t>5235</t>
  </si>
  <si>
    <t>הורוביץ רועי</t>
  </si>
  <si>
    <t>5063</t>
  </si>
  <si>
    <t>5063A</t>
  </si>
  <si>
    <t>רצאבי אהוד</t>
  </si>
  <si>
    <t>5237</t>
  </si>
  <si>
    <t>לוזון דניאל ומימי</t>
  </si>
  <si>
    <t>5082</t>
  </si>
  <si>
    <t>4235</t>
  </si>
  <si>
    <t>4236</t>
  </si>
  <si>
    <t>5-18</t>
  </si>
  <si>
    <t>בראונר רבקה ומשה</t>
  </si>
  <si>
    <t>5062</t>
  </si>
  <si>
    <t>5062A</t>
  </si>
  <si>
    <t>גרשלר סמדר וגיל מרדכי</t>
  </si>
  <si>
    <t>5239</t>
  </si>
  <si>
    <t>סדן דורון ועליז</t>
  </si>
  <si>
    <t>4261</t>
  </si>
  <si>
    <t>4262</t>
  </si>
  <si>
    <t>גרין עדי , לוי עומרי</t>
  </si>
  <si>
    <t>5061</t>
  </si>
  <si>
    <t>5061A</t>
  </si>
  <si>
    <t>שמש אסף וליאור , מאיר שלמה וענ</t>
  </si>
  <si>
    <t>5241</t>
  </si>
  <si>
    <t>גיאת אטל דנה , אטל עופר</t>
  </si>
  <si>
    <t>5085</t>
  </si>
  <si>
    <t>מזרחי ירדן גיל</t>
  </si>
  <si>
    <t>4231</t>
  </si>
  <si>
    <t>4232</t>
  </si>
  <si>
    <t>לוטן תומר</t>
  </si>
  <si>
    <t>5066</t>
  </si>
  <si>
    <t>5066A</t>
  </si>
  <si>
    <t>5067</t>
  </si>
  <si>
    <t>בע"מ 26 אורניו נדל"ן</t>
  </si>
  <si>
    <t>4259</t>
  </si>
  <si>
    <t>4260</t>
  </si>
  <si>
    <t>4154</t>
  </si>
  <si>
    <t>4155</t>
  </si>
  <si>
    <t>רגב עידו , ברנדיס רגב סמדר</t>
  </si>
  <si>
    <t>4229</t>
  </si>
  <si>
    <t>4230</t>
  </si>
  <si>
    <t>אביטן משה , אביטן קוחלסקי עינת</t>
  </si>
  <si>
    <t>4163</t>
  </si>
  <si>
    <t>4164</t>
  </si>
  <si>
    <t>טל גאיה</t>
  </si>
  <si>
    <t>5240</t>
  </si>
  <si>
    <t>בן יוסף אילנית</t>
  </si>
  <si>
    <t>5141</t>
  </si>
  <si>
    <t>4156</t>
  </si>
  <si>
    <t>4157</t>
  </si>
  <si>
    <t>שגיא יורם ולימור</t>
  </si>
  <si>
    <t>4159</t>
  </si>
  <si>
    <t>4160</t>
  </si>
  <si>
    <t>רובננקו רועי ג'ו</t>
  </si>
  <si>
    <t>4060</t>
  </si>
  <si>
    <t>4120</t>
  </si>
  <si>
    <t>4117A</t>
  </si>
  <si>
    <t>4117</t>
  </si>
  <si>
    <t>4-18</t>
  </si>
  <si>
    <t>בן סימון עדן</t>
  </si>
  <si>
    <t>5245</t>
  </si>
  <si>
    <t>לב שניידר יעל , שניידר בצלאל</t>
  </si>
  <si>
    <t>5149</t>
  </si>
  <si>
    <t>כהן-חושן יצחק</t>
  </si>
  <si>
    <t>5248</t>
  </si>
  <si>
    <t>רמתי רועי , טוקר רמתי יעל</t>
  </si>
  <si>
    <t>5152</t>
  </si>
  <si>
    <t>לא זר רחל</t>
  </si>
  <si>
    <t>4109</t>
  </si>
  <si>
    <t>4110</t>
  </si>
  <si>
    <t>שחר דנה</t>
  </si>
  <si>
    <t>4115A</t>
  </si>
  <si>
    <t>4115</t>
  </si>
  <si>
    <t>קמחי קרן ובן ציון אמיר</t>
  </si>
  <si>
    <t>כהן יהודה</t>
  </si>
  <si>
    <t>5142</t>
  </si>
  <si>
    <t>טוקר חן , ויגדור עידו משה</t>
  </si>
  <si>
    <t>5107</t>
  </si>
  <si>
    <t>גפן עמית</t>
  </si>
  <si>
    <t>5089</t>
  </si>
  <si>
    <t>5-3</t>
  </si>
  <si>
    <t>נאור גיא</t>
  </si>
  <si>
    <t>4114</t>
  </si>
  <si>
    <t>4114A</t>
  </si>
  <si>
    <t>3000 (יו"ש)בע"מ קהתי אהוד-נכסי</t>
  </si>
  <si>
    <t>4189</t>
  </si>
  <si>
    <t>שגיב מנשה ופסיה</t>
  </si>
  <si>
    <t>5146</t>
  </si>
  <si>
    <t>5100</t>
  </si>
  <si>
    <t>5-15</t>
  </si>
  <si>
    <t>קורן ברק אברהם , טונק דוד</t>
  </si>
  <si>
    <t>4272</t>
  </si>
  <si>
    <t>משיח שלמה</t>
  </si>
  <si>
    <t>4095</t>
  </si>
  <si>
    <t>4096</t>
  </si>
  <si>
    <t>צביאלי יוסף</t>
  </si>
  <si>
    <t>3103</t>
  </si>
  <si>
    <t>3106</t>
  </si>
  <si>
    <t>3-2</t>
  </si>
  <si>
    <t>סופר טל</t>
  </si>
  <si>
    <t>טייב סימון ומריאן</t>
  </si>
  <si>
    <t>3117</t>
  </si>
  <si>
    <t>3118</t>
  </si>
  <si>
    <t>אלפסי לינדה ושלמה</t>
  </si>
  <si>
    <t>4101</t>
  </si>
  <si>
    <t>4094</t>
  </si>
  <si>
    <t>4-3</t>
  </si>
  <si>
    <t>שלי משה חיים ודליה הודיה</t>
  </si>
  <si>
    <t>4102</t>
  </si>
  <si>
    <t>4093</t>
  </si>
  <si>
    <t>4-2</t>
  </si>
  <si>
    <t>שני אמיר וענת</t>
  </si>
  <si>
    <t>3086</t>
  </si>
  <si>
    <t>3085</t>
  </si>
  <si>
    <t>4097</t>
  </si>
  <si>
    <t>4098</t>
  </si>
  <si>
    <t>4-19</t>
  </si>
  <si>
    <t>סטרוגו ראובן ועדינה</t>
  </si>
  <si>
    <t>4099</t>
  </si>
  <si>
    <t>4100</t>
  </si>
  <si>
    <t>4-4</t>
  </si>
  <si>
    <t>מרדכי גדי ואסנת</t>
  </si>
  <si>
    <t>3265</t>
  </si>
  <si>
    <t>3266</t>
  </si>
  <si>
    <t>לוי אילת דנה ואילן</t>
  </si>
  <si>
    <t>4072</t>
  </si>
  <si>
    <t>4071</t>
  </si>
  <si>
    <t>דרוטין נתן אליעזר ודורית לובלי</t>
  </si>
  <si>
    <t>4059</t>
  </si>
  <si>
    <t>4058</t>
  </si>
  <si>
    <t>3259</t>
  </si>
  <si>
    <t>3260</t>
  </si>
  <si>
    <t>קאופמן רונן אריה</t>
  </si>
  <si>
    <t>4069</t>
  </si>
  <si>
    <t>4068</t>
  </si>
  <si>
    <t>3234</t>
  </si>
  <si>
    <t>3235</t>
  </si>
  <si>
    <t>אלקים פנינה ויצחק</t>
  </si>
  <si>
    <t>4066</t>
  </si>
  <si>
    <t>4067</t>
  </si>
  <si>
    <t>4079</t>
  </si>
  <si>
    <t>4080</t>
  </si>
  <si>
    <t>3223</t>
  </si>
  <si>
    <t>3161</t>
  </si>
  <si>
    <t>נוה תומר ומורן</t>
  </si>
  <si>
    <t>3108</t>
  </si>
  <si>
    <t>3109</t>
  </si>
  <si>
    <t>3236</t>
  </si>
  <si>
    <t>3269</t>
  </si>
  <si>
    <t>נגל נאוה הניה</t>
  </si>
  <si>
    <t>3267</t>
  </si>
  <si>
    <t>3268</t>
  </si>
  <si>
    <t>בליסטרא שושנה וגיל</t>
  </si>
  <si>
    <t>3155</t>
  </si>
  <si>
    <t>3156</t>
  </si>
  <si>
    <t>ויזמות בע"מ אורן ושי ניהול</t>
  </si>
  <si>
    <t>3057</t>
  </si>
  <si>
    <t>3058</t>
  </si>
  <si>
    <t>אלקסלסי דלי וחנניה</t>
  </si>
  <si>
    <t>3255</t>
  </si>
  <si>
    <t>3256</t>
  </si>
  <si>
    <t>3059</t>
  </si>
  <si>
    <t>3119</t>
  </si>
  <si>
    <t>חיים רונית</t>
  </si>
  <si>
    <t>4263</t>
  </si>
  <si>
    <t>4264</t>
  </si>
  <si>
    <t>אלקים מאיר גבריאל ובלהה</t>
  </si>
  <si>
    <t>3232</t>
  </si>
  <si>
    <t>3233</t>
  </si>
  <si>
    <t>נחמיאס קלוד</t>
  </si>
  <si>
    <t>4233</t>
  </si>
  <si>
    <t>4234</t>
  </si>
  <si>
    <t>אלקים בת שבע וויקטור</t>
  </si>
  <si>
    <t>3227</t>
  </si>
  <si>
    <t>3226</t>
  </si>
  <si>
    <t>גנדלסמן מילה ירחמאל</t>
  </si>
  <si>
    <t>3159</t>
  </si>
  <si>
    <t>3160</t>
  </si>
  <si>
    <t>לבנת דורון</t>
  </si>
  <si>
    <t>3152</t>
  </si>
  <si>
    <t>3153</t>
  </si>
  <si>
    <t>3100</t>
  </si>
  <si>
    <t>3101</t>
  </si>
  <si>
    <t>3-3</t>
  </si>
  <si>
    <t>4220</t>
  </si>
  <si>
    <t>5013</t>
  </si>
  <si>
    <t>3012</t>
  </si>
  <si>
    <t>5267</t>
  </si>
  <si>
    <t>3014</t>
  </si>
  <si>
    <t>5113</t>
  </si>
  <si>
    <t>4004</t>
  </si>
  <si>
    <t>5270</t>
  </si>
  <si>
    <t>3016</t>
  </si>
  <si>
    <t>5115</t>
  </si>
  <si>
    <t>4002</t>
  </si>
  <si>
    <t>4016</t>
  </si>
  <si>
    <t>5273</t>
  </si>
  <si>
    <t>5-30</t>
  </si>
  <si>
    <t>5197</t>
  </si>
  <si>
    <t>5116</t>
  </si>
  <si>
    <t>4005</t>
  </si>
  <si>
    <t>5276</t>
  </si>
  <si>
    <t>5-33</t>
  </si>
  <si>
    <t>3204</t>
  </si>
  <si>
    <t>5280</t>
  </si>
  <si>
    <t>5117</t>
  </si>
  <si>
    <t>4007</t>
  </si>
  <si>
    <t>5007</t>
  </si>
  <si>
    <t>3011</t>
  </si>
  <si>
    <t>5118</t>
  </si>
  <si>
    <t>4009</t>
  </si>
  <si>
    <t>5231</t>
  </si>
  <si>
    <t>3013</t>
  </si>
  <si>
    <t>5271</t>
  </si>
  <si>
    <t>5-28</t>
  </si>
  <si>
    <t>5120</t>
  </si>
  <si>
    <t>5-38</t>
  </si>
  <si>
    <t>4241</t>
  </si>
  <si>
    <t>5228</t>
  </si>
  <si>
    <t>3015</t>
  </si>
  <si>
    <t>5274</t>
  </si>
  <si>
    <t>5-31</t>
  </si>
  <si>
    <t>5121</t>
  </si>
  <si>
    <t>5225</t>
  </si>
  <si>
    <t>5198</t>
  </si>
  <si>
    <t>5277</t>
  </si>
  <si>
    <t>5-34</t>
  </si>
  <si>
    <t>נאור עמרי</t>
  </si>
  <si>
    <t>5122</t>
  </si>
  <si>
    <t>5222</t>
  </si>
  <si>
    <t>5196</t>
  </si>
  <si>
    <t>5008</t>
  </si>
  <si>
    <t>5123</t>
  </si>
  <si>
    <t>4151</t>
  </si>
  <si>
    <t>5219</t>
  </si>
  <si>
    <t>5266</t>
  </si>
  <si>
    <t>5230</t>
  </si>
  <si>
    <t>5009</t>
  </si>
  <si>
    <t>5279</t>
  </si>
  <si>
    <t>5020</t>
  </si>
  <si>
    <t>5020A</t>
  </si>
  <si>
    <t>5232</t>
  </si>
  <si>
    <t>5042</t>
  </si>
  <si>
    <t>5227</t>
  </si>
  <si>
    <t>5023</t>
  </si>
  <si>
    <t>5023A</t>
  </si>
  <si>
    <t>4046</t>
  </si>
  <si>
    <t>4046A</t>
  </si>
  <si>
    <t>5224</t>
  </si>
  <si>
    <t>5025</t>
  </si>
  <si>
    <t>5025A</t>
  </si>
  <si>
    <t>5036</t>
  </si>
  <si>
    <t>5233</t>
  </si>
  <si>
    <t>5026</t>
  </si>
  <si>
    <t>5026A</t>
  </si>
  <si>
    <t>5032</t>
  </si>
  <si>
    <t>5016</t>
  </si>
  <si>
    <t>5018</t>
  </si>
  <si>
    <t>4077</t>
  </si>
  <si>
    <t>4077A</t>
  </si>
  <si>
    <t>5128</t>
  </si>
  <si>
    <t>4032</t>
  </si>
  <si>
    <t>4032A</t>
  </si>
  <si>
    <t>5126</t>
  </si>
  <si>
    <t>4034A</t>
  </si>
  <si>
    <t>4034</t>
  </si>
  <si>
    <t>4035A</t>
  </si>
  <si>
    <t>4035</t>
  </si>
  <si>
    <t>3001</t>
  </si>
  <si>
    <t>3002</t>
  </si>
  <si>
    <t>בנאמנות עורך דין זיו לב</t>
  </si>
  <si>
    <t>4036</t>
  </si>
  <si>
    <t>4047</t>
  </si>
  <si>
    <t>4027</t>
  </si>
  <si>
    <t>4028</t>
  </si>
  <si>
    <t>3239</t>
  </si>
  <si>
    <t>3240</t>
  </si>
  <si>
    <t>4037</t>
  </si>
  <si>
    <t>4037A</t>
  </si>
  <si>
    <t>3247</t>
  </si>
  <si>
    <t>3248</t>
  </si>
  <si>
    <t>3-48</t>
  </si>
  <si>
    <t>3007</t>
  </si>
  <si>
    <t>3008</t>
  </si>
  <si>
    <t>3148</t>
  </si>
  <si>
    <t>3149</t>
  </si>
  <si>
    <t>3242</t>
  </si>
  <si>
    <t>3241</t>
  </si>
  <si>
    <t>3141</t>
  </si>
  <si>
    <t>3140</t>
  </si>
  <si>
    <t>3250</t>
  </si>
  <si>
    <t>3249</t>
  </si>
  <si>
    <t>3137</t>
  </si>
  <si>
    <t>3136</t>
  </si>
  <si>
    <t>3-36</t>
  </si>
  <si>
    <t>3147</t>
  </si>
  <si>
    <t>3146</t>
  </si>
  <si>
    <t>4023</t>
  </si>
  <si>
    <t>4022</t>
  </si>
  <si>
    <t>4-49</t>
  </si>
  <si>
    <t>3017</t>
  </si>
  <si>
    <t>3018</t>
  </si>
  <si>
    <t>4255</t>
  </si>
  <si>
    <t>4256</t>
  </si>
  <si>
    <t>3053</t>
  </si>
  <si>
    <t>3054</t>
  </si>
  <si>
    <t>חברת עורכי דין שאול קוטלר</t>
  </si>
  <si>
    <t>3049</t>
  </si>
  <si>
    <t>3050</t>
  </si>
  <si>
    <t>תומר קוקו השקעות בע"מ</t>
  </si>
  <si>
    <t>שם רוכש/בעלים</t>
  </si>
  <si>
    <t>מעל הפרגולה</t>
  </si>
  <si>
    <t>מתחת לפרגולה</t>
  </si>
  <si>
    <t>אלונקה</t>
  </si>
  <si>
    <t>ח</t>
  </si>
  <si>
    <t>שירותים ומלתחות נשים</t>
  </si>
  <si>
    <t>צל</t>
  </si>
  <si>
    <t>עמודה1</t>
  </si>
  <si>
    <t>כותרות</t>
  </si>
  <si>
    <t>שירותים ומלתחות גברים</t>
  </si>
  <si>
    <t>שירות</t>
  </si>
  <si>
    <t>דיירים</t>
  </si>
  <si>
    <t>רווחת</t>
  </si>
  <si>
    <t>סה"כ בעלים</t>
  </si>
  <si>
    <t>סה"כ מכורות</t>
  </si>
  <si>
    <t>סה"כ לא מכורות</t>
  </si>
  <si>
    <t>נילי אופק נכסים בע"מ</t>
  </si>
  <si>
    <t>סלם יוני אהרון</t>
  </si>
  <si>
    <t>סיטב קווין אמסלם</t>
  </si>
  <si>
    <t>עמרי אוחיון</t>
  </si>
  <si>
    <t>אורי עוז יוספן</t>
  </si>
  <si>
    <t>אופיר בר נוי בע"מ</t>
  </si>
  <si>
    <t>א.ש. נכסים רחובות בע"מ</t>
  </si>
  <si>
    <t>לידר קרינר</t>
  </si>
  <si>
    <t>רויטל רובינשטין ארגוב</t>
  </si>
  <si>
    <t>לוריא לוין בניה ויזמות בע"מ</t>
  </si>
  <si>
    <t>אשר מוחי</t>
  </si>
  <si>
    <t>אבי בוחניק</t>
  </si>
  <si>
    <t>עמרם דהן</t>
  </si>
  <si>
    <t>אל אל אן השקעות בע"מ</t>
  </si>
  <si>
    <t>מאיר מיכאל מנני מאם</t>
  </si>
  <si>
    <t>אברהם אבקסיס</t>
  </si>
  <si>
    <t>נעם שפיר</t>
  </si>
  <si>
    <t>כיתבי 32 בע"מ</t>
  </si>
  <si>
    <t>מאמו עובדיה</t>
  </si>
  <si>
    <t>מיכל ברקוביץ</t>
  </si>
  <si>
    <t>ענת לי הורוביץ אילוז</t>
  </si>
  <si>
    <t>צילה הורוביץ</t>
  </si>
  <si>
    <t>סי ג'י נדל"ן השקעות בע"מ</t>
  </si>
  <si>
    <t>Esther Dray</t>
  </si>
  <si>
    <t>עומרי אבקסיס</t>
  </si>
  <si>
    <t>רועי הורוביץ</t>
  </si>
  <si>
    <t>רוני (אילן) ארם</t>
  </si>
  <si>
    <t>אנה לוי</t>
  </si>
  <si>
    <t>ג'סיקה מרים כהן</t>
  </si>
  <si>
    <t>אורן אבקסיס</t>
  </si>
  <si>
    <t>דנה שחר</t>
  </si>
  <si>
    <t>לירן זילברמן עורכי דין</t>
  </si>
  <si>
    <t>אביאל שאגי</t>
  </si>
  <si>
    <t>דורון לוקסנבורג</t>
  </si>
  <si>
    <t>קווין רנה צרפתי</t>
  </si>
  <si>
    <t>יעקב לוקסנבורג</t>
  </si>
  <si>
    <t>דניאל בן ארי</t>
  </si>
  <si>
    <t>ליאם כהן</t>
  </si>
  <si>
    <t>מור בורנשטיין</t>
  </si>
  <si>
    <t>ש. הרמון אחזקות ונכסים בע"מ</t>
  </si>
  <si>
    <t>פרנק עזר סלמה</t>
  </si>
  <si>
    <t>קרן דמרי</t>
  </si>
  <si>
    <t>משה שמלה</t>
  </si>
  <si>
    <t>יעקב דהן</t>
  </si>
  <si>
    <t>נטלי חמיסה כהן</t>
  </si>
  <si>
    <t>כרמית אלעד</t>
  </si>
  <si>
    <t>מנחם גורמן</t>
  </si>
  <si>
    <t>דרור ישראלי</t>
  </si>
  <si>
    <t>גיא בר לב</t>
  </si>
  <si>
    <t>נעם בר</t>
  </si>
  <si>
    <t>אופיר מילמן</t>
  </si>
  <si>
    <t>פרולוג'יק נדל"ן בע"מ</t>
  </si>
  <si>
    <t>בל ודניאל נכסים והשקעות בע"מ</t>
  </si>
  <si>
    <t>קמי פרידברג</t>
  </si>
  <si>
    <t>ב.נ וויסבורד אחזקות בע"מ</t>
  </si>
  <si>
    <t>אסף רפפורט</t>
  </si>
  <si>
    <t>גיא שלם</t>
  </si>
  <si>
    <t>אדם דוד פרלו</t>
  </si>
  <si>
    <t>תמר רוזן</t>
  </si>
  <si>
    <t>אלי גבי</t>
  </si>
  <si>
    <t>אור רוטר</t>
  </si>
  <si>
    <t>שרון ברג</t>
  </si>
  <si>
    <t>טרי יוסף בן הרוש</t>
  </si>
  <si>
    <t>תמר שוב</t>
  </si>
  <si>
    <t>לוית סאול</t>
  </si>
  <si>
    <t>ירון וינברג 2017 בע"מ</t>
  </si>
  <si>
    <t>עופרי איילה מלכא</t>
  </si>
  <si>
    <t>תהל קציעה נדר</t>
  </si>
  <si>
    <t>בה ארץ בע"מ</t>
  </si>
  <si>
    <t>איריס מוזס</t>
  </si>
  <si>
    <t>נעם שגב</t>
  </si>
  <si>
    <t>עמית דרך</t>
  </si>
  <si>
    <t>סי. אי. ג'י אי. אף בע"מ</t>
  </si>
  <si>
    <t>אמיר דוידוביץ</t>
  </si>
  <si>
    <t>ארד אלעזרא</t>
  </si>
  <si>
    <t>ענת איתן זך</t>
  </si>
  <si>
    <t>רות רעם</t>
  </si>
  <si>
    <t>יהושוע גבריאל ליפמן</t>
  </si>
  <si>
    <t>ג'סיקה לדרמן קורקידי</t>
  </si>
  <si>
    <t>רועי וינברג</t>
  </si>
  <si>
    <t>עופר רפאל לוזון</t>
  </si>
  <si>
    <t>גרפית נכסים ובניה בע"מ</t>
  </si>
  <si>
    <t>יואב אליהו קצב</t>
  </si>
  <si>
    <t>ליאד השכרה למגורים בע"מ</t>
  </si>
  <si>
    <t>רונית זאורבך</t>
  </si>
  <si>
    <t>מארק מימוני</t>
  </si>
  <si>
    <t>אמירי שוהם</t>
  </si>
  <si>
    <t>יוסף שאשא גביזון</t>
  </si>
  <si>
    <t>עדי נוימן</t>
  </si>
  <si>
    <t>גיא משיח</t>
  </si>
  <si>
    <t>עדי ראובן</t>
  </si>
  <si>
    <t>צבי גולוס</t>
  </si>
  <si>
    <t>אופיר ראובן</t>
  </si>
  <si>
    <t>דניאל פרידה טננבאום</t>
  </si>
  <si>
    <t>מורטון אש בע"מ</t>
  </si>
  <si>
    <t>בר ראובן</t>
  </si>
  <si>
    <t>אוקסנה זורינה</t>
  </si>
  <si>
    <t>מ.ר. סוויד בע"מ</t>
  </si>
  <si>
    <t>גל שריב</t>
  </si>
  <si>
    <t>מיכאל אוחיון</t>
  </si>
  <si>
    <t>מוסיף אור בע"מ</t>
  </si>
  <si>
    <t>רוי ראובן</t>
  </si>
  <si>
    <t>רון מאיר שוחט</t>
  </si>
  <si>
    <t>דביר גליזר חברת עורכי דין</t>
  </si>
  <si>
    <t>דפנה גיא</t>
  </si>
  <si>
    <t>איתי ראובן</t>
  </si>
  <si>
    <t>ד.א אמיד נכסים בע"מ</t>
  </si>
  <si>
    <t>דן ראובן</t>
  </si>
  <si>
    <t>יוסף צביאלי</t>
  </si>
  <si>
    <t>פרויקט סמל דרום DUO TLV</t>
  </si>
  <si>
    <t>v.s.2</t>
  </si>
  <si>
    <t>v.s.3</t>
  </si>
  <si>
    <t>v.s.4</t>
  </si>
  <si>
    <t>v.p.4</t>
  </si>
  <si>
    <t>v.s.5</t>
  </si>
  <si>
    <t>v.p.5</t>
  </si>
  <si>
    <t>v.ph</t>
  </si>
  <si>
    <t>מאגרי מים 
וח. משאבות מסחר</t>
  </si>
  <si>
    <t>בריכה</t>
  </si>
  <si>
    <t>פנויות</t>
  </si>
  <si>
    <t>פרגולת מסחר</t>
  </si>
  <si>
    <t>מבורך רחל</t>
  </si>
  <si>
    <t>שפירא ערן</t>
  </si>
  <si>
    <t>ג'יי דהן ביזנס ישראל בע"מ</t>
  </si>
  <si>
    <t>אם.דהן אינווסט ישראל בע"מ</t>
  </si>
  <si>
    <t>בורוכוביץ אנגלה ויחזקאל</t>
  </si>
  <si>
    <t>חיים ריטה</t>
  </si>
  <si>
    <t>TZVIו ALYSON JILL SMALL</t>
  </si>
  <si>
    <t>מאם מאיר מיכאל מנני</t>
  </si>
  <si>
    <t>די.גי.אל איי אס אר בע"מ</t>
  </si>
  <si>
    <t>וורטמן סמיואל עמיעז</t>
  </si>
  <si>
    <t>ביתא דו 770 תל אביב בעמ - (יוני עמר)</t>
  </si>
  <si>
    <t>ארז חבר</t>
  </si>
  <si>
    <t>נגב קרמיקה</t>
  </si>
  <si>
    <t>מירב דודק</t>
  </si>
  <si>
    <t>גיל אופיר</t>
  </si>
  <si>
    <t>אס.אן.וואי.טים יזמות והשקעות בע"מ</t>
  </si>
  <si>
    <t>הראל ואושרת תגר</t>
  </si>
  <si>
    <t>דורבן סימון</t>
  </si>
  <si>
    <t>סטטוס דירות מכורות - 14/04/2025</t>
  </si>
  <si>
    <t>סימון2</t>
  </si>
  <si>
    <t>סטטוס2</t>
  </si>
  <si>
    <t>הולד</t>
  </si>
  <si>
    <t>איחוד 284-285</t>
  </si>
  <si>
    <t>איחוד 289-290</t>
  </si>
  <si>
    <t>איחוד 249-295</t>
  </si>
  <si>
    <t>איחוד 301-302</t>
  </si>
  <si>
    <t>איחוד 316-317</t>
  </si>
  <si>
    <t>איחוד 260-261</t>
  </si>
  <si>
    <t>דירת</t>
  </si>
  <si>
    <t>איחוד</t>
  </si>
  <si>
    <t>S..</t>
  </si>
  <si>
    <t>O..</t>
  </si>
  <si>
    <t>V..</t>
  </si>
  <si>
    <t>H..</t>
  </si>
  <si>
    <t>בהולד</t>
  </si>
  <si>
    <t>דירות</t>
  </si>
  <si>
    <t>פנטהאוז</t>
  </si>
  <si>
    <t>דירות מכורות</t>
  </si>
  <si>
    <t>דירות בעלים</t>
  </si>
  <si>
    <t>דירות פנויות</t>
  </si>
  <si>
    <t>4 חד' סטנדרט</t>
  </si>
  <si>
    <t>5 חד' סטנדרט</t>
  </si>
  <si>
    <t>4 חד' פרימיום</t>
  </si>
  <si>
    <t>5 חד' פרימיום</t>
  </si>
  <si>
    <t>סה"כ סטנדרט</t>
  </si>
  <si>
    <t>סה"כ פרימיום</t>
  </si>
  <si>
    <t>אין</t>
  </si>
  <si>
    <t>ששון אלומיניום בע"מ</t>
  </si>
  <si>
    <t>4041</t>
  </si>
  <si>
    <t>4041A</t>
  </si>
  <si>
    <t>4-28</t>
  </si>
  <si>
    <t>4038</t>
  </si>
  <si>
    <t>4038A</t>
  </si>
  <si>
    <t>4-24</t>
  </si>
  <si>
    <t>בדיקה</t>
  </si>
  <si>
    <t>4132</t>
  </si>
  <si>
    <t>4132A</t>
  </si>
  <si>
    <t>קריסטין קוקו</t>
  </si>
  <si>
    <t>5C</t>
  </si>
  <si>
    <t>S.5C</t>
  </si>
  <si>
    <t>5CP</t>
  </si>
  <si>
    <t>P.5CP</t>
  </si>
  <si>
    <t>4BP</t>
  </si>
  <si>
    <t>P.4BP</t>
  </si>
  <si>
    <t>5272</t>
  </si>
  <si>
    <t>5-29</t>
  </si>
  <si>
    <t>5039</t>
  </si>
  <si>
    <t>חיים קריספל</t>
  </si>
  <si>
    <t>4249</t>
  </si>
  <si>
    <t>4250</t>
  </si>
  <si>
    <t>4-39</t>
  </si>
  <si>
    <t>ניק מוטי קול</t>
  </si>
  <si>
    <t>5133</t>
  </si>
  <si>
    <t>יעל ועודד שריג</t>
  </si>
  <si>
    <t>4076A</t>
  </si>
  <si>
    <t>3-10</t>
  </si>
  <si>
    <t>שמוליק לוי פאר נאפון</t>
  </si>
  <si>
    <t>עוד לא הועבר חוזה.</t>
  </si>
  <si>
    <t>מתוכן בHOLD</t>
  </si>
  <si>
    <t>ברקן גולן, שחר גולן</t>
  </si>
  <si>
    <t>ניסים ניר אלקלעי, מירב אלקלעי</t>
  </si>
  <si>
    <t>מנחם משה זלצר, גילת זלצר</t>
  </si>
  <si>
    <t>תומר חסיד, אבישג אוסנת חסיד</t>
  </si>
  <si>
    <t>עזרא כהן פרחיה, רחל לילי כהן פרחיה</t>
  </si>
  <si>
    <t>מיכאל יוהן, דן בוקובזה</t>
  </si>
  <si>
    <t>עידן שפרלינג ברקוביץ', רוזה שפרלינג ברקוביץ'</t>
  </si>
  <si>
    <t>יהודה יונה, שגית יונה</t>
  </si>
  <si>
    <t>עמוס (עמי) חסון, חסידה חסון</t>
  </si>
  <si>
    <t>תמר הורוביץ, דן פרל, גל פרל פינקל, אריה פרל, יובל דיין</t>
  </si>
  <si>
    <t>שי נזרי, אידית נזרי</t>
  </si>
  <si>
    <t>קווין עמר, ינטל נינה אוזן עמר</t>
  </si>
  <si>
    <t>עופר דניאל, כלנית דניאל</t>
  </si>
  <si>
    <t>ארז ניידיץ, דפנה ניידיץ</t>
  </si>
  <si>
    <t>רינת קליר ארליך, אבישי קליר ארליך</t>
  </si>
  <si>
    <t>יפעת רודרמן, אבי רודרמן</t>
  </si>
  <si>
    <t>יורם מור, ארנה מור</t>
  </si>
  <si>
    <t>ג'ולי אסתר מרים דהן, יצחק לוסיאן חסן</t>
  </si>
  <si>
    <t>אסתר דהן, רוני משה דהן</t>
  </si>
  <si>
    <t>אורלי בן שמול, גבריאל בן שמול</t>
  </si>
  <si>
    <t>איל שוורץ, איריס פרידה לי שוורץ</t>
  </si>
  <si>
    <t>רפאל דניאל שמידע, נורית בלומה שמידע</t>
  </si>
  <si>
    <t>בת אל דאנה, שלום אברהם</t>
  </si>
  <si>
    <t>מיכאל כהן, מיכל כהן</t>
  </si>
  <si>
    <t>אופיר נסיכי, מנור גרא</t>
  </si>
  <si>
    <t>אביעד שוב, א.ס.ש השקעות בע"מ</t>
  </si>
  <si>
    <t>ג'רי באר פדוביץ', סיגל באר פדוביץ'</t>
  </si>
  <si>
    <t>אבי רודרמן, יפעת רודרמן</t>
  </si>
  <si>
    <t>ישראל חיים וצ'רנינסקי, ויויאן אדלר וצ'רנינסקי</t>
  </si>
  <si>
    <t>מיכאל אבירם וולקס, נילי אבירם וולקס</t>
  </si>
  <si>
    <t>אלי ארזי, ויקי ארזי</t>
  </si>
  <si>
    <t>דניאל פול אלכאן, סופי אידית פוקס אלכאן</t>
  </si>
  <si>
    <t>עדי רוטר, רון רוטר</t>
  </si>
  <si>
    <t>גבריאל עטיה רוטר, אסתר עטיה רוטר</t>
  </si>
  <si>
    <t>תמר שוב, א.ס.ש השקעות בע"מ</t>
  </si>
  <si>
    <t>גבריאל בנחמו, עופרה בנחמו</t>
  </si>
  <si>
    <t>דלי אלקסלסי, חנניה אלקסלסי</t>
  </si>
  <si>
    <t>עמנואל שלם, שירלי עמית שלם</t>
  </si>
  <si>
    <t>שחר קורטוב, קרן קורטוב</t>
  </si>
  <si>
    <t>אילן לוגסי, פנחס ברגר, אביה בלהה ברגר</t>
  </si>
  <si>
    <t>אברהם גולדפינגר, יניב בר לב, מיכל בר לב</t>
  </si>
  <si>
    <t>שלמה זלצר, אילן לוגסי</t>
  </si>
  <si>
    <t>דוד בובליל, טל שמעון בובליל כהן</t>
  </si>
  <si>
    <t>מאיה צוברי, אסף צוברי</t>
  </si>
  <si>
    <t>צחי רז, קטיה גולדינוב רז, חגית כהן יקיר, מעיין יקיר</t>
  </si>
  <si>
    <t>משה עבדי, מירב עבדי</t>
  </si>
  <si>
    <t>סיאן סקאגו, רועי רפאל מצר</t>
  </si>
  <si>
    <t>שרון לוי, חני לוי</t>
  </si>
  <si>
    <t>לאה מויאל, שרה בן דנון פרג'ון</t>
  </si>
  <si>
    <t>שי סולומון דבי, עידן דבי</t>
  </si>
  <si>
    <t>יהודה כהן, יובף אטשטיין, לימור אטשטיין</t>
  </si>
  <si>
    <t>איתי בן חורין, לירן אבישר בן חורין</t>
  </si>
  <si>
    <t>נחום רפאל סאמט, נעמה סאמט רובינשטיין</t>
  </si>
  <si>
    <t>דניאל מלקין, מיה רון</t>
  </si>
  <si>
    <t>מיכאל יעקבי, ענת יעקבי</t>
  </si>
  <si>
    <t>עודד אפרתי, זהבית אפרתי</t>
  </si>
  <si>
    <t>רויטל תמיר, אלון תמיק</t>
  </si>
  <si>
    <t>גיא בן יוסף, מיטל פרחה ראובן בן יוסף</t>
  </si>
  <si>
    <t>דניאל בירגר, יעל בירגר</t>
  </si>
  <si>
    <t>יוסף מרום טמשה, מיכל שגב טמשה</t>
  </si>
  <si>
    <t>איל בן יוסף, מענית מירי בן יוסף</t>
  </si>
  <si>
    <t>אברהם יגאל סומך, נגה ענתבי סומך</t>
  </si>
  <si>
    <t>הרולד אלן שווידן, מנדי שווידן</t>
  </si>
  <si>
    <t>אוהד יניב, שרונה ברוך יניב</t>
  </si>
  <si>
    <t>יורם מסעוד וקנין, שושנה וקנין</t>
  </si>
  <si>
    <t>שני אורי, מאי הראל אורי</t>
  </si>
  <si>
    <t>איקס מרקט בע"מ, חיים בוחניק</t>
  </si>
  <si>
    <t>יוסף שאשא גביזון, יאיר יעקב אוחיון</t>
  </si>
  <si>
    <t>יניב בר לב, מיכל בר לב</t>
  </si>
  <si>
    <t>דן פרל, גל פרל פינקל, אריה פרל, יובל דיין</t>
  </si>
  <si>
    <t>ירון צברי, ציון אמר</t>
  </si>
  <si>
    <t>לירון שלומוביץ, דניאל שלומוביץ</t>
  </si>
  <si>
    <t>יוסי גליק, נורית גליק</t>
  </si>
  <si>
    <t>ארז חבר, אווה ויסלר</t>
  </si>
  <si>
    <t>איתן גור, אוסנת גור</t>
  </si>
  <si>
    <t>פסגות עופרים בע"מ, אלי ספטון, רוזי ספטון</t>
  </si>
  <si>
    <t>יאסון השקעות בע"מ, יניב בר לב, מיכל בר לב, שרון וייסמן, גיל אופיר</t>
  </si>
  <si>
    <t>נעמה שיף, שמואל שוב, א.ס.ש השקעות בע"מ</t>
  </si>
  <si>
    <t>גמר מינימלי</t>
  </si>
  <si>
    <t>גמר מלא סטנדרט</t>
  </si>
  <si>
    <t>גמר מלא- טיוב תכנון</t>
  </si>
  <si>
    <t>דירות זוהר לוי -160 מ"ר</t>
  </si>
  <si>
    <t>דירות זוהר לוי -4 חדרים</t>
  </si>
  <si>
    <t>זוהר לוי</t>
  </si>
  <si>
    <t>מקרא לגמר דירות ע"פ PDF 31/03/2026</t>
  </si>
  <si>
    <t>לפי הטבלה של אלון - הוחלט לבצע 4B יש לבצע בחירות,- דירה פנויה</t>
  </si>
  <si>
    <t>ספק ריצופים וכלים סניטרים</t>
  </si>
  <si>
    <t>כתוב פנויה אצל אלון בטבלה</t>
  </si>
  <si>
    <t>נמכרה כדירת גמר מינימאלי</t>
  </si>
  <si>
    <t>נמכרה -יכנס קבלן גמרים לביצוע</t>
  </si>
  <si>
    <t>הערות טבלה אלון</t>
  </si>
  <si>
    <t>נמכרה -יכנס קבלן גמרים לביצוע טרם התקבל חוזה חתום</t>
  </si>
  <si>
    <t>160 מ"ר - 5 חד' דירות זוהר לוי , לקבל חוזה ואישור ליאור שנמכרה (ולשנות סטטוס למכור)</t>
  </si>
  <si>
    <t>;</t>
  </si>
  <si>
    <t>אצל אפ"י כתוב שהדירה פנויה ליאור לבדיקה</t>
  </si>
  <si>
    <t>סטטוס ביצוע-תוכניות +בחירות גמר</t>
  </si>
  <si>
    <t>אין בחירות גמרים מזמין??????????</t>
  </si>
  <si>
    <t>יש בחירות ותוכניות  29/04/2026</t>
  </si>
  <si>
    <t>קיים תכנון אין בחירות גמר 29/4/26</t>
  </si>
  <si>
    <t>אין תוכניות ואין בחירות גמר 29/4/26</t>
  </si>
  <si>
    <t>אין בחירות גמרים מזמין 20/4/26</t>
  </si>
  <si>
    <t xml:space="preserve">יש בחירות ותוכניות </t>
  </si>
  <si>
    <t>יש תוכניות ובחירת גמר עפ"י שיחה עם אלון</t>
  </si>
  <si>
    <t>בטבלה של אלון כתוב פנויה, יש תוכניות עפ"י שיחה עם אלון</t>
  </si>
  <si>
    <t>160 מ"ר  - 4 חד'-דירות זוהר לוי ( אישור מליאור מכור)</t>
  </si>
  <si>
    <t xml:space="preserve">הכל התקבל ותקין- ממתינים לאישור הצעות המחיר – הובהר בישיבה שלא ממתינים להצעת מחיר שמתקדמים וההצעות יבדקו במהרה תוך כדי תהליך </t>
  </si>
  <si>
    <t xml:space="preserve">יש בחירות ותוכניות  29/04/2026,  </t>
  </si>
  <si>
    <t>עדכון ע"פ מייל ליאור מיום 02/06/2026 (14/06/2026)</t>
  </si>
  <si>
    <t>הוקלדו ואושרו הזמנות במערכת , הוטמעו פריסות בדירות ואושר על ידי אלון להוריד לשטח מהדורות ללא חתימה ותשלום של היזם. היום 11.6 ישלח סט תוכניות מעודכן לשטח לכל דירה</t>
  </si>
  <si>
    <t xml:space="preserve">כדי לקבל הצעת מחיר כולל על הדירות טיוב חסר:
1. הזמנת כלים סניטרים – עדכון זלמא ביום חמישי 
2. פריסות חדרי רחצה – עד שבוע הבא 
3. תוכנית חשמל מגולדין (יש תמחור בהצעת המחיר) – הפנתם אותי (ליאור ) שהקבלן לא מעביר הצעת מחיר הרבה זמן ויש לפעול מולו בהקדם </t>
  </si>
  <si>
    <t xml:space="preserve">אין בחירות מזמין- אביבית שלחה פריסה אחת לחזי בנק כדי שיוציאו הזמנות ,אני טרם קיבלתי הזמנות, גולדין שלחו תוכנית בלי שעשו בה כלום רק שמו לוגו. שלחתי שוב את הקבצים לשני מגולדין והסברתי לה מה צריך לעשות היא אומרת שלא הסבירו לה אז מחכים שוב לתוכניות </t>
  </si>
  <si>
    <t>ביצוע תכנית סטנדרט- בחירות ע"פ שיווק, הוקלדו ואושרו הזמנות במערכת , הוטמעו פריסות בדירות ואושר על ידי אלון להוריד לשטח מהדורות ללא חתימה ותשלום של היזם. היום 11.6 ישלח סט תוכניות מעודכן לשטח</t>
  </si>
  <si>
    <t xml:space="preserve">ביצוע תכנית סטנדרט- בחירות ע"פ שיווק,נמכרה ב 19.02, הועבר חוזה רק ב 05.05.26- דירה כבר בוצעה סטנדרט מלא עפ"י סיכום,מחכים לקבלת הזמנות מהדייר, הדייר מודע לכך שהוא לא יכול לבצע שינויים </t>
  </si>
  <si>
    <t>התנהלות מול דייר</t>
  </si>
  <si>
    <t xml:space="preserve">הוחלט לבצע את הדירה כמינימום- מחכה לתכנון חשמל של גולדין </t>
  </si>
  <si>
    <t xml:space="preserve">מאושר בגמר מינימלי – תהליך הסתיים </t>
  </si>
  <si>
    <r>
      <t>נמצאת בבקשת רכישה</t>
    </r>
    <r>
      <rPr>
        <sz val="11"/>
        <color theme="1"/>
        <rFont val="Calibri"/>
        <family val="2"/>
      </rPr>
      <t xml:space="preserve"> – עדכון ביום חמישי עלידי אברהם </t>
    </r>
  </si>
  <si>
    <t>יש לסגור תוכניות בהקדם</t>
  </si>
  <si>
    <t xml:space="preserve">שוחררה -דירה מוקטנת הפכה להיות טיפוס 4BP , הוחלט לבצע את הדירה כמינימום- מחכה לתכנון חשמל של גולדין </t>
  </si>
  <si>
    <t xml:space="preserve">מחכה לגולדין לתכנית חשמל מינימום -טרם שלחו </t>
  </si>
  <si>
    <t>דירה שהיתה בגמר מנימלי והתקבל בקשת רכישה</t>
  </si>
  <si>
    <t xml:space="preserve">נמכרה -יכנס קבלן גמרים לביצוע טרם התקבל חוזה חתום, פורקו התוכניות ונשלח תיק דייר לדיירת עם סט תוכניות מלא </t>
  </si>
  <si>
    <t xml:space="preserve">פורקו התוכניות ונשלח תיק דייר לדיירת עם סט תוכניות מלא </t>
  </si>
  <si>
    <t>הוקלדו ואושרו הזמנות במערכת , הוטמעו פריסות בדירות ואושר על ידי אלון להוריד לשטח מהדורות ללא חתימה ותשלום של היזם. היום 11.6 ישלח סט תוכניות מעודכן לשטח</t>
  </si>
  <si>
    <t>הכל התקבל ותקין- ממתינים לאישור הצעות המחיר – הובהר בישיבה שלא ממתינים להצעת מחיר שמתקדמים וההצעות יבדקו במהרה תוך כדי תהליך</t>
  </si>
  <si>
    <t>מאושר בגמר מינימלי – תהליך הסתיים</t>
  </si>
  <si>
    <t>התקבלו תוכניות חשמל מינימום מגולדין אנחנו נפתח מהדורה חדשה ונטמיע אותם</t>
  </si>
  <si>
    <t xml:space="preserve">סטטוס גמר </t>
  </si>
  <si>
    <t xml:space="preserve">סטטוס מסירה </t>
  </si>
  <si>
    <t>גמר מלא טיוב חומרים</t>
  </si>
  <si>
    <t>דירת שיווק</t>
  </si>
  <si>
    <t>זומן לטרום</t>
  </si>
  <si>
    <t>טרום מסירה</t>
  </si>
  <si>
    <t>טרום מסירה מהנדס</t>
  </si>
  <si>
    <t>מסירת חזקה</t>
  </si>
  <si>
    <t>מסירת חזקה מהנדס</t>
  </si>
  <si>
    <t>סטטוס מסירות דרומי</t>
  </si>
  <si>
    <t xml:space="preserve">סטטוס מסירות צפוני </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</si>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</sst>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95" x14ac:knownFonts="1">
    <font>
      <sz val="11"/>
      <color theme="1"/>
      <name val="Arial"/>
      <family val="2"/>
      <charset val="177"/>
      <scheme val="minor"/>
    </font>
    <font>
      <sz val="11"/>
      <color theme="1"/>
      <name val="Calibri"/>
      <family val="2"/>
    </font>
    <font>
      <sz val="8"/>
      <name val="Arial"/>
      <family val="2"/>
      <charset val="177"/>
      <scheme val="minor"/>
    </font>
    <font>
      <b/>
      <sz val="14"/>
      <color theme="1"/>
      <name val="Calibri"/>
      <family val="2"/>
    </font>
    <font>
      <b/>
      <sz val="11"/>
      <name val="Calibri"/>
      <family val="2"/>
    </font>
    <font>
      <b/>
      <sz val="13"/>
      <color theme="1"/>
      <name val="Calibri"/>
      <family val="2"/>
    </font>
    <font>
      <b/>
      <sz val="12"/>
      <color theme="1"/>
      <name val="Calibri"/>
      <family val="2"/>
    </font>
    <font>
      <b/>
      <sz val="12"/>
      <name val="Calibri"/>
      <family val="2"/>
    </font>
    <font>
      <sz val="12"/>
      <name val="Calibri"/>
      <family val="2"/>
    </font>
    <font>
      <sz val="12"/>
      <color theme="1"/>
      <name val="Calibri"/>
      <family val="2"/>
    </font>
    <font>
      <b/>
      <sz val="25"/>
      <color theme="1"/>
      <name val="Calibri"/>
      <family val="2"/>
    </font>
    <font>
      <b/>
      <sz val="30"/>
      <color theme="1"/>
      <name val="Calibri"/>
      <family val="2"/>
    </font>
    <font>
      <sz val="12"/>
      <color theme="0"/>
      <name val="Calibri"/>
      <family val="2"/>
    </font>
    <font>
      <sz val="12"/>
      <color rgb="FF000000"/>
      <name val="Calibri"/>
      <family val="2"/>
    </font>
    <font>
      <sz val="11"/>
      <color theme="0"/>
      <name val="Calibri"/>
      <family val="2"/>
    </font>
    <font>
      <sz val="11"/>
      <color theme="1"/>
      <name val="Arial"/>
      <family val="2"/>
      <charset val="177"/>
      <scheme val="minor"/>
    </font>
    <font>
      <b/>
      <sz val="10"/>
      <color theme="1"/>
      <name val="Calibri"/>
      <family val="2"/>
    </font>
    <font>
      <sz val="11"/>
      <color theme="1"/>
      <name val="Arial"/>
      <family val="2"/>
      <scheme val="minor"/>
    </font>
    <font>
      <sz val="14"/>
      <color theme="1"/>
      <name val="Calibri"/>
      <family val="2"/>
    </font>
    <font>
      <sz val="12"/>
      <color rgb="FF14BC90"/>
      <name val="Calibri"/>
      <family val="2"/>
    </font>
    <font>
      <sz val="12"/>
      <color theme="1"/>
      <name val="Arial"/>
      <family val="2"/>
      <charset val="177"/>
      <scheme val="minor"/>
    </font>
    <font>
      <b/>
      <sz val="30"/>
      <color theme="0"/>
      <name val="Calibri"/>
      <family val="2"/>
    </font>
    <font>
      <b/>
      <sz val="15"/>
      <color theme="1"/>
      <name val="Calibri"/>
      <family val="2"/>
    </font>
    <font>
      <sz val="15"/>
      <color theme="1"/>
      <name val="Calibri"/>
      <family val="2"/>
    </font>
    <font>
      <b/>
      <sz val="15"/>
      <name val="Calibri"/>
      <family val="2"/>
    </font>
    <font>
      <b/>
      <sz val="7"/>
      <color theme="1"/>
      <name val="Calibri"/>
      <family val="2"/>
    </font>
    <font>
      <sz val="7"/>
      <color theme="1"/>
      <name val="Calibri"/>
      <family val="2"/>
    </font>
    <font>
      <b/>
      <sz val="7"/>
      <name val="Calibri"/>
      <family val="2"/>
    </font>
    <font>
      <b/>
      <sz val="7"/>
      <color theme="0" tint="-0.34998626667073579"/>
      <name val="Calibri"/>
      <family val="2"/>
    </font>
    <font>
      <sz val="7"/>
      <color theme="0"/>
      <name val="Calibri"/>
      <family val="2"/>
    </font>
    <font>
      <b/>
      <sz val="48"/>
      <color theme="1"/>
      <name val="Calibri"/>
      <family val="2"/>
    </font>
    <font>
      <b/>
      <sz val="17"/>
      <color theme="1"/>
      <name val="Calibri"/>
      <family val="2"/>
    </font>
    <font>
      <sz val="17"/>
      <color theme="1"/>
      <name val="Calibri"/>
      <family val="2"/>
    </font>
    <font>
      <b/>
      <sz val="17"/>
      <name val="Calibri"/>
      <family val="2"/>
    </font>
    <font>
      <b/>
      <sz val="17"/>
      <color theme="0" tint="-0.34998626667073579"/>
      <name val="Calibri"/>
      <family val="2"/>
    </font>
    <font>
      <sz val="17"/>
      <color theme="0"/>
      <name val="Calibri"/>
      <family val="2"/>
    </font>
    <font>
      <sz val="14"/>
      <name val="Calibri"/>
      <family val="2"/>
    </font>
    <font>
      <b/>
      <sz val="14"/>
      <name val="Calibri"/>
      <family val="2"/>
    </font>
    <font>
      <b/>
      <sz val="14"/>
      <color theme="0" tint="-0.34998626667073579"/>
      <name val="Calibri"/>
      <family val="2"/>
    </font>
    <font>
      <sz val="14"/>
      <color theme="0"/>
      <name val="Calibri"/>
      <family val="2"/>
    </font>
    <font>
      <sz val="12"/>
      <color theme="0" tint="-0.34998626667073579"/>
      <name val="Calibri"/>
      <family val="2"/>
    </font>
    <font>
      <b/>
      <sz val="16"/>
      <color theme="1"/>
      <name val="Calibri"/>
      <family val="2"/>
    </font>
    <font>
      <b/>
      <sz val="13"/>
      <name val="Calibri"/>
      <family val="2"/>
    </font>
    <font>
      <sz val="13"/>
      <color theme="1"/>
      <name val="Calibri"/>
      <family val="2"/>
    </font>
    <font>
      <b/>
      <sz val="14"/>
      <color theme="0" tint="-4.9989318521683403E-2"/>
      <name val="Calibri"/>
      <family val="2"/>
    </font>
    <font>
      <b/>
      <sz val="36"/>
      <color theme="1"/>
      <name val="Calibri"/>
      <family val="2"/>
    </font>
    <font>
      <sz val="12"/>
      <color rgb="FFFF0000"/>
      <name val="Calibri"/>
      <family val="2"/>
    </font>
    <font>
      <b/>
      <sz val="12"/>
      <color rgb="FF00B050"/>
      <name val="Calibri"/>
      <family val="2"/>
    </font>
    <font>
      <b/>
      <sz val="12"/>
      <color rgb="FFFF0000"/>
      <name val="Calibri"/>
      <family val="2"/>
    </font>
    <font>
      <b/>
      <sz val="12"/>
      <color theme="0"/>
      <name val="Calibri"/>
      <family val="2"/>
    </font>
    <font>
      <b/>
      <sz val="12"/>
      <color rgb="FFFFC000"/>
      <name val="Calibri"/>
      <family val="2"/>
    </font>
    <font>
      <sz val="11"/>
      <name val="Arial"/>
      <family val="2"/>
    </font>
    <font>
      <b/>
      <sz val="36"/>
      <color theme="1"/>
      <name val="Segoe UI Emoji"/>
      <family val="2"/>
    </font>
    <font>
      <b/>
      <sz val="30"/>
      <color theme="1"/>
      <name val="Segoe UI Emoji"/>
      <family val="2"/>
    </font>
    <font>
      <b/>
      <sz val="30"/>
      <color theme="0"/>
      <name val="Segoe UI Emoji"/>
      <family val="2"/>
    </font>
    <font>
      <sz val="11"/>
      <color theme="1"/>
      <name val="Segoe UI Emoji"/>
      <family val="2"/>
    </font>
    <font>
      <b/>
      <sz val="48"/>
      <color theme="1"/>
      <name val="Segoe UI Emoji"/>
      <family val="2"/>
    </font>
    <font>
      <sz val="12"/>
      <color theme="1"/>
      <name val="Segoe UI Emoji"/>
      <family val="2"/>
    </font>
    <font>
      <b/>
      <sz val="12"/>
      <color theme="1"/>
      <name val="Segoe UI Emoji"/>
      <family val="2"/>
    </font>
    <font>
      <b/>
      <sz val="25"/>
      <color theme="1"/>
      <name val="Segoe UI Emoji"/>
      <family val="2"/>
    </font>
    <font>
      <sz val="11"/>
      <color theme="0"/>
      <name val="Segoe UI Emoji"/>
      <family val="2"/>
    </font>
    <font>
      <b/>
      <sz val="14"/>
      <color rgb="FF00B050"/>
      <name val="Segoe UI Emoji"/>
      <family val="2"/>
    </font>
    <font>
      <b/>
      <sz val="14"/>
      <color rgb="FFFE8B34"/>
      <name val="Segoe UI Emoji"/>
      <family val="2"/>
    </font>
    <font>
      <b/>
      <sz val="14"/>
      <color rgb="FFFFFF00"/>
      <name val="Segoe UI Emoji"/>
      <family val="2"/>
    </font>
    <font>
      <b/>
      <sz val="16"/>
      <color theme="1"/>
      <name val="Segoe UI Emoji"/>
      <family val="2"/>
    </font>
    <font>
      <b/>
      <sz val="17"/>
      <color theme="1"/>
      <name val="Segoe UI Emoji"/>
      <family val="2"/>
    </font>
    <font>
      <sz val="14"/>
      <color theme="1"/>
      <name val="Segoe UI Emoji"/>
      <family val="2"/>
    </font>
    <font>
      <b/>
      <sz val="15"/>
      <color theme="1"/>
      <name val="Segoe UI Emoji"/>
      <family val="2"/>
    </font>
    <font>
      <b/>
      <sz val="17"/>
      <name val="Segoe UI Emoji"/>
      <family val="2"/>
    </font>
    <font>
      <sz val="17"/>
      <color theme="1"/>
      <name val="Segoe UI Emoji"/>
      <family val="2"/>
    </font>
    <font>
      <b/>
      <sz val="7"/>
      <color theme="1"/>
      <name val="Segoe UI Emoji"/>
      <family val="2"/>
    </font>
    <font>
      <b/>
      <sz val="7"/>
      <name val="Segoe UI Emoji"/>
      <family val="2"/>
    </font>
    <font>
      <sz val="7"/>
      <color theme="1"/>
      <name val="Segoe UI Emoji"/>
      <family val="2"/>
    </font>
    <font>
      <sz val="12"/>
      <color theme="0"/>
      <name val="Segoe UI Emoji"/>
      <family val="2"/>
    </font>
    <font>
      <sz val="12"/>
      <name val="Segoe UI Emoji"/>
      <family val="2"/>
    </font>
    <font>
      <b/>
      <sz val="12"/>
      <name val="Segoe UI Emoji"/>
      <family val="2"/>
    </font>
    <font>
      <sz val="14"/>
      <name val="Segoe UI Emoji"/>
      <family val="2"/>
    </font>
    <font>
      <b/>
      <sz val="14"/>
      <name val="Segoe UI Emoji"/>
      <family val="2"/>
    </font>
    <font>
      <b/>
      <sz val="17"/>
      <color theme="0" tint="-0.34998626667073579"/>
      <name val="Segoe UI Emoji"/>
      <family val="2"/>
    </font>
    <font>
      <sz val="15"/>
      <color theme="1"/>
      <name val="Segoe UI Emoji"/>
      <family val="2"/>
    </font>
    <font>
      <b/>
      <sz val="7"/>
      <color theme="0" tint="-0.34998626667073579"/>
      <name val="Segoe UI Emoji"/>
      <family val="2"/>
    </font>
    <font>
      <sz val="12"/>
      <color theme="0" tint="-0.34998626667073579"/>
      <name val="Segoe UI Emoji"/>
      <family val="2"/>
    </font>
    <font>
      <b/>
      <sz val="14"/>
      <color theme="0" tint="-0.34998626667073579"/>
      <name val="Segoe UI Emoji"/>
      <family val="2"/>
    </font>
    <font>
      <sz val="14"/>
      <color theme="0"/>
      <name val="Segoe UI Emoji"/>
      <family val="2"/>
    </font>
    <font>
      <sz val="17"/>
      <color theme="0"/>
      <name val="Segoe UI Emoji"/>
      <family val="2"/>
    </font>
    <font>
      <b/>
      <sz val="14"/>
      <color theme="0" tint="-4.9989318521683403E-2"/>
      <name val="Segoe UI Emoji"/>
      <family val="2"/>
    </font>
    <font>
      <sz val="7"/>
      <color theme="0"/>
      <name val="Segoe UI Emoji"/>
      <family val="2"/>
    </font>
    <font>
      <b/>
      <sz val="14"/>
      <color theme="1"/>
      <name val="Segoe UI Emoji"/>
      <family val="2"/>
    </font>
    <font>
      <sz val="12"/>
      <color rgb="FF14BC90"/>
      <name val="Segoe UI Emoji"/>
      <family val="2"/>
    </font>
    <font>
      <b/>
      <sz val="15"/>
      <name val="Segoe UI Emoji"/>
      <family val="2"/>
    </font>
    <font>
      <b/>
      <sz val="13"/>
      <color theme="1"/>
      <name val="Segoe UI Emoji"/>
      <family val="2"/>
    </font>
    <font>
      <sz val="13"/>
      <color theme="1"/>
      <name val="Segoe UI Emoji"/>
      <family val="2"/>
    </font>
    <font>
      <b/>
      <sz val="9.5"/>
      <color theme="1"/>
      <name val="Segoe UI Emoji"/>
      <family val="2"/>
    </font>
    <font>
      <b/>
      <sz val="10"/>
      <color theme="1"/>
      <name val="Segoe UI Emoji"/>
      <family val="2"/>
    </font>
    <font>
      <b/>
      <sz val="11"/>
      <name val="Segoe UI Emoji"/>
      <family val="2"/>
    </font>
  </fonts>
  <fills count="52">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D5F1"/>
        <bgColor indexed="64"/>
      </patternFill>
    </fill>
    <fill>
      <patternFill patternType="solid">
        <fgColor rgb="FFCDDEFF"/>
        <bgColor indexed="64"/>
      </patternFill>
    </fill>
    <fill>
      <patternFill patternType="solid">
        <fgColor rgb="FFEFD7FD"/>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rgb="FFBFA46F"/>
        <bgColor indexed="64"/>
      </patternFill>
    </fill>
    <fill>
      <gradientFill>
        <stop position="0">
          <color theme="0"/>
        </stop>
        <stop position="1">
          <color rgb="FFC7F9EC"/>
        </stop>
      </gradient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darkVertical">
        <fgColor theme="0" tint="-0.24994659260841701"/>
        <bgColor theme="0"/>
      </patternFill>
    </fill>
    <fill>
      <patternFill patternType="solid">
        <fgColor theme="1" tint="0.499984740745262"/>
        <bgColor indexed="64"/>
      </patternFill>
    </fill>
    <fill>
      <patternFill patternType="solid">
        <fgColor theme="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0.39997558519241921"/>
        <bgColor indexed="64"/>
      </patternFill>
    </fill>
    <fill>
      <patternFill patternType="solid">
        <fgColor theme="2" tint="0.79998168889431442"/>
        <bgColor indexed="64"/>
      </patternFill>
    </fill>
    <fill>
      <patternFill patternType="solid">
        <fgColor theme="8" tint="-0.249977111117893"/>
        <bgColor indexed="64"/>
      </patternFill>
    </fill>
    <fill>
      <patternFill patternType="solid">
        <fgColor theme="7"/>
        <bgColor indexed="64"/>
      </patternFill>
    </fill>
    <fill>
      <patternFill patternType="solid">
        <fgColor theme="4"/>
        <bgColor indexed="64"/>
      </patternFill>
    </fill>
    <fill>
      <patternFill patternType="solid">
        <fgColor theme="8" tint="0.59999389629810485"/>
        <bgColor indexed="64"/>
      </patternFill>
    </fill>
    <fill>
      <patternFill patternType="solid">
        <fgColor theme="8"/>
        <bgColor indexed="64"/>
      </patternFill>
    </fill>
    <fill>
      <patternFill patternType="solid">
        <fgColor theme="2"/>
        <bgColor indexed="64"/>
      </patternFill>
    </fill>
    <fill>
      <patternFill patternType="solid">
        <fgColor theme="2"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1EA"/>
        <bgColor indexed="64"/>
      </patternFill>
    </fill>
    <fill>
      <patternFill patternType="solid">
        <fgColor rgb="FF7989BD"/>
        <bgColor indexed="64"/>
      </patternFill>
    </fill>
    <fill>
      <patternFill patternType="solid">
        <fgColor rgb="FFD78A5B"/>
        <bgColor indexed="64"/>
      </patternFill>
    </fill>
    <fill>
      <patternFill patternType="solid">
        <fgColor rgb="FFFFFF00"/>
        <bgColor indexed="64"/>
      </patternFill>
    </fill>
    <fill>
      <patternFill patternType="solid">
        <fgColor rgb="FF66FF66"/>
        <bgColor indexed="64"/>
      </patternFill>
    </fill>
    <fill>
      <patternFill patternType="solid">
        <fgColor rgb="FFFE8B34"/>
        <bgColor indexed="64"/>
      </patternFill>
    </fill>
    <fill>
      <patternFill patternType="solid">
        <fgColor theme="3" tint="-9.9978637043366805E-2"/>
        <bgColor indexed="64"/>
      </patternFill>
    </fill>
    <fill>
      <patternFill patternType="solid">
        <fgColor rgb="FF00FFFF"/>
        <bgColor indexed="64"/>
      </patternFill>
    </fill>
    <fill>
      <patternFill patternType="solid">
        <fgColor rgb="FFFF0000"/>
        <bgColor indexed="64"/>
      </patternFill>
    </fill>
    <fill>
      <patternFill patternType="solid">
        <fgColor theme="0" tint="-0.34998626667073579"/>
        <bgColor indexed="64"/>
      </patternFill>
    </fill>
    <fill>
      <patternFill patternType="solid">
        <fgColor rgb="FFFFF2DB"/>
        <bgColor indexed="64"/>
      </patternFill>
    </fill>
  </fills>
  <borders count="236">
    <border>
      <left/>
      <right/>
      <top/>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ck">
        <color indexed="64"/>
      </right>
      <top style="medium">
        <color indexed="64"/>
      </top>
      <bottom/>
      <diagonal/>
    </border>
    <border>
      <left/>
      <right style="thick">
        <color indexed="64"/>
      </right>
      <top/>
      <bottom style="medium">
        <color indexed="64"/>
      </bottom>
      <diagonal/>
    </border>
    <border>
      <left/>
      <right style="thick">
        <color indexed="64"/>
      </right>
      <top/>
      <bottom/>
      <diagonal/>
    </border>
    <border>
      <left/>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ck">
        <color indexed="64"/>
      </bottom>
      <diagonal/>
    </border>
    <border>
      <left/>
      <right/>
      <top style="medium">
        <color indexed="64"/>
      </top>
      <bottom/>
      <diagonal/>
    </border>
    <border>
      <left/>
      <right/>
      <top style="thick">
        <color indexed="64"/>
      </top>
      <bottom/>
      <diagonal/>
    </border>
    <border>
      <left style="thick">
        <color indexed="64"/>
      </left>
      <right/>
      <top/>
      <bottom style="medium">
        <color indexed="64"/>
      </bottom>
      <diagonal/>
    </border>
    <border>
      <left style="thick">
        <color indexed="64"/>
      </left>
      <right/>
      <top/>
      <bottom/>
      <diagonal/>
    </border>
    <border>
      <left style="thick">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ck">
        <color indexed="64"/>
      </right>
      <top style="thick">
        <color indexed="64"/>
      </top>
      <bottom/>
      <diagonal/>
    </border>
    <border>
      <left style="thin">
        <color indexed="64"/>
      </left>
      <right style="thick">
        <color indexed="64"/>
      </right>
      <top/>
      <bottom style="medium">
        <color indexed="64"/>
      </bottom>
      <diagonal/>
    </border>
    <border>
      <left/>
      <right/>
      <top style="medium">
        <color indexed="64"/>
      </top>
      <bottom style="thick">
        <color indexed="64"/>
      </bottom>
      <diagonal/>
    </border>
    <border>
      <left/>
      <right style="thin">
        <color indexed="64"/>
      </right>
      <top style="medium">
        <color indexed="64"/>
      </top>
      <bottom style="thick">
        <color indexed="64"/>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bottom/>
      <diagonal/>
    </border>
    <border>
      <left style="thin">
        <color indexed="64"/>
      </left>
      <right style="thin">
        <color indexed="64"/>
      </right>
      <top/>
      <bottom/>
      <diagonal/>
    </border>
    <border>
      <left style="thin">
        <color indexed="64"/>
      </left>
      <right style="thick">
        <color indexed="64"/>
      </right>
      <top/>
      <bottom/>
      <diagonal/>
    </border>
    <border>
      <left style="thin">
        <color indexed="64"/>
      </left>
      <right/>
      <top/>
      <bottom/>
      <diagonal/>
    </border>
    <border>
      <left/>
      <right/>
      <top/>
      <bottom style="thin">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Dashed">
        <color indexed="64"/>
      </left>
      <right/>
      <top style="thin">
        <color indexed="64"/>
      </top>
      <bottom style="medium">
        <color indexed="64"/>
      </bottom>
      <diagonal/>
    </border>
    <border>
      <left style="mediumDashed">
        <color indexed="64"/>
      </left>
      <right/>
      <top style="thin">
        <color indexed="64"/>
      </top>
      <bottom style="thin">
        <color indexed="64"/>
      </bottom>
      <diagonal/>
    </border>
    <border>
      <left/>
      <right/>
      <top style="thin">
        <color indexed="64"/>
      </top>
      <bottom style="thin">
        <color indexed="64"/>
      </bottom>
      <diagonal/>
    </border>
    <border>
      <left style="mediumDashed">
        <color indexed="64"/>
      </left>
      <right/>
      <top style="medium">
        <color indexed="64"/>
      </top>
      <bottom style="thin">
        <color indexed="64"/>
      </bottom>
      <diagonal/>
    </border>
    <border>
      <left style="mediumDashed">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ck">
        <color indexed="64"/>
      </right>
      <top style="thin">
        <color indexed="64"/>
      </top>
      <bottom style="thin">
        <color indexed="64"/>
      </bottom>
      <diagonal/>
    </border>
    <border>
      <left/>
      <right/>
      <top style="thick">
        <color indexed="64"/>
      </top>
      <bottom style="thin">
        <color indexed="64"/>
      </bottom>
      <diagonal/>
    </border>
    <border>
      <left style="thin">
        <color indexed="64"/>
      </left>
      <right/>
      <top/>
      <bottom style="thin">
        <color indexed="64"/>
      </bottom>
      <diagonal/>
    </border>
    <border>
      <left style="mediumDashed">
        <color indexed="64"/>
      </left>
      <right style="mediumDashed">
        <color indexed="64"/>
      </right>
      <top style="medium">
        <color indexed="64"/>
      </top>
      <bottom/>
      <diagonal/>
    </border>
    <border>
      <left style="mediumDashed">
        <color indexed="64"/>
      </left>
      <right style="mediumDashed">
        <color indexed="64"/>
      </right>
      <top/>
      <bottom/>
      <diagonal/>
    </border>
    <border>
      <left style="mediumDashed">
        <color indexed="64"/>
      </left>
      <right style="mediumDashed">
        <color indexed="64"/>
      </right>
      <top style="thick">
        <color indexed="64"/>
      </top>
      <bottom/>
      <diagonal/>
    </border>
    <border>
      <left style="thick">
        <color indexed="64"/>
      </left>
      <right style="mediumDashed">
        <color indexed="64"/>
      </right>
      <top style="thick">
        <color indexed="64"/>
      </top>
      <bottom/>
      <diagonal/>
    </border>
    <border>
      <left style="thick">
        <color indexed="64"/>
      </left>
      <right style="mediumDashed">
        <color indexed="64"/>
      </right>
      <top/>
      <bottom/>
      <diagonal/>
    </border>
    <border>
      <left/>
      <right style="mediumDashed">
        <color indexed="64"/>
      </right>
      <top/>
      <bottom/>
      <diagonal/>
    </border>
    <border>
      <left style="thin">
        <color indexed="64"/>
      </left>
      <right/>
      <top/>
      <bottom style="medium">
        <color indexed="64"/>
      </bottom>
      <diagonal/>
    </border>
    <border>
      <left/>
      <right style="mediumDashed">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ck">
        <color indexed="64"/>
      </bottom>
      <diagonal/>
    </border>
    <border>
      <left style="medium">
        <color indexed="64"/>
      </left>
      <right style="thick">
        <color indexed="64"/>
      </right>
      <top style="thick">
        <color indexed="64"/>
      </top>
      <bottom/>
      <diagonal/>
    </border>
    <border>
      <left style="medium">
        <color indexed="64"/>
      </left>
      <right style="thick">
        <color indexed="64"/>
      </right>
      <top/>
      <bottom/>
      <diagonal/>
    </border>
    <border>
      <left/>
      <right style="medium">
        <color indexed="64"/>
      </right>
      <top style="thick">
        <color indexed="64"/>
      </top>
      <bottom/>
      <diagonal/>
    </border>
    <border>
      <left/>
      <right style="medium">
        <color indexed="64"/>
      </right>
      <top/>
      <bottom/>
      <diagonal/>
    </border>
    <border>
      <left/>
      <right style="medium">
        <color indexed="64"/>
      </right>
      <top/>
      <bottom style="thick">
        <color indexed="64"/>
      </bottom>
      <diagonal/>
    </border>
    <border>
      <left/>
      <right/>
      <top/>
      <bottom style="double">
        <color indexed="64"/>
      </bottom>
      <diagonal/>
    </border>
    <border>
      <left/>
      <right style="thick">
        <color indexed="64"/>
      </right>
      <top/>
      <bottom style="double">
        <color indexed="64"/>
      </bottom>
      <diagonal/>
    </border>
    <border>
      <left/>
      <right/>
      <top/>
      <bottom style="dotted">
        <color indexed="64"/>
      </bottom>
      <diagonal/>
    </border>
    <border>
      <left/>
      <right style="thick">
        <color indexed="64"/>
      </right>
      <top/>
      <bottom style="dotted">
        <color indexed="64"/>
      </bottom>
      <diagonal/>
    </border>
    <border>
      <left style="thin">
        <color indexed="64"/>
      </left>
      <right style="thin">
        <color indexed="64"/>
      </right>
      <top style="thin">
        <color indexed="64"/>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bottom style="thin">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style="thick">
        <color indexed="64"/>
      </left>
      <right style="medium">
        <color indexed="64"/>
      </right>
      <top/>
      <bottom style="thick">
        <color indexed="64"/>
      </bottom>
      <diagonal/>
    </border>
    <border>
      <left style="thin">
        <color indexed="64"/>
      </left>
      <right style="medium">
        <color indexed="64"/>
      </right>
      <top/>
      <bottom style="thick">
        <color indexed="64"/>
      </bottom>
      <diagonal/>
    </border>
    <border>
      <left style="thick">
        <color indexed="64"/>
      </left>
      <right style="medium">
        <color auto="1"/>
      </right>
      <top/>
      <bottom/>
      <diagonal/>
    </border>
    <border>
      <left style="medium">
        <color auto="1"/>
      </left>
      <right style="medium">
        <color auto="1"/>
      </right>
      <top style="thick">
        <color indexed="64"/>
      </top>
      <bottom style="thin">
        <color indexed="64"/>
      </bottom>
      <diagonal/>
    </border>
    <border>
      <left/>
      <right style="medium">
        <color auto="1"/>
      </right>
      <top style="thick">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ck">
        <color indexed="64"/>
      </right>
      <top style="dotted">
        <color indexed="64"/>
      </top>
      <bottom/>
      <diagonal/>
    </border>
    <border>
      <left style="thick">
        <color indexed="64"/>
      </left>
      <right style="thick">
        <color indexed="64"/>
      </right>
      <top/>
      <bottom style="dotted">
        <color indexed="64"/>
      </bottom>
      <diagonal/>
    </border>
    <border>
      <left style="thick">
        <color indexed="64"/>
      </left>
      <right style="thick">
        <color indexed="64"/>
      </right>
      <top style="dotted">
        <color indexed="64"/>
      </top>
      <bottom/>
      <diagonal/>
    </border>
    <border>
      <left style="mediumDashed">
        <color indexed="64"/>
      </left>
      <right style="mediumDashed">
        <color indexed="64"/>
      </right>
      <top/>
      <bottom style="dashed">
        <color indexed="64"/>
      </bottom>
      <diagonal/>
    </border>
    <border>
      <left style="thick">
        <color indexed="64"/>
      </left>
      <right style="mediumDashed">
        <color indexed="64"/>
      </right>
      <top style="dashed">
        <color indexed="64"/>
      </top>
      <bottom/>
      <diagonal/>
    </border>
    <border>
      <left style="thick">
        <color indexed="64"/>
      </left>
      <right style="mediumDashed">
        <color indexed="64"/>
      </right>
      <top/>
      <bottom style="dashed">
        <color indexed="64"/>
      </bottom>
      <diagonal/>
    </border>
    <border>
      <left style="mediumDashed">
        <color auto="1"/>
      </left>
      <right style="mediumDashed">
        <color auto="1"/>
      </right>
      <top/>
      <bottom style="thick">
        <color indexed="64"/>
      </bottom>
      <diagonal/>
    </border>
    <border>
      <left style="mediumDashed">
        <color auto="1"/>
      </left>
      <right style="mediumDashed">
        <color auto="1"/>
      </right>
      <top style="dashed">
        <color indexed="64"/>
      </top>
      <bottom/>
      <diagonal/>
    </border>
    <border>
      <left style="mediumDashed">
        <color indexed="64"/>
      </left>
      <right style="thick">
        <color indexed="64"/>
      </right>
      <top/>
      <bottom/>
      <diagonal/>
    </border>
    <border>
      <left style="mediumDashed">
        <color indexed="64"/>
      </left>
      <right style="thick">
        <color indexed="64"/>
      </right>
      <top/>
      <bottom style="dashed">
        <color indexed="64"/>
      </bottom>
      <diagonal/>
    </border>
    <border>
      <left style="mediumDashed">
        <color indexed="64"/>
      </left>
      <right style="thick">
        <color indexed="64"/>
      </right>
      <top style="dashed">
        <color indexed="64"/>
      </top>
      <bottom/>
      <diagonal/>
    </border>
    <border>
      <left style="mediumDashed">
        <color indexed="64"/>
      </left>
      <right style="thick">
        <color indexed="64"/>
      </right>
      <top/>
      <bottom style="thick">
        <color indexed="64"/>
      </bottom>
      <diagonal/>
    </border>
    <border diagonalUp="1" diagonalDown="1">
      <left style="mediumDashed">
        <color auto="1"/>
      </left>
      <right style="mediumDashed">
        <color indexed="64"/>
      </right>
      <top style="dashed">
        <color indexed="64"/>
      </top>
      <bottom/>
      <diagonal style="dashed">
        <color rgb="FF14BC90"/>
      </diagonal>
    </border>
    <border diagonalUp="1" diagonalDown="1">
      <left style="mediumDashed">
        <color auto="1"/>
      </left>
      <right style="mediumDashed">
        <color indexed="64"/>
      </right>
      <top/>
      <bottom/>
      <diagonal style="dashed">
        <color rgb="FF14BC90"/>
      </diagonal>
    </border>
    <border diagonalUp="1" diagonalDown="1">
      <left style="mediumDashed">
        <color auto="1"/>
      </left>
      <right style="mediumDashed">
        <color indexed="64"/>
      </right>
      <top/>
      <bottom style="dashed">
        <color indexed="64"/>
      </bottom>
      <diagonal style="dashed">
        <color rgb="FF14BC90"/>
      </diagonal>
    </border>
    <border>
      <left/>
      <right style="mediumDashed">
        <color indexed="64"/>
      </right>
      <top/>
      <bottom style="dashed">
        <color indexed="64"/>
      </bottom>
      <diagonal/>
    </border>
    <border>
      <left/>
      <right style="mediumDashed">
        <color auto="1"/>
      </right>
      <top style="dashed">
        <color indexed="64"/>
      </top>
      <bottom/>
      <diagonal/>
    </border>
    <border>
      <left style="thick">
        <color indexed="64"/>
      </left>
      <right style="mediumDashed">
        <color auto="1"/>
      </right>
      <top/>
      <bottom style="thick">
        <color indexed="64"/>
      </bottom>
      <diagonal/>
    </border>
    <border>
      <left style="medium">
        <color indexed="64"/>
      </left>
      <right/>
      <top style="thick">
        <color indexed="64"/>
      </top>
      <bottom style="thin">
        <color auto="1"/>
      </bottom>
      <diagonal/>
    </border>
    <border>
      <left/>
      <right style="mediumDashed">
        <color indexed="64"/>
      </right>
      <top style="thin">
        <color auto="1"/>
      </top>
      <bottom style="medium">
        <color indexed="64"/>
      </bottom>
      <diagonal/>
    </border>
    <border>
      <left/>
      <right style="mediumDashed">
        <color auto="1"/>
      </right>
      <top style="medium">
        <color auto="1"/>
      </top>
      <bottom style="thin">
        <color auto="1"/>
      </bottom>
      <diagonal/>
    </border>
    <border>
      <left/>
      <right style="mediumDashed">
        <color indexed="64"/>
      </right>
      <top style="dotted">
        <color indexed="64"/>
      </top>
      <bottom/>
      <diagonal/>
    </border>
    <border>
      <left/>
      <right style="mediumDashed">
        <color indexed="64"/>
      </right>
      <top/>
      <bottom style="dotted">
        <color indexed="64"/>
      </bottom>
      <diagonal/>
    </border>
    <border>
      <left/>
      <right style="mediumDashed">
        <color auto="1"/>
      </right>
      <top/>
      <bottom style="thick">
        <color indexed="64"/>
      </bottom>
      <diagonal/>
    </border>
    <border>
      <left/>
      <right style="thin">
        <color indexed="64"/>
      </right>
      <top style="thick">
        <color indexed="64"/>
      </top>
      <bottom style="thin">
        <color indexed="64"/>
      </bottom>
      <diagonal/>
    </border>
    <border>
      <left/>
      <right style="mediumDashed">
        <color indexed="64"/>
      </right>
      <top style="medium">
        <color indexed="64"/>
      </top>
      <bottom/>
      <diagonal/>
    </border>
    <border>
      <left/>
      <right style="mediumDashed">
        <color indexed="64"/>
      </right>
      <top/>
      <bottom style="medium">
        <color indexed="64"/>
      </bottom>
      <diagonal/>
    </border>
    <border>
      <left style="thin">
        <color indexed="64"/>
      </left>
      <right style="mediumDashed">
        <color indexed="64"/>
      </right>
      <top/>
      <bottom/>
      <diagonal/>
    </border>
    <border>
      <left style="thin">
        <color indexed="64"/>
      </left>
      <right style="mediumDashed">
        <color indexed="64"/>
      </right>
      <top/>
      <bottom style="medium">
        <color indexed="64"/>
      </bottom>
      <diagonal/>
    </border>
    <border>
      <left style="medium">
        <color indexed="64"/>
      </left>
      <right/>
      <top/>
      <bottom style="thin">
        <color indexed="64"/>
      </bottom>
      <diagonal/>
    </border>
    <border>
      <left style="thin">
        <color indexed="64"/>
      </left>
      <right/>
      <top style="thick">
        <color indexed="64"/>
      </top>
      <bottom/>
      <diagonal/>
    </border>
    <border>
      <left style="mediumDashed">
        <color auto="1"/>
      </left>
      <right style="mediumDashed">
        <color indexed="64"/>
      </right>
      <top/>
      <bottom style="medium">
        <color indexed="64"/>
      </bottom>
      <diagonal/>
    </border>
    <border>
      <left style="medium">
        <color indexed="64"/>
      </left>
      <right style="mediumDashed">
        <color indexed="64"/>
      </right>
      <top style="medium">
        <color indexed="64"/>
      </top>
      <bottom/>
      <diagonal/>
    </border>
    <border>
      <left style="medium">
        <color indexed="64"/>
      </left>
      <right style="mediumDashed">
        <color indexed="64"/>
      </right>
      <top/>
      <bottom/>
      <diagonal/>
    </border>
    <border>
      <left style="medium">
        <color indexed="64"/>
      </left>
      <right style="mediumDashed">
        <color indexed="64"/>
      </right>
      <top/>
      <bottom style="dashed">
        <color indexed="64"/>
      </bottom>
      <diagonal/>
    </border>
    <border>
      <left style="mediumDashed">
        <color indexed="64"/>
      </left>
      <right/>
      <top/>
      <bottom style="medium">
        <color indexed="64"/>
      </bottom>
      <diagonal/>
    </border>
    <border>
      <left style="mediumDashed">
        <color indexed="64"/>
      </left>
      <right/>
      <top style="thin">
        <color indexed="64"/>
      </top>
      <bottom/>
      <diagonal/>
    </border>
    <border>
      <left style="thin">
        <color indexed="64"/>
      </left>
      <right/>
      <top style="medium">
        <color indexed="64"/>
      </top>
      <bottom style="thick">
        <color indexed="64"/>
      </bottom>
      <diagonal/>
    </border>
    <border>
      <left/>
      <right/>
      <top style="dotted">
        <color indexed="64"/>
      </top>
      <bottom/>
      <diagonal/>
    </border>
    <border>
      <left style="medium">
        <color indexed="64"/>
      </left>
      <right style="thick">
        <color indexed="64"/>
      </right>
      <top style="medium">
        <color indexed="64"/>
      </top>
      <bottom/>
      <diagonal/>
    </border>
    <border>
      <left style="thick">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Dashed">
        <color auto="1"/>
      </left>
      <right style="medium">
        <color indexed="64"/>
      </right>
      <top/>
      <bottom/>
      <diagonal/>
    </border>
    <border>
      <left style="mediumDashed">
        <color auto="1"/>
      </left>
      <right style="medium">
        <color indexed="64"/>
      </right>
      <top/>
      <bottom style="thick">
        <color indexed="64"/>
      </bottom>
      <diagonal/>
    </border>
    <border>
      <left/>
      <right/>
      <top style="thin">
        <color theme="4" tint="0.39997558519241921"/>
      </top>
      <bottom/>
      <diagonal/>
    </border>
    <border>
      <left style="thin">
        <color auto="1"/>
      </left>
      <right style="medium">
        <color auto="1"/>
      </right>
      <top style="thick">
        <color indexed="64"/>
      </top>
      <bottom/>
      <diagonal/>
    </border>
    <border>
      <left style="medium">
        <color auto="1"/>
      </left>
      <right style="thin">
        <color auto="1"/>
      </right>
      <top style="thick">
        <color indexed="64"/>
      </top>
      <bottom/>
      <diagonal/>
    </border>
    <border>
      <left style="thin">
        <color indexed="64"/>
      </left>
      <right style="thin">
        <color indexed="64"/>
      </right>
      <top style="thick">
        <color indexed="64"/>
      </top>
      <bottom/>
      <diagonal/>
    </border>
    <border>
      <left style="medium">
        <color auto="1"/>
      </left>
      <right style="thin">
        <color indexed="64"/>
      </right>
      <top/>
      <bottom style="thick">
        <color indexed="64"/>
      </bottom>
      <diagonal/>
    </border>
    <border>
      <left style="medium">
        <color indexed="64"/>
      </left>
      <right style="mediumDashed">
        <color indexed="64"/>
      </right>
      <top/>
      <bottom style="medium">
        <color auto="1"/>
      </bottom>
      <diagonal/>
    </border>
    <border>
      <left style="thick">
        <color indexed="64"/>
      </left>
      <right style="thin">
        <color indexed="64"/>
      </right>
      <top/>
      <bottom style="medium">
        <color indexed="64"/>
      </bottom>
      <diagonal/>
    </border>
    <border>
      <left style="thin">
        <color indexed="64"/>
      </left>
      <right/>
      <top style="thick">
        <color indexed="64"/>
      </top>
      <bottom style="thin">
        <color indexed="64"/>
      </bottom>
      <diagonal/>
    </border>
    <border>
      <left/>
      <right/>
      <top style="double">
        <color indexed="64"/>
      </top>
      <bottom/>
      <diagonal/>
    </border>
    <border>
      <left/>
      <right style="thick">
        <color indexed="64"/>
      </right>
      <top style="double">
        <color indexed="64"/>
      </top>
      <bottom/>
      <diagonal/>
    </border>
    <border>
      <left style="mediumDashed">
        <color auto="1"/>
      </left>
      <right style="medium">
        <color indexed="64"/>
      </right>
      <top/>
      <bottom style="medium">
        <color auto="1"/>
      </bottom>
      <diagonal/>
    </border>
    <border>
      <left style="thick">
        <color indexed="64"/>
      </left>
      <right style="thick">
        <color indexed="64"/>
      </right>
      <top/>
      <bottom style="medium">
        <color auto="1"/>
      </bottom>
      <diagonal/>
    </border>
    <border>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diagonal/>
    </border>
    <border>
      <left style="thick">
        <color indexed="64"/>
      </left>
      <right style="medium">
        <color indexed="64"/>
      </right>
      <top style="thin">
        <color indexed="64"/>
      </top>
      <bottom/>
      <diagonal/>
    </border>
    <border>
      <left style="thick">
        <color indexed="64"/>
      </left>
      <right style="medium">
        <color indexed="64"/>
      </right>
      <top style="thick">
        <color indexed="64"/>
      </top>
      <bottom/>
      <diagonal/>
    </border>
    <border>
      <left/>
      <right style="thick">
        <color indexed="64"/>
      </right>
      <top/>
      <bottom style="thin">
        <color indexed="64"/>
      </bottom>
      <diagonal/>
    </border>
    <border>
      <left style="medium">
        <color indexed="64"/>
      </left>
      <right style="thin">
        <color indexed="64"/>
      </right>
      <top style="thin">
        <color indexed="64"/>
      </top>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n">
        <color indexed="64"/>
      </left>
      <right style="medium">
        <color auto="1"/>
      </right>
      <top style="thin">
        <color indexed="64"/>
      </top>
      <bottom/>
      <diagonal/>
    </border>
    <border>
      <left style="medium">
        <color indexed="64"/>
      </left>
      <right style="thick">
        <color indexed="64"/>
      </right>
      <top/>
      <bottom style="thin">
        <color indexed="64"/>
      </bottom>
      <diagonal/>
    </border>
    <border>
      <left style="thin">
        <color indexed="64"/>
      </left>
      <right style="medium">
        <color auto="1"/>
      </right>
      <top/>
      <bottom style="thin">
        <color auto="1"/>
      </bottom>
      <diagonal/>
    </border>
    <border>
      <left style="medium">
        <color indexed="64"/>
      </left>
      <right style="thick">
        <color indexed="64"/>
      </right>
      <top/>
      <bottom style="thick">
        <color indexed="64"/>
      </bottom>
      <diagonal/>
    </border>
    <border>
      <left/>
      <right/>
      <top style="thin">
        <color indexed="64"/>
      </top>
      <bottom style="thick">
        <color indexed="64"/>
      </bottom>
      <diagonal/>
    </border>
    <border>
      <left/>
      <right style="medium">
        <color indexed="64"/>
      </right>
      <top style="thin">
        <color indexed="64"/>
      </top>
      <bottom style="thick">
        <color indexed="64"/>
      </bottom>
      <diagonal/>
    </border>
    <border>
      <left style="thick">
        <color indexed="64"/>
      </left>
      <right/>
      <top/>
      <bottom style="thick">
        <color indexed="64"/>
      </bottom>
      <diagonal/>
    </border>
    <border>
      <left style="medium">
        <color auto="1"/>
      </left>
      <right style="mediumDashed">
        <color indexed="64"/>
      </right>
      <top/>
      <bottom style="thick">
        <color indexed="64"/>
      </bottom>
      <diagonal/>
    </border>
    <border>
      <left style="thick">
        <color indexed="64"/>
      </left>
      <right/>
      <top style="thick">
        <color indexed="64"/>
      </top>
      <bottom/>
      <diagonal/>
    </border>
    <border>
      <left style="mediumDashed">
        <color indexed="64"/>
      </left>
      <right style="medium">
        <color indexed="64"/>
      </right>
      <top style="thick">
        <color indexed="64"/>
      </top>
      <bottom/>
      <diagonal/>
    </border>
    <border>
      <left style="mediumDashed">
        <color indexed="64"/>
      </left>
      <right style="medium">
        <color indexed="64"/>
      </right>
      <top/>
      <bottom style="dashed">
        <color indexed="64"/>
      </bottom>
      <diagonal/>
    </border>
    <border>
      <left style="medium">
        <color auto="1"/>
      </left>
      <right/>
      <top style="thick">
        <color indexed="64"/>
      </top>
      <bottom/>
      <diagonal/>
    </border>
    <border>
      <left style="medium">
        <color indexed="64"/>
      </left>
      <right style="medium">
        <color indexed="64"/>
      </right>
      <top style="medium">
        <color auto="1"/>
      </top>
      <bottom style="medium">
        <color indexed="64"/>
      </bottom>
      <diagonal/>
    </border>
    <border>
      <left style="thick">
        <color indexed="64"/>
      </left>
      <right/>
      <top style="dotted">
        <color indexed="64"/>
      </top>
      <bottom/>
      <diagonal/>
    </border>
    <border>
      <left style="thick">
        <color indexed="64"/>
      </left>
      <right/>
      <top/>
      <bottom style="double">
        <color auto="1"/>
      </bottom>
      <diagonal/>
    </border>
    <border>
      <left style="medium">
        <color auto="1"/>
      </left>
      <right style="thick">
        <color indexed="64"/>
      </right>
      <top/>
      <bottom style="double">
        <color indexed="64"/>
      </bottom>
      <diagonal/>
    </border>
    <border>
      <left style="medium">
        <color auto="1"/>
      </left>
      <right style="medium">
        <color auto="1"/>
      </right>
      <top/>
      <bottom style="double">
        <color indexed="64"/>
      </bottom>
      <diagonal/>
    </border>
    <border>
      <left style="thick">
        <color indexed="64"/>
      </left>
      <right style="medium">
        <color auto="1"/>
      </right>
      <top/>
      <bottom style="double">
        <color indexed="64"/>
      </bottom>
      <diagonal/>
    </border>
    <border>
      <left style="medium">
        <color auto="1"/>
      </left>
      <right style="thin">
        <color auto="1"/>
      </right>
      <top/>
      <bottom style="double">
        <color indexed="64"/>
      </bottom>
      <diagonal/>
    </border>
    <border>
      <left style="thin">
        <color auto="1"/>
      </left>
      <right style="medium">
        <color auto="1"/>
      </right>
      <top/>
      <bottom style="double">
        <color indexed="64"/>
      </bottom>
      <diagonal/>
    </border>
    <border>
      <left style="thick">
        <color rgb="FFC00000"/>
      </left>
      <right style="thick">
        <color rgb="FFC00000"/>
      </right>
      <top style="thick">
        <color rgb="FFC00000"/>
      </top>
      <bottom/>
      <diagonal/>
    </border>
    <border>
      <left style="thick">
        <color rgb="FFC00000"/>
      </left>
      <right style="thick">
        <color rgb="FFC00000"/>
      </right>
      <top/>
      <bottom/>
      <diagonal/>
    </border>
    <border>
      <left style="thick">
        <color rgb="FFC00000"/>
      </left>
      <right style="thick">
        <color rgb="FFC00000"/>
      </right>
      <top/>
      <bottom style="thick">
        <color rgb="FFC00000"/>
      </bottom>
      <diagonal/>
    </border>
    <border>
      <left style="mediumDashed">
        <color indexed="64"/>
      </left>
      <right/>
      <top/>
      <bottom style="thick">
        <color indexed="64"/>
      </bottom>
      <diagonal/>
    </border>
    <border>
      <left style="medium">
        <color auto="1"/>
      </left>
      <right/>
      <top/>
      <bottom style="thick">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mediumDashed">
        <color indexed="64"/>
      </right>
      <top/>
      <bottom style="thick">
        <color indexed="64"/>
      </bottom>
      <diagonal/>
    </border>
    <border>
      <left style="thick">
        <color rgb="FFC00000"/>
      </left>
      <right style="medium">
        <color indexed="64"/>
      </right>
      <top style="thick">
        <color rgb="FFC00000"/>
      </top>
      <bottom/>
      <diagonal/>
    </border>
    <border>
      <left style="medium">
        <color indexed="64"/>
      </left>
      <right style="medium">
        <color indexed="64"/>
      </right>
      <top style="thick">
        <color rgb="FFC00000"/>
      </top>
      <bottom/>
      <diagonal/>
    </border>
    <border>
      <left style="medium">
        <color indexed="64"/>
      </left>
      <right style="thick">
        <color indexed="64"/>
      </right>
      <top style="thick">
        <color rgb="FFC00000"/>
      </top>
      <bottom/>
      <diagonal/>
    </border>
    <border>
      <left style="medium">
        <color indexed="64"/>
      </left>
      <right style="thick">
        <color rgb="FFC00000"/>
      </right>
      <top style="thick">
        <color rgb="FFC00000"/>
      </top>
      <bottom/>
      <diagonal/>
    </border>
    <border>
      <left style="thick">
        <color rgb="FFC00000"/>
      </left>
      <right style="medium">
        <color indexed="64"/>
      </right>
      <top/>
      <bottom/>
      <diagonal/>
    </border>
    <border>
      <left style="medium">
        <color indexed="64"/>
      </left>
      <right style="thick">
        <color rgb="FFC00000"/>
      </right>
      <top/>
      <bottom/>
      <diagonal/>
    </border>
    <border>
      <left style="thick">
        <color rgb="FFC00000"/>
      </left>
      <right style="medium">
        <color auto="1"/>
      </right>
      <top/>
      <bottom style="thick">
        <color rgb="FFC00000"/>
      </bottom>
      <diagonal/>
    </border>
    <border>
      <left style="medium">
        <color auto="1"/>
      </left>
      <right style="medium">
        <color auto="1"/>
      </right>
      <top/>
      <bottom style="thick">
        <color rgb="FFC00000"/>
      </bottom>
      <diagonal/>
    </border>
    <border>
      <left style="medium">
        <color indexed="64"/>
      </left>
      <right style="thick">
        <color indexed="64"/>
      </right>
      <top/>
      <bottom style="thick">
        <color rgb="FFC00000"/>
      </bottom>
      <diagonal/>
    </border>
    <border>
      <left style="medium">
        <color indexed="64"/>
      </left>
      <right style="thick">
        <color rgb="FFC00000"/>
      </right>
      <top/>
      <bottom style="thick">
        <color rgb="FFC00000"/>
      </bottom>
      <diagonal/>
    </border>
    <border>
      <left style="thin">
        <color indexed="64"/>
      </left>
      <right style="medium">
        <color indexed="64"/>
      </right>
      <top style="thick">
        <color rgb="FFC00000"/>
      </top>
      <bottom/>
      <diagonal/>
    </border>
    <border>
      <left style="thin">
        <color indexed="64"/>
      </left>
      <right style="thick">
        <color rgb="FFC00000"/>
      </right>
      <top style="thick">
        <color rgb="FFC00000"/>
      </top>
      <bottom/>
      <diagonal/>
    </border>
    <border>
      <left style="thin">
        <color indexed="64"/>
      </left>
      <right style="thick">
        <color rgb="FFC00000"/>
      </right>
      <top/>
      <bottom/>
      <diagonal/>
    </border>
    <border>
      <left style="thin">
        <color auto="1"/>
      </left>
      <right style="medium">
        <color auto="1"/>
      </right>
      <top/>
      <bottom style="thick">
        <color rgb="FFC00000"/>
      </bottom>
      <diagonal/>
    </border>
    <border>
      <left style="thin">
        <color auto="1"/>
      </left>
      <right style="thick">
        <color rgb="FFC00000"/>
      </right>
      <top/>
      <bottom style="thick">
        <color rgb="FFC00000"/>
      </bottom>
      <diagonal/>
    </border>
    <border>
      <left/>
      <right style="thin">
        <color auto="1"/>
      </right>
      <top style="thin">
        <color auto="1"/>
      </top>
      <bottom style="thick">
        <color auto="1"/>
      </bottom>
      <diagonal/>
    </border>
    <border>
      <left/>
      <right style="thin">
        <color indexed="64"/>
      </right>
      <top style="thin">
        <color indexed="64"/>
      </top>
      <bottom style="double">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style="thin">
        <color auto="1"/>
      </top>
      <bottom style="thick">
        <color auto="1"/>
      </bottom>
      <diagonal/>
    </border>
    <border>
      <left style="medium">
        <color indexed="64"/>
      </left>
      <right style="medium">
        <color indexed="64"/>
      </right>
      <top style="thin">
        <color auto="1"/>
      </top>
      <bottom style="thick">
        <color auto="1"/>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auto="1"/>
      </top>
      <bottom style="thick">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right style="thick">
        <color indexed="64"/>
      </right>
      <top style="thick">
        <color indexed="64"/>
      </top>
      <bottom style="thin">
        <color indexed="64"/>
      </bottom>
      <diagonal/>
    </border>
    <border>
      <left/>
      <right style="thick">
        <color auto="1"/>
      </right>
      <top style="thin">
        <color auto="1"/>
      </top>
      <bottom style="thick">
        <color auto="1"/>
      </bottom>
      <diagonal/>
    </border>
    <border>
      <left style="thick">
        <color indexed="64"/>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style="medium">
        <color indexed="64"/>
      </right>
      <top style="thick">
        <color rgb="FFC00000"/>
      </top>
      <bottom/>
      <diagonal/>
    </border>
    <border>
      <left style="thin">
        <color indexed="64"/>
      </left>
      <right style="thick">
        <color auto="1"/>
      </right>
      <top style="thick">
        <color rgb="FFC00000"/>
      </top>
      <bottom/>
      <diagonal/>
    </border>
    <border>
      <left style="thick">
        <color auto="1"/>
      </left>
      <right style="medium">
        <color auto="1"/>
      </right>
      <top/>
      <bottom style="thick">
        <color rgb="FFC00000"/>
      </bottom>
      <diagonal/>
    </border>
    <border>
      <left style="thin">
        <color auto="1"/>
      </left>
      <right style="thick">
        <color auto="1"/>
      </right>
      <top/>
      <bottom style="thick">
        <color rgb="FFC00000"/>
      </bottom>
      <diagonal/>
    </border>
    <border>
      <left style="thick">
        <color rgb="FFC00000"/>
      </left>
      <right style="thin">
        <color indexed="64"/>
      </right>
      <top style="thick">
        <color rgb="FFC00000"/>
      </top>
      <bottom/>
      <diagonal/>
    </border>
    <border>
      <left style="thick">
        <color rgb="FFC00000"/>
      </left>
      <right style="thin">
        <color indexed="64"/>
      </right>
      <top/>
      <bottom/>
      <diagonal/>
    </border>
    <border>
      <left style="thick">
        <color rgb="FFC00000"/>
      </left>
      <right style="thin">
        <color indexed="64"/>
      </right>
      <top/>
      <bottom style="thick">
        <color rgb="FFC00000"/>
      </bottom>
      <diagonal/>
    </border>
    <border>
      <left/>
      <right style="medium">
        <color rgb="FF999999"/>
      </right>
      <top/>
      <bottom style="medium">
        <color rgb="FF999999"/>
      </bottom>
      <diagonal/>
    </border>
  </borders>
  <cellStyleXfs count="4">
    <xf numFmtId="0" fontId="0" fillId="0" borderId="0"/>
    <xf numFmtId="0" fontId="6" fillId="6" borderId="82" applyNumberFormat="0" applyFont="0" applyFill="0" applyBorder="0" applyProtection="0">
      <alignment horizontal="centerContinuous" vertical="center"/>
    </xf>
    <xf numFmtId="0" fontId="17" fillId="0" borderId="0"/>
    <xf numFmtId="0" fontId="15" fillId="0" borderId="0"/>
  </cellStyleXfs>
  <cellXfs count="1942">
    <xf numFmtId="0" fontId="0" fillId="0" borderId="0" xfId="0"/>
    <xf numFmtId="0" fontId="1" fillId="0" borderId="0" xfId="0" applyFont="1"/>
    <xf numFmtId="0" fontId="1" fillId="0" borderId="0" xfId="0" applyFont="1" applyAlignment="1">
      <alignment horizontal="center" vertical="center"/>
    </xf>
    <xf numFmtId="0" fontId="9" fillId="0" borderId="0" xfId="0" applyFont="1" applyAlignment="1">
      <alignment horizontal="center" vertical="center"/>
    </xf>
    <xf numFmtId="0" fontId="6" fillId="0" borderId="0" xfId="0" applyFont="1" applyAlignment="1">
      <alignment horizontal="center" vertical="center"/>
    </xf>
    <xf numFmtId="0" fontId="9" fillId="0" borderId="36" xfId="0" applyFont="1" applyBorder="1" applyAlignment="1">
      <alignment horizontal="center" vertical="center"/>
    </xf>
    <xf numFmtId="0" fontId="9" fillId="0" borderId="76" xfId="0" applyFont="1" applyBorder="1" applyAlignment="1">
      <alignment horizontal="center" vertical="center"/>
    </xf>
    <xf numFmtId="0" fontId="1" fillId="0" borderId="0" xfId="0" applyFont="1" applyAlignment="1">
      <alignment horizontal="center"/>
    </xf>
    <xf numFmtId="0" fontId="9" fillId="0" borderId="0" xfId="0" applyFont="1"/>
    <xf numFmtId="0" fontId="1" fillId="0" borderId="0" xfId="0" applyFont="1" applyAlignment="1">
      <alignment vertical="center"/>
    </xf>
    <xf numFmtId="0" fontId="1" fillId="0" borderId="74" xfId="0" applyFont="1" applyBorder="1" applyAlignment="1">
      <alignment vertical="center"/>
    </xf>
    <xf numFmtId="0" fontId="11" fillId="0" borderId="0" xfId="0" applyFont="1"/>
    <xf numFmtId="0" fontId="12" fillId="0" borderId="0" xfId="0" applyFont="1"/>
    <xf numFmtId="0" fontId="13" fillId="0" borderId="0" xfId="0" applyFont="1" applyAlignment="1">
      <alignment horizontal="center" vertical="center"/>
    </xf>
    <xf numFmtId="0" fontId="14" fillId="0" borderId="0" xfId="0" applyFont="1"/>
    <xf numFmtId="0" fontId="10" fillId="0" borderId="74" xfId="0" applyFont="1" applyBorder="1" applyAlignment="1">
      <alignment horizontal="center" vertical="center"/>
    </xf>
    <xf numFmtId="0" fontId="1" fillId="0" borderId="9" xfId="0" applyFont="1" applyBorder="1" applyAlignment="1">
      <alignment vertical="center"/>
    </xf>
    <xf numFmtId="0" fontId="12" fillId="0" borderId="8" xfId="0" applyFont="1" applyBorder="1"/>
    <xf numFmtId="0" fontId="6" fillId="0" borderId="9" xfId="0" applyFont="1" applyBorder="1" applyAlignment="1">
      <alignment vertical="center"/>
    </xf>
    <xf numFmtId="0" fontId="9" fillId="0" borderId="0" xfId="0" applyFont="1" applyAlignment="1">
      <alignment vertical="center"/>
    </xf>
    <xf numFmtId="0" fontId="6" fillId="0" borderId="0" xfId="0" applyFont="1"/>
    <xf numFmtId="0" fontId="9" fillId="17" borderId="57" xfId="0" applyFont="1" applyFill="1" applyBorder="1" applyAlignment="1">
      <alignment horizontal="center" vertical="center"/>
    </xf>
    <xf numFmtId="0" fontId="6" fillId="17" borderId="57" xfId="0" applyFont="1" applyFill="1" applyBorder="1" applyAlignment="1">
      <alignment horizontal="center" vertical="center"/>
    </xf>
    <xf numFmtId="0" fontId="9" fillId="17" borderId="106" xfId="0" applyFont="1" applyFill="1" applyBorder="1" applyAlignment="1">
      <alignment horizontal="center" vertical="center"/>
    </xf>
    <xf numFmtId="0" fontId="6" fillId="17" borderId="107" xfId="0" applyFont="1" applyFill="1" applyBorder="1" applyAlignment="1">
      <alignment horizontal="center" vertical="center"/>
    </xf>
    <xf numFmtId="0" fontId="9" fillId="17" borderId="60" xfId="0" applyFont="1" applyFill="1" applyBorder="1" applyAlignment="1">
      <alignment horizontal="center" vertical="center"/>
    </xf>
    <xf numFmtId="0" fontId="9" fillId="17" borderId="108" xfId="0" applyFont="1" applyFill="1" applyBorder="1" applyAlignment="1">
      <alignment horizontal="center" vertical="center"/>
    </xf>
    <xf numFmtId="0" fontId="9" fillId="17" borderId="107" xfId="0" applyFont="1" applyFill="1" applyBorder="1" applyAlignment="1">
      <alignment horizontal="center" vertical="center"/>
    </xf>
    <xf numFmtId="0" fontId="6" fillId="17" borderId="60" xfId="0" applyFont="1" applyFill="1" applyBorder="1" applyAlignment="1">
      <alignment horizontal="center" vertical="center"/>
    </xf>
    <xf numFmtId="0" fontId="6" fillId="17" borderId="110" xfId="0" applyFont="1" applyFill="1" applyBorder="1" applyAlignment="1">
      <alignment horizontal="center" vertical="center"/>
    </xf>
    <xf numFmtId="0" fontId="9" fillId="17" borderId="110" xfId="0" applyFont="1" applyFill="1" applyBorder="1" applyAlignment="1">
      <alignment horizontal="center" vertical="center"/>
    </xf>
    <xf numFmtId="0" fontId="9" fillId="17" borderId="111" xfId="0" applyFont="1" applyFill="1" applyBorder="1" applyAlignment="1">
      <alignment horizontal="center" vertical="center"/>
    </xf>
    <xf numFmtId="0" fontId="9" fillId="17" borderId="112" xfId="0" applyFont="1" applyFill="1" applyBorder="1" applyAlignment="1">
      <alignment horizontal="center" vertical="center"/>
    </xf>
    <xf numFmtId="0" fontId="6" fillId="17" borderId="113" xfId="0" applyFont="1" applyFill="1" applyBorder="1" applyAlignment="1">
      <alignment horizontal="center" vertical="center"/>
    </xf>
    <xf numFmtId="0" fontId="9" fillId="17" borderId="113" xfId="0" applyFont="1" applyFill="1" applyBorder="1" applyAlignment="1">
      <alignment horizontal="center" vertical="center"/>
    </xf>
    <xf numFmtId="0" fontId="6" fillId="17" borderId="111" xfId="0" applyFont="1" applyFill="1" applyBorder="1" applyAlignment="1">
      <alignment horizontal="center" vertical="center"/>
    </xf>
    <xf numFmtId="0" fontId="6" fillId="17" borderId="61" xfId="0" applyFont="1" applyFill="1" applyBorder="1" applyAlignment="1">
      <alignment horizontal="center" vertical="center"/>
    </xf>
    <xf numFmtId="0" fontId="9" fillId="17" borderId="61" xfId="0" applyFont="1" applyFill="1" applyBorder="1" applyAlignment="1">
      <alignment horizontal="center" vertical="center"/>
    </xf>
    <xf numFmtId="0" fontId="9" fillId="17" borderId="118" xfId="0" applyFont="1" applyFill="1" applyBorder="1" applyAlignment="1">
      <alignment horizontal="center" vertical="center"/>
    </xf>
    <xf numFmtId="0" fontId="6" fillId="17" borderId="119" xfId="0" applyFont="1" applyFill="1" applyBorder="1" applyAlignment="1">
      <alignment horizontal="center" vertical="center"/>
    </xf>
    <xf numFmtId="0" fontId="9" fillId="17" borderId="119" xfId="0" applyFont="1" applyFill="1" applyBorder="1" applyAlignment="1">
      <alignment horizontal="center" vertical="center"/>
    </xf>
    <xf numFmtId="0" fontId="20" fillId="0" borderId="0" xfId="0" applyFont="1"/>
    <xf numFmtId="0" fontId="9" fillId="0" borderId="9" xfId="0" applyFont="1" applyBorder="1" applyAlignment="1">
      <alignment vertical="center"/>
    </xf>
    <xf numFmtId="0" fontId="7" fillId="14" borderId="1" xfId="1" applyFont="1" applyFill="1" applyBorder="1" applyAlignment="1">
      <alignment vertical="center"/>
    </xf>
    <xf numFmtId="0" fontId="1" fillId="18" borderId="150" xfId="0" applyFont="1" applyFill="1" applyBorder="1"/>
    <xf numFmtId="0" fontId="1" fillId="0" borderId="150" xfId="0" applyFont="1" applyBorder="1"/>
    <xf numFmtId="0" fontId="21" fillId="19" borderId="0" xfId="0" applyFont="1" applyFill="1"/>
    <xf numFmtId="0" fontId="7" fillId="0" borderId="65" xfId="0" applyFont="1" applyBorder="1" applyAlignment="1">
      <alignment horizontal="center" vertical="center"/>
    </xf>
    <xf numFmtId="0" fontId="22" fillId="17" borderId="110" xfId="0" applyFont="1" applyFill="1" applyBorder="1" applyAlignment="1">
      <alignment horizontal="center" vertical="center"/>
    </xf>
    <xf numFmtId="0" fontId="22" fillId="17" borderId="119" xfId="0" applyFont="1" applyFill="1" applyBorder="1" applyAlignment="1">
      <alignment horizontal="center" vertical="center"/>
    </xf>
    <xf numFmtId="0" fontId="26" fillId="0" borderId="0" xfId="0" applyFont="1" applyAlignment="1">
      <alignment vertical="center"/>
    </xf>
    <xf numFmtId="0" fontId="27" fillId="0" borderId="77" xfId="0" applyFont="1" applyBorder="1" applyAlignment="1">
      <alignment horizontal="center" vertical="center"/>
    </xf>
    <xf numFmtId="0" fontId="26" fillId="0" borderId="0" xfId="0" applyFont="1"/>
    <xf numFmtId="0" fontId="26" fillId="0" borderId="150" xfId="0" applyFont="1" applyBorder="1"/>
    <xf numFmtId="0" fontId="26" fillId="0" borderId="61" xfId="0" applyFont="1" applyBorder="1" applyAlignment="1">
      <alignment vertical="center"/>
    </xf>
    <xf numFmtId="0" fontId="26" fillId="17" borderId="57" xfId="0" applyFont="1" applyFill="1" applyBorder="1" applyAlignment="1">
      <alignment horizontal="center" vertical="center"/>
    </xf>
    <xf numFmtId="0" fontId="26" fillId="17" borderId="60" xfId="0" applyFont="1" applyFill="1" applyBorder="1" applyAlignment="1">
      <alignment horizontal="center" vertical="center"/>
    </xf>
    <xf numFmtId="0" fontId="26" fillId="17" borderId="111" xfId="0" applyFont="1" applyFill="1" applyBorder="1" applyAlignment="1">
      <alignment horizontal="center" vertical="center"/>
    </xf>
    <xf numFmtId="0" fontId="26" fillId="0" borderId="8" xfId="0" applyFont="1" applyBorder="1"/>
    <xf numFmtId="0" fontId="29" fillId="0" borderId="0" xfId="0" applyFont="1"/>
    <xf numFmtId="0" fontId="29" fillId="0" borderId="8" xfId="0" applyFont="1" applyBorder="1"/>
    <xf numFmtId="0" fontId="26" fillId="0" borderId="8" xfId="0" applyFont="1" applyBorder="1" applyAlignment="1">
      <alignment vertical="center"/>
    </xf>
    <xf numFmtId="0" fontId="26" fillId="17" borderId="61" xfId="0" applyFont="1" applyFill="1" applyBorder="1" applyAlignment="1">
      <alignment horizontal="center" vertical="center"/>
    </xf>
    <xf numFmtId="0" fontId="27" fillId="0" borderId="148" xfId="0" applyFont="1" applyBorder="1" applyAlignment="1">
      <alignment horizontal="center" vertical="center"/>
    </xf>
    <xf numFmtId="0" fontId="27" fillId="0" borderId="65" xfId="0" applyFont="1" applyBorder="1" applyAlignment="1">
      <alignment horizontal="center" vertical="center"/>
    </xf>
    <xf numFmtId="0" fontId="27" fillId="0" borderId="68" xfId="0" applyFont="1" applyBorder="1" applyAlignment="1">
      <alignment horizontal="center" vertical="center"/>
    </xf>
    <xf numFmtId="0" fontId="27" fillId="0" borderId="70" xfId="0" applyFont="1" applyBorder="1" applyAlignment="1">
      <alignment horizontal="center" vertical="center"/>
    </xf>
    <xf numFmtId="0" fontId="27" fillId="0" borderId="38" xfId="0" applyFont="1" applyBorder="1" applyAlignment="1">
      <alignment horizontal="center" vertical="center"/>
    </xf>
    <xf numFmtId="0" fontId="27" fillId="0" borderId="102" xfId="0" applyFont="1" applyBorder="1" applyAlignment="1">
      <alignment horizontal="center" vertical="center"/>
    </xf>
    <xf numFmtId="0" fontId="28" fillId="0" borderId="70" xfId="0" applyFont="1" applyBorder="1" applyAlignment="1">
      <alignment horizontal="center" vertical="center"/>
    </xf>
    <xf numFmtId="0" fontId="28" fillId="0" borderId="136" xfId="0" applyFont="1" applyBorder="1" applyAlignment="1">
      <alignment horizontal="center" vertical="center"/>
    </xf>
    <xf numFmtId="0" fontId="27" fillId="0" borderId="27" xfId="0" applyFont="1" applyBorder="1" applyAlignment="1">
      <alignment horizontal="center" vertical="center"/>
    </xf>
    <xf numFmtId="0" fontId="27" fillId="0" borderId="145" xfId="0" applyFont="1" applyBorder="1" applyAlignment="1">
      <alignment horizontal="center" vertical="center"/>
    </xf>
    <xf numFmtId="0" fontId="27" fillId="0" borderId="130" xfId="0" applyFont="1" applyBorder="1" applyAlignment="1">
      <alignment horizontal="center" vertical="center"/>
    </xf>
    <xf numFmtId="0" fontId="27" fillId="0" borderId="94" xfId="0" applyFont="1" applyBorder="1" applyAlignment="1">
      <alignment horizontal="center" vertical="center"/>
    </xf>
    <xf numFmtId="0" fontId="27" fillId="0" borderId="136" xfId="0" applyFont="1" applyBorder="1" applyAlignment="1">
      <alignment horizontal="center" vertical="center"/>
    </xf>
    <xf numFmtId="0" fontId="27" fillId="0" borderId="37" xfId="0" applyFont="1" applyBorder="1" applyAlignment="1">
      <alignment horizontal="center" vertical="center"/>
    </xf>
    <xf numFmtId="0" fontId="27" fillId="0" borderId="39" xfId="0" applyFont="1" applyBorder="1" applyAlignment="1">
      <alignment horizontal="center" vertical="center"/>
    </xf>
    <xf numFmtId="0" fontId="28" fillId="0" borderId="27" xfId="0" applyFont="1" applyBorder="1" applyAlignment="1">
      <alignment horizontal="center" vertical="center"/>
    </xf>
    <xf numFmtId="0" fontId="27" fillId="0" borderId="40" xfId="0" applyFont="1" applyBorder="1" applyAlignment="1">
      <alignment horizontal="center" vertical="center"/>
    </xf>
    <xf numFmtId="0" fontId="25" fillId="5" borderId="65" xfId="0" applyFont="1" applyFill="1" applyBorder="1" applyAlignment="1">
      <alignment horizontal="center" vertical="center"/>
    </xf>
    <xf numFmtId="0" fontId="25" fillId="5" borderId="82" xfId="0" applyFont="1" applyFill="1" applyBorder="1" applyAlignment="1">
      <alignment horizontal="center" vertical="center"/>
    </xf>
    <xf numFmtId="0" fontId="3" fillId="0" borderId="0" xfId="0" applyFont="1" applyAlignment="1">
      <alignment horizontal="center" vertical="center" wrapText="1"/>
    </xf>
    <xf numFmtId="0" fontId="18" fillId="0" borderId="0" xfId="0" applyFont="1" applyAlignment="1">
      <alignment horizontal="center" vertical="center" wrapText="1"/>
    </xf>
    <xf numFmtId="0" fontId="3" fillId="0" borderId="34" xfId="0" applyFont="1" applyBorder="1" applyAlignment="1">
      <alignment horizontal="center" vertical="center" wrapText="1"/>
    </xf>
    <xf numFmtId="0" fontId="18" fillId="0" borderId="94" xfId="0" applyFont="1" applyBorder="1" applyAlignment="1">
      <alignment horizontal="center" vertical="center" wrapText="1"/>
    </xf>
    <xf numFmtId="0" fontId="18" fillId="0" borderId="70" xfId="0" applyFont="1" applyBorder="1" applyAlignment="1">
      <alignment horizontal="center" vertical="center" wrapText="1"/>
    </xf>
    <xf numFmtId="0" fontId="18" fillId="0" borderId="145" xfId="0" applyFont="1" applyBorder="1" applyAlignment="1">
      <alignment horizontal="center" vertical="center" wrapText="1"/>
    </xf>
    <xf numFmtId="0" fontId="18" fillId="0" borderId="38" xfId="0" applyFont="1" applyBorder="1" applyAlignment="1">
      <alignment horizontal="center" vertical="center" wrapText="1"/>
    </xf>
    <xf numFmtId="0" fontId="18" fillId="14" borderId="145" xfId="0" applyFont="1" applyFill="1" applyBorder="1" applyAlignment="1">
      <alignment horizontal="center" vertical="center" wrapText="1"/>
    </xf>
    <xf numFmtId="0" fontId="18" fillId="14" borderId="70" xfId="0" applyFont="1" applyFill="1" applyBorder="1" applyAlignment="1">
      <alignment horizontal="center" vertical="center" wrapText="1"/>
    </xf>
    <xf numFmtId="0" fontId="26" fillId="0" borderId="34" xfId="0" applyFont="1" applyBorder="1" applyAlignment="1">
      <alignment vertical="center"/>
    </xf>
    <xf numFmtId="0" fontId="3" fillId="0" borderId="70" xfId="0" applyFont="1" applyBorder="1" applyAlignment="1">
      <alignment horizontal="left" vertical="center" wrapText="1"/>
    </xf>
    <xf numFmtId="0" fontId="18" fillId="6" borderId="41" xfId="0" applyFont="1" applyFill="1" applyBorder="1" applyAlignment="1">
      <alignment horizontal="center" vertical="center" wrapText="1"/>
    </xf>
    <xf numFmtId="0" fontId="18" fillId="6" borderId="132"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18" fillId="6" borderId="4" xfId="0" applyFont="1" applyFill="1" applyBorder="1" applyAlignment="1">
      <alignment horizontal="center" vertical="center" wrapText="1"/>
    </xf>
    <xf numFmtId="164" fontId="18" fillId="0" borderId="8" xfId="0" applyNumberFormat="1" applyFont="1" applyBorder="1" applyAlignment="1">
      <alignment horizontal="center" vertical="center"/>
    </xf>
    <xf numFmtId="0" fontId="11" fillId="0" borderId="9" xfId="0" applyFont="1" applyBorder="1"/>
    <xf numFmtId="0" fontId="11" fillId="0" borderId="9" xfId="0" applyFont="1" applyBorder="1" applyAlignment="1">
      <alignment horizontal="center"/>
    </xf>
    <xf numFmtId="0" fontId="11" fillId="0" borderId="9" xfId="0" applyFont="1" applyBorder="1" applyAlignment="1">
      <alignment horizontal="centerContinuous"/>
    </xf>
    <xf numFmtId="0" fontId="11" fillId="0" borderId="9" xfId="0" applyFont="1" applyBorder="1" applyAlignment="1">
      <alignment horizontal="center" vertical="center"/>
    </xf>
    <xf numFmtId="0" fontId="11" fillId="0" borderId="9" xfId="0" applyFont="1" applyBorder="1" applyAlignment="1">
      <alignment vertical="center"/>
    </xf>
    <xf numFmtId="0" fontId="11" fillId="0" borderId="150" xfId="0" applyFont="1" applyBorder="1"/>
    <xf numFmtId="0" fontId="33" fillId="0" borderId="70" xfId="1" applyFont="1" applyFill="1" applyBorder="1">
      <alignment horizontal="centerContinuous" vertical="center"/>
    </xf>
    <xf numFmtId="0" fontId="33" fillId="0" borderId="38" xfId="0" applyFont="1" applyBorder="1" applyAlignment="1">
      <alignment horizontal="centerContinuous" vertical="center"/>
    </xf>
    <xf numFmtId="0" fontId="33" fillId="0" borderId="102" xfId="1" applyFont="1" applyFill="1" applyBorder="1">
      <alignment horizontal="centerContinuous" vertical="center"/>
    </xf>
    <xf numFmtId="0" fontId="32" fillId="0" borderId="0" xfId="0" applyFont="1" applyAlignment="1">
      <alignment vertical="center"/>
    </xf>
    <xf numFmtId="0" fontId="33" fillId="0" borderId="37" xfId="0" applyFont="1" applyBorder="1" applyAlignment="1">
      <alignment horizontal="centerContinuous" vertical="center"/>
    </xf>
    <xf numFmtId="0" fontId="33" fillId="0" borderId="39" xfId="0" applyFont="1" applyBorder="1" applyAlignment="1">
      <alignment horizontal="centerContinuous" vertical="center"/>
    </xf>
    <xf numFmtId="0" fontId="32" fillId="0" borderId="0" xfId="0" applyFont="1"/>
    <xf numFmtId="0" fontId="32" fillId="18" borderId="150" xfId="0" applyFont="1" applyFill="1" applyBorder="1"/>
    <xf numFmtId="0" fontId="33" fillId="0" borderId="65" xfId="1" applyFont="1" applyFill="1" applyBorder="1">
      <alignment horizontal="centerContinuous" vertical="center"/>
    </xf>
    <xf numFmtId="0" fontId="32" fillId="0" borderId="124" xfId="0" applyFont="1" applyBorder="1" applyAlignment="1">
      <alignment vertical="center"/>
    </xf>
    <xf numFmtId="0" fontId="33" fillId="0" borderId="27" xfId="0" applyFont="1" applyBorder="1" applyAlignment="1">
      <alignment horizontal="centerContinuous" vertical="center"/>
    </xf>
    <xf numFmtId="0" fontId="33" fillId="0" borderId="102" xfId="0" applyFont="1" applyBorder="1" applyAlignment="1">
      <alignment horizontal="centerContinuous" vertical="center"/>
    </xf>
    <xf numFmtId="0" fontId="31" fillId="17" borderId="110" xfId="0" applyFont="1" applyFill="1" applyBorder="1" applyAlignment="1">
      <alignment horizontal="center" vertical="center"/>
    </xf>
    <xf numFmtId="0" fontId="31" fillId="17" borderId="107" xfId="0" applyFont="1" applyFill="1" applyBorder="1" applyAlignment="1">
      <alignment horizontal="center" vertical="center"/>
    </xf>
    <xf numFmtId="0" fontId="32" fillId="0" borderId="61" xfId="0" applyFont="1" applyBorder="1" applyAlignment="1">
      <alignment vertical="center"/>
    </xf>
    <xf numFmtId="0" fontId="31" fillId="17" borderId="113" xfId="0" applyFont="1" applyFill="1" applyBorder="1" applyAlignment="1">
      <alignment horizontal="center" vertical="center"/>
    </xf>
    <xf numFmtId="0" fontId="33" fillId="0" borderId="65" xfId="0" applyFont="1" applyBorder="1" applyAlignment="1">
      <alignment horizontal="centerContinuous" vertical="center"/>
    </xf>
    <xf numFmtId="0" fontId="33" fillId="0" borderId="68" xfId="1" applyFont="1" applyFill="1" applyBorder="1">
      <alignment horizontal="centerContinuous" vertical="center"/>
    </xf>
    <xf numFmtId="0" fontId="32" fillId="0" borderId="103" xfId="0" applyFont="1" applyBorder="1"/>
    <xf numFmtId="0" fontId="33" fillId="0" borderId="145" xfId="0" applyFont="1" applyBorder="1" applyAlignment="1">
      <alignment horizontal="centerContinuous" vertical="center"/>
    </xf>
    <xf numFmtId="0" fontId="33" fillId="0" borderId="40" xfId="0" applyFont="1" applyBorder="1" applyAlignment="1">
      <alignment horizontal="centerContinuous" vertical="center"/>
    </xf>
    <xf numFmtId="0" fontId="35" fillId="0" borderId="141" xfId="0" applyFont="1" applyBorder="1"/>
    <xf numFmtId="0" fontId="35" fillId="0" borderId="103" xfId="0" applyFont="1" applyBorder="1"/>
    <xf numFmtId="0" fontId="31" fillId="5" borderId="88" xfId="0" applyFont="1" applyFill="1" applyBorder="1" applyAlignment="1">
      <alignment horizontal="center" vertical="center" wrapText="1"/>
    </xf>
    <xf numFmtId="0" fontId="32" fillId="14" borderId="80"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7" borderId="90"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31" fillId="2" borderId="163"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2" fillId="7" borderId="80" xfId="0" applyFont="1" applyFill="1" applyBorder="1" applyAlignment="1">
      <alignment horizontal="center" vertical="center" wrapText="1"/>
    </xf>
    <xf numFmtId="0" fontId="32" fillId="14" borderId="90" xfId="0" applyFont="1" applyFill="1" applyBorder="1" applyAlignment="1">
      <alignment horizontal="center" vertical="center" wrapText="1"/>
    </xf>
    <xf numFmtId="0" fontId="31" fillId="5" borderId="167" xfId="0" applyFont="1" applyFill="1" applyBorder="1" applyAlignment="1">
      <alignment horizontal="center" vertical="center" wrapText="1"/>
    </xf>
    <xf numFmtId="0" fontId="32" fillId="0" borderId="8" xfId="0" applyFont="1" applyBorder="1" applyAlignment="1">
      <alignment vertical="center"/>
    </xf>
    <xf numFmtId="0" fontId="31" fillId="5" borderId="89" xfId="0" applyFont="1" applyFill="1" applyBorder="1" applyAlignment="1">
      <alignment horizontal="center" vertical="center" wrapText="1"/>
    </xf>
    <xf numFmtId="0" fontId="32" fillId="14" borderId="78"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2" fillId="7" borderId="91" xfId="0" applyFont="1" applyFill="1" applyBorder="1" applyAlignment="1">
      <alignment horizontal="center" vertical="center" wrapText="1"/>
    </xf>
    <xf numFmtId="0" fontId="32" fillId="9" borderId="47" xfId="0" applyFont="1" applyFill="1" applyBorder="1" applyAlignment="1">
      <alignment horizontal="center" vertical="center" wrapText="1"/>
    </xf>
    <xf numFmtId="0" fontId="31" fillId="2" borderId="169" xfId="0" applyFont="1" applyFill="1" applyBorder="1" applyAlignment="1">
      <alignment horizontal="center" vertical="center" wrapText="1"/>
    </xf>
    <xf numFmtId="0" fontId="32" fillId="9" borderId="89" xfId="0" applyFont="1" applyFill="1" applyBorder="1" applyAlignment="1">
      <alignment horizontal="center" vertical="center" wrapText="1"/>
    </xf>
    <xf numFmtId="0" fontId="32" fillId="7" borderId="78" xfId="0" applyFont="1" applyFill="1" applyBorder="1" applyAlignment="1">
      <alignment horizontal="center" vertical="center" wrapText="1"/>
    </xf>
    <xf numFmtId="0" fontId="32" fillId="14" borderId="91" xfId="0" applyFont="1" applyFill="1" applyBorder="1" applyAlignment="1">
      <alignment horizontal="center" vertical="center" wrapText="1"/>
    </xf>
    <xf numFmtId="0" fontId="31" fillId="5" borderId="53" xfId="0" applyFont="1" applyFill="1" applyBorder="1" applyAlignment="1">
      <alignment horizontal="center" vertical="center" wrapText="1"/>
    </xf>
    <xf numFmtId="0" fontId="31" fillId="5" borderId="143" xfId="0" applyFont="1" applyFill="1" applyBorder="1" applyAlignment="1">
      <alignment horizontal="center" vertical="center" wrapText="1"/>
    </xf>
    <xf numFmtId="0" fontId="32" fillId="14" borderId="146"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7" borderId="84"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1" fillId="2" borderId="161" xfId="0" applyFont="1" applyFill="1" applyBorder="1" applyAlignment="1">
      <alignment horizontal="center" vertical="center" wrapText="1"/>
    </xf>
    <xf numFmtId="0" fontId="32" fillId="9" borderId="143" xfId="0" applyFont="1" applyFill="1" applyBorder="1" applyAlignment="1">
      <alignment horizontal="center" vertical="center" wrapText="1"/>
    </xf>
    <xf numFmtId="0" fontId="32" fillId="7" borderId="146" xfId="0" applyFont="1" applyFill="1" applyBorder="1" applyAlignment="1">
      <alignment horizontal="center" vertical="center" wrapText="1"/>
    </xf>
    <xf numFmtId="0" fontId="32" fillId="14" borderId="84"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31" fillId="17" borderId="60" xfId="0" applyFont="1" applyFill="1" applyBorder="1" applyAlignment="1">
      <alignment horizontal="center" vertical="center"/>
    </xf>
    <xf numFmtId="0" fontId="33" fillId="0" borderId="65" xfId="0" applyFont="1" applyBorder="1" applyAlignment="1">
      <alignment horizontal="center" vertical="center"/>
    </xf>
    <xf numFmtId="0" fontId="33" fillId="0" borderId="130" xfId="0" applyFont="1" applyBorder="1" applyAlignment="1">
      <alignment horizontal="centerContinuous" vertical="center"/>
    </xf>
    <xf numFmtId="0" fontId="31" fillId="17" borderId="111" xfId="0" applyFont="1" applyFill="1" applyBorder="1" applyAlignment="1">
      <alignment horizontal="center" vertical="center"/>
    </xf>
    <xf numFmtId="0" fontId="31" fillId="5" borderId="65" xfId="0" applyFont="1" applyFill="1" applyBorder="1" applyAlignment="1">
      <alignment horizontal="center" vertical="center"/>
    </xf>
    <xf numFmtId="0" fontId="31" fillId="17" borderId="119" xfId="0" applyFont="1" applyFill="1" applyBorder="1" applyAlignment="1">
      <alignment horizontal="center" vertical="center"/>
    </xf>
    <xf numFmtId="0" fontId="32" fillId="0" borderId="105" xfId="0" applyFont="1" applyBorder="1" applyAlignment="1">
      <alignment vertical="center"/>
    </xf>
    <xf numFmtId="0" fontId="32" fillId="14" borderId="152" xfId="0" applyFont="1" applyFill="1" applyBorder="1" applyAlignment="1">
      <alignment horizontal="center" vertical="center" wrapText="1"/>
    </xf>
    <xf numFmtId="0" fontId="32" fillId="6" borderId="153" xfId="0" applyFont="1" applyFill="1" applyBorder="1" applyAlignment="1">
      <alignment horizontal="center" vertical="center" wrapText="1"/>
    </xf>
    <xf numFmtId="0" fontId="31" fillId="23" borderId="95" xfId="0" applyFont="1" applyFill="1" applyBorder="1" applyAlignment="1">
      <alignment horizontal="center" vertical="center" wrapText="1"/>
    </xf>
    <xf numFmtId="0" fontId="32" fillId="7" borderId="121" xfId="0" applyFont="1" applyFill="1" applyBorder="1" applyAlignment="1">
      <alignment horizontal="center" vertical="center" wrapText="1"/>
    </xf>
    <xf numFmtId="0" fontId="32" fillId="7" borderId="12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14" borderId="69" xfId="0" applyFont="1" applyFill="1" applyBorder="1" applyAlignment="1">
      <alignment horizontal="center" vertical="center" wrapText="1"/>
    </xf>
    <xf numFmtId="0" fontId="32" fillId="0" borderId="34" xfId="0" applyFont="1" applyBorder="1" applyAlignment="1">
      <alignment vertical="center"/>
    </xf>
    <xf numFmtId="0" fontId="32" fillId="14" borderId="9" xfId="0" applyFont="1" applyFill="1" applyBorder="1" applyAlignment="1">
      <alignment horizontal="center" vertical="center" wrapText="1"/>
    </xf>
    <xf numFmtId="0" fontId="31" fillId="3" borderId="66" xfId="0" applyFont="1" applyFill="1" applyBorder="1" applyAlignment="1">
      <alignment horizontal="center" vertical="center" wrapText="1"/>
    </xf>
    <xf numFmtId="0" fontId="32" fillId="14" borderId="71" xfId="0" applyFont="1" applyFill="1" applyBorder="1" applyAlignment="1">
      <alignment horizontal="center" vertical="center" wrapText="1"/>
    </xf>
    <xf numFmtId="0" fontId="33" fillId="0" borderId="70" xfId="0" applyFont="1" applyBorder="1" applyAlignment="1">
      <alignment horizontal="center" vertical="center"/>
    </xf>
    <xf numFmtId="0" fontId="33" fillId="0" borderId="94" xfId="0" applyFont="1" applyBorder="1" applyAlignment="1">
      <alignment horizontal="center" vertical="center"/>
    </xf>
    <xf numFmtId="0" fontId="33" fillId="0" borderId="136" xfId="0" applyFont="1" applyBorder="1" applyAlignment="1">
      <alignment horizontal="center" vertical="center"/>
    </xf>
    <xf numFmtId="0" fontId="31" fillId="5" borderId="82" xfId="0" applyFont="1" applyFill="1" applyBorder="1" applyAlignment="1">
      <alignment horizontal="center" vertical="center"/>
    </xf>
    <xf numFmtId="0" fontId="31" fillId="0" borderId="158" xfId="1" applyFont="1" applyFill="1" applyBorder="1">
      <alignment horizontal="centerContinuous" vertical="center"/>
    </xf>
    <xf numFmtId="0" fontId="32" fillId="0" borderId="158" xfId="1" applyFont="1" applyFill="1" applyBorder="1">
      <alignment horizontal="centerContinuous" vertical="center"/>
    </xf>
    <xf numFmtId="0" fontId="33" fillId="0" borderId="148" xfId="0" applyFont="1" applyBorder="1" applyAlignment="1">
      <alignment horizontal="center" vertical="center"/>
    </xf>
    <xf numFmtId="0" fontId="33" fillId="0" borderId="68" xfId="0" applyFont="1" applyBorder="1" applyAlignment="1">
      <alignment horizontal="center" vertical="center"/>
    </xf>
    <xf numFmtId="0" fontId="31" fillId="0" borderId="0" xfId="1" applyFont="1" applyFill="1" applyBorder="1">
      <alignment horizontal="centerContinuous" vertical="center"/>
    </xf>
    <xf numFmtId="0" fontId="32" fillId="0" borderId="0" xfId="1" applyFont="1" applyFill="1" applyBorder="1">
      <alignment horizontal="centerContinuous" vertical="center"/>
    </xf>
    <xf numFmtId="0" fontId="32" fillId="0" borderId="8" xfId="1" applyFont="1" applyFill="1" applyBorder="1">
      <alignment horizontal="centerContinuous" vertical="center"/>
    </xf>
    <xf numFmtId="164" fontId="36" fillId="0" borderId="1" xfId="0" applyNumberFormat="1" applyFont="1" applyBorder="1" applyAlignment="1">
      <alignment horizontal="center" vertical="center"/>
    </xf>
    <xf numFmtId="0" fontId="37" fillId="0" borderId="84" xfId="1" applyFont="1" applyFill="1" applyBorder="1">
      <alignment horizontal="centerContinuous" vertical="center"/>
    </xf>
    <xf numFmtId="0" fontId="37" fillId="0" borderId="18" xfId="0" applyFont="1" applyBorder="1" applyAlignment="1">
      <alignment horizontal="centerContinuous" vertical="center"/>
    </xf>
    <xf numFmtId="0" fontId="37" fillId="0" borderId="147" xfId="1" applyFont="1" applyFill="1" applyBorder="1">
      <alignment horizontal="centerContinuous" vertical="center"/>
    </xf>
    <xf numFmtId="0" fontId="37" fillId="0" borderId="144" xfId="1" applyFont="1" applyFill="1" applyBorder="1">
      <alignment horizontal="centerContinuous" vertical="center"/>
    </xf>
    <xf numFmtId="0" fontId="18" fillId="0" borderId="74" xfId="0" applyFont="1" applyBorder="1" applyAlignment="1">
      <alignment vertical="center"/>
    </xf>
    <xf numFmtId="0" fontId="37" fillId="0" borderId="86" xfId="0" applyFont="1" applyBorder="1" applyAlignment="1">
      <alignment horizontal="center" vertical="center"/>
    </xf>
    <xf numFmtId="0" fontId="37" fillId="0" borderId="156" xfId="0" applyFont="1" applyBorder="1" applyAlignment="1">
      <alignment horizontal="centerContinuous" vertical="center"/>
    </xf>
    <xf numFmtId="0" fontId="37" fillId="0" borderId="21" xfId="0" applyFont="1" applyBorder="1" applyAlignment="1">
      <alignment horizontal="centerContinuous" vertical="center"/>
    </xf>
    <xf numFmtId="0" fontId="18" fillId="0" borderId="0" xfId="0" applyFont="1"/>
    <xf numFmtId="0" fontId="18" fillId="0" borderId="150" xfId="0" applyFont="1" applyBorder="1"/>
    <xf numFmtId="164" fontId="36" fillId="5" borderId="1" xfId="0" applyNumberFormat="1" applyFont="1" applyFill="1" applyBorder="1" applyAlignment="1">
      <alignment horizontal="center" vertical="center"/>
    </xf>
    <xf numFmtId="0" fontId="37" fillId="0" borderId="86" xfId="1" applyFont="1" applyFill="1" applyBorder="1">
      <alignment horizontal="centerContinuous" vertical="center"/>
    </xf>
    <xf numFmtId="0" fontId="18" fillId="0" borderId="125" xfId="0" applyFont="1" applyBorder="1" applyAlignment="1">
      <alignment vertical="center"/>
    </xf>
    <xf numFmtId="0" fontId="37" fillId="0" borderId="3" xfId="0" applyFont="1" applyBorder="1" applyAlignment="1">
      <alignment horizontal="centerContinuous" vertical="center"/>
    </xf>
    <xf numFmtId="0" fontId="37" fillId="0" borderId="147" xfId="0" applyFont="1" applyBorder="1" applyAlignment="1">
      <alignment horizontal="centerContinuous" vertical="center"/>
    </xf>
    <xf numFmtId="0" fontId="18" fillId="17" borderId="106" xfId="0" applyFont="1" applyFill="1" applyBorder="1" applyAlignment="1">
      <alignment horizontal="center" vertical="center"/>
    </xf>
    <xf numFmtId="0" fontId="18" fillId="17" borderId="108" xfId="0" applyFont="1" applyFill="1" applyBorder="1" applyAlignment="1">
      <alignment horizontal="center" vertical="center"/>
    </xf>
    <xf numFmtId="0" fontId="18" fillId="17" borderId="112" xfId="0" applyFont="1" applyFill="1" applyBorder="1" applyAlignment="1">
      <alignment horizontal="center" vertical="center"/>
    </xf>
    <xf numFmtId="0" fontId="36" fillId="0" borderId="86" xfId="0" applyFont="1" applyBorder="1" applyAlignment="1">
      <alignment horizontal="centerContinuous" vertical="center"/>
    </xf>
    <xf numFmtId="0" fontId="36" fillId="0" borderId="147" xfId="0" applyFont="1" applyBorder="1" applyAlignment="1">
      <alignment horizontal="centerContinuous" vertical="center"/>
    </xf>
    <xf numFmtId="0" fontId="39" fillId="0" borderId="74" xfId="0" applyFont="1" applyBorder="1"/>
    <xf numFmtId="0" fontId="18" fillId="0" borderId="0" xfId="0" applyFont="1" applyAlignment="1">
      <alignment vertical="center"/>
    </xf>
    <xf numFmtId="0" fontId="39" fillId="0" borderId="75" xfId="0" applyFont="1" applyBorder="1"/>
    <xf numFmtId="0" fontId="37" fillId="0" borderId="146" xfId="0" applyFont="1" applyBorder="1" applyAlignment="1">
      <alignment horizontal="centerContinuous" vertical="center"/>
    </xf>
    <xf numFmtId="0" fontId="36" fillId="0" borderId="18" xfId="0" applyFont="1" applyBorder="1" applyAlignment="1">
      <alignment horizontal="centerContinuous" vertical="center"/>
    </xf>
    <xf numFmtId="0" fontId="36" fillId="0" borderId="21" xfId="0" applyFont="1" applyBorder="1" applyAlignment="1">
      <alignment horizontal="centerContinuous" vertical="center"/>
    </xf>
    <xf numFmtId="0" fontId="36" fillId="0" borderId="62" xfId="0" applyFont="1" applyBorder="1" applyAlignment="1">
      <alignment horizontal="centerContinuous" vertical="center"/>
    </xf>
    <xf numFmtId="0" fontId="18" fillId="0" borderId="75" xfId="0" applyFont="1" applyBorder="1" applyAlignment="1">
      <alignment vertical="center"/>
    </xf>
    <xf numFmtId="0" fontId="37" fillId="0" borderId="131" xfId="0" applyFont="1" applyBorder="1" applyAlignment="1">
      <alignment horizontal="centerContinuous" vertical="center"/>
    </xf>
    <xf numFmtId="164" fontId="36" fillId="5" borderId="86" xfId="0" applyNumberFormat="1" applyFont="1" applyFill="1" applyBorder="1" applyAlignment="1">
      <alignment horizontal="center" vertical="center"/>
    </xf>
    <xf numFmtId="0" fontId="18" fillId="17" borderId="118" xfId="0" applyFont="1" applyFill="1" applyBorder="1" applyAlignment="1">
      <alignment horizontal="center" vertical="center"/>
    </xf>
    <xf numFmtId="0" fontId="18" fillId="0" borderId="104" xfId="0" applyFont="1" applyBorder="1" applyAlignment="1">
      <alignment vertical="center"/>
    </xf>
    <xf numFmtId="0" fontId="37" fillId="0" borderId="84" xfId="0" applyFont="1" applyBorder="1" applyAlignment="1">
      <alignment horizontal="center" vertical="center"/>
    </xf>
    <xf numFmtId="0" fontId="37" fillId="0" borderId="143" xfId="0" applyFont="1" applyBorder="1" applyAlignment="1">
      <alignment horizontal="center" vertical="center"/>
    </xf>
    <xf numFmtId="0" fontId="37" fillId="0" borderId="155" xfId="0" applyFont="1" applyBorder="1" applyAlignment="1">
      <alignment horizontal="center" vertical="center"/>
    </xf>
    <xf numFmtId="164" fontId="36" fillId="5" borderId="83" xfId="0" applyNumberFormat="1" applyFont="1" applyFill="1" applyBorder="1" applyAlignment="1">
      <alignment horizontal="center" vertical="center"/>
    </xf>
    <xf numFmtId="164" fontId="36" fillId="20" borderId="1" xfId="0" applyNumberFormat="1" applyFont="1" applyFill="1" applyBorder="1" applyAlignment="1">
      <alignment horizontal="center" vertical="center"/>
    </xf>
    <xf numFmtId="0" fontId="37" fillId="0" borderId="160" xfId="0" applyFont="1" applyBorder="1" applyAlignment="1">
      <alignment horizontal="center" vertical="center"/>
    </xf>
    <xf numFmtId="0" fontId="37" fillId="0" borderId="144" xfId="0" applyFont="1" applyBorder="1" applyAlignment="1">
      <alignment horizontal="center" vertical="center"/>
    </xf>
    <xf numFmtId="0" fontId="3" fillId="0" borderId="9" xfId="1" applyFont="1" applyFill="1" applyBorder="1">
      <alignment horizontal="centerContinuous" vertical="center"/>
    </xf>
    <xf numFmtId="0" fontId="18" fillId="0" borderId="9" xfId="1" applyFont="1" applyFill="1" applyBorder="1">
      <alignment horizontal="centerContinuous" vertical="center"/>
    </xf>
    <xf numFmtId="0" fontId="18" fillId="0" borderId="26" xfId="1" applyFont="1" applyFill="1" applyBorder="1">
      <alignment horizontal="centerContinuous" vertical="center"/>
    </xf>
    <xf numFmtId="0" fontId="8" fillId="0" borderId="70" xfId="1" applyFont="1" applyFill="1" applyBorder="1">
      <alignment horizontal="centerContinuous" vertical="center"/>
    </xf>
    <xf numFmtId="0" fontId="7" fillId="0" borderId="38" xfId="0" applyFont="1" applyBorder="1" applyAlignment="1">
      <alignment horizontal="centerContinuous" vertical="center"/>
    </xf>
    <xf numFmtId="0" fontId="8" fillId="0" borderId="102" xfId="1" applyFont="1" applyFill="1" applyBorder="1">
      <alignment horizontal="centerContinuous" vertical="center"/>
    </xf>
    <xf numFmtId="0" fontId="8" fillId="0" borderId="68" xfId="1" applyFont="1" applyFill="1" applyBorder="1">
      <alignment horizontal="centerContinuous" vertical="center"/>
    </xf>
    <xf numFmtId="0" fontId="8" fillId="0" borderId="37" xfId="0" applyFont="1" applyBorder="1" applyAlignment="1">
      <alignment horizontal="centerContinuous" vertical="center"/>
    </xf>
    <xf numFmtId="0" fontId="7" fillId="0" borderId="39" xfId="0" applyFont="1" applyBorder="1" applyAlignment="1">
      <alignment horizontal="centerContinuous" vertical="center"/>
    </xf>
    <xf numFmtId="0" fontId="9" fillId="18" borderId="150" xfId="0" applyFont="1" applyFill="1" applyBorder="1"/>
    <xf numFmtId="0" fontId="8" fillId="0" borderId="65" xfId="1" applyFont="1" applyFill="1" applyBorder="1">
      <alignment horizontal="centerContinuous" vertical="center"/>
    </xf>
    <xf numFmtId="0" fontId="9" fillId="0" borderId="61" xfId="0" applyFont="1" applyBorder="1" applyAlignment="1">
      <alignment vertical="center"/>
    </xf>
    <xf numFmtId="0" fontId="8" fillId="0" borderId="27" xfId="0" applyFont="1" applyBorder="1" applyAlignment="1">
      <alignment horizontal="centerContinuous" vertical="center"/>
    </xf>
    <xf numFmtId="0" fontId="7" fillId="0" borderId="102" xfId="0" applyFont="1" applyBorder="1" applyAlignment="1">
      <alignment horizontal="centerContinuous" vertical="center"/>
    </xf>
    <xf numFmtId="0" fontId="8" fillId="0" borderId="65" xfId="0" applyFont="1" applyBorder="1" applyAlignment="1">
      <alignment horizontal="centerContinuous" vertical="center"/>
    </xf>
    <xf numFmtId="0" fontId="8" fillId="0" borderId="102" xfId="0" applyFont="1" applyBorder="1" applyAlignment="1">
      <alignment horizontal="centerContinuous" vertical="center"/>
    </xf>
    <xf numFmtId="0" fontId="8" fillId="0" borderId="145" xfId="0" applyFont="1" applyBorder="1" applyAlignment="1">
      <alignment horizontal="centerContinuous" vertical="center"/>
    </xf>
    <xf numFmtId="0" fontId="8" fillId="0" borderId="38" xfId="0" applyFont="1" applyBorder="1" applyAlignment="1">
      <alignment horizontal="centerContinuous" vertical="center"/>
    </xf>
    <xf numFmtId="0" fontId="8" fillId="0" borderId="39" xfId="0" applyFont="1" applyBorder="1" applyAlignment="1">
      <alignment horizontal="centerContinuous" vertical="center"/>
    </xf>
    <xf numFmtId="0" fontId="8" fillId="0" borderId="40" xfId="0" applyFont="1" applyBorder="1" applyAlignment="1">
      <alignment horizontal="centerContinuous" vertical="center"/>
    </xf>
    <xf numFmtId="0" fontId="9" fillId="0" borderId="8" xfId="0" applyFont="1" applyBorder="1" applyAlignment="1">
      <alignment vertical="center"/>
    </xf>
    <xf numFmtId="0" fontId="8" fillId="0" borderId="65" xfId="0" applyFont="1" applyBorder="1" applyAlignment="1">
      <alignment horizontal="center" vertical="center"/>
    </xf>
    <xf numFmtId="0" fontId="7" fillId="0" borderId="130" xfId="0" applyFont="1" applyBorder="1" applyAlignment="1">
      <alignment horizontal="centerContinuous" vertical="center"/>
    </xf>
    <xf numFmtId="0" fontId="12" fillId="5" borderId="65" xfId="0" applyFont="1" applyFill="1" applyBorder="1" applyAlignment="1">
      <alignment horizontal="center"/>
    </xf>
    <xf numFmtId="0" fontId="9" fillId="0" borderId="34" xfId="0" applyFont="1" applyBorder="1" applyAlignment="1">
      <alignment vertical="center"/>
    </xf>
    <xf numFmtId="0" fontId="9" fillId="14" borderId="145"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82" xfId="0" applyFont="1" applyFill="1" applyBorder="1" applyAlignment="1">
      <alignment horizontal="center" vertical="center" wrapText="1"/>
    </xf>
    <xf numFmtId="0" fontId="9" fillId="6" borderId="27" xfId="0" applyFont="1" applyFill="1" applyBorder="1" applyAlignment="1">
      <alignment horizontal="center" vertical="center" wrapText="1"/>
    </xf>
    <xf numFmtId="0" fontId="9" fillId="14" borderId="70" xfId="0" applyFont="1" applyFill="1" applyBorder="1" applyAlignment="1">
      <alignment horizontal="center" vertical="center" wrapText="1"/>
    </xf>
    <xf numFmtId="0" fontId="8" fillId="0" borderId="70" xfId="0" applyFont="1" applyBorder="1" applyAlignment="1">
      <alignment horizontal="center" vertical="center"/>
    </xf>
    <xf numFmtId="0" fontId="8" fillId="0" borderId="94" xfId="0" applyFont="1" applyBorder="1" applyAlignment="1">
      <alignment horizontal="center" vertical="center"/>
    </xf>
    <xf numFmtId="0" fontId="8" fillId="0" borderId="136" xfId="0" applyFont="1" applyBorder="1" applyAlignment="1">
      <alignment horizontal="center" vertical="center"/>
    </xf>
    <xf numFmtId="0" fontId="12" fillId="5" borderId="82" xfId="0" applyFont="1" applyFill="1" applyBorder="1" applyAlignment="1">
      <alignment horizontal="center"/>
    </xf>
    <xf numFmtId="0" fontId="8" fillId="0" borderId="148" xfId="0" applyFont="1" applyBorder="1" applyAlignment="1">
      <alignment horizontal="center" vertical="center"/>
    </xf>
    <xf numFmtId="0" fontId="8" fillId="0" borderId="68" xfId="0" applyFont="1" applyBorder="1" applyAlignment="1">
      <alignment horizontal="center" vertical="center"/>
    </xf>
    <xf numFmtId="0" fontId="37" fillId="0" borderId="85" xfId="0" applyFont="1" applyBorder="1" applyAlignment="1">
      <alignment horizontal="center" vertical="center" readingOrder="2"/>
    </xf>
    <xf numFmtId="0" fontId="23" fillId="17" borderId="57" xfId="0" applyFont="1" applyFill="1" applyBorder="1" applyAlignment="1">
      <alignment horizontal="center" vertical="center"/>
    </xf>
    <xf numFmtId="0" fontId="23" fillId="17" borderId="106" xfId="0" applyFont="1" applyFill="1" applyBorder="1" applyAlignment="1">
      <alignment horizontal="center" vertical="center"/>
    </xf>
    <xf numFmtId="0" fontId="23" fillId="17" borderId="61" xfId="0" applyFont="1" applyFill="1" applyBorder="1" applyAlignment="1">
      <alignment horizontal="center" vertical="center"/>
    </xf>
    <xf numFmtId="0" fontId="23" fillId="17" borderId="118" xfId="0" applyFont="1" applyFill="1" applyBorder="1" applyAlignment="1">
      <alignment horizontal="center" vertical="center"/>
    </xf>
    <xf numFmtId="0" fontId="23" fillId="17" borderId="119" xfId="0" applyFont="1" applyFill="1" applyBorder="1" applyAlignment="1">
      <alignment horizontal="center" vertical="center"/>
    </xf>
    <xf numFmtId="0" fontId="23" fillId="17" borderId="110" xfId="0" applyFont="1" applyFill="1" applyBorder="1" applyAlignment="1">
      <alignment horizontal="center" vertical="center"/>
    </xf>
    <xf numFmtId="0" fontId="22" fillId="17" borderId="61" xfId="0" applyFont="1" applyFill="1" applyBorder="1" applyAlignment="1">
      <alignment horizontal="center" vertical="center"/>
    </xf>
    <xf numFmtId="0" fontId="22" fillId="17" borderId="57" xfId="0" applyFont="1" applyFill="1" applyBorder="1" applyAlignment="1">
      <alignment horizontal="center" vertical="center"/>
    </xf>
    <xf numFmtId="0" fontId="22" fillId="17" borderId="110" xfId="0" applyFont="1" applyFill="1" applyBorder="1" applyAlignment="1">
      <alignment horizontal="center" vertical="center" textRotation="180"/>
    </xf>
    <xf numFmtId="0" fontId="23" fillId="17" borderId="110" xfId="0" applyFont="1" applyFill="1" applyBorder="1" applyAlignment="1">
      <alignment horizontal="center" vertical="center" textRotation="180"/>
    </xf>
    <xf numFmtId="0" fontId="22" fillId="17" borderId="57" xfId="0" applyFont="1" applyFill="1" applyBorder="1" applyAlignment="1">
      <alignment horizontal="center" vertical="center" textRotation="180"/>
    </xf>
    <xf numFmtId="0" fontId="23" fillId="17" borderId="106" xfId="0" applyFont="1" applyFill="1" applyBorder="1" applyAlignment="1">
      <alignment horizontal="center" vertical="center" textRotation="180"/>
    </xf>
    <xf numFmtId="0" fontId="23" fillId="17" borderId="57" xfId="0" applyFont="1" applyFill="1" applyBorder="1" applyAlignment="1">
      <alignment horizontal="center" vertical="center" textRotation="180"/>
    </xf>
    <xf numFmtId="0" fontId="31" fillId="0" borderId="13" xfId="0" applyFont="1" applyBorder="1" applyAlignment="1">
      <alignment horizontal="center" vertical="center"/>
    </xf>
    <xf numFmtId="0" fontId="18" fillId="0" borderId="68" xfId="0" applyFont="1" applyBorder="1" applyAlignment="1">
      <alignment horizontal="left" vertical="center"/>
    </xf>
    <xf numFmtId="0" fontId="18" fillId="0" borderId="68" xfId="0" applyFont="1" applyBorder="1" applyAlignment="1">
      <alignment horizontal="left" vertical="center" readingOrder="2"/>
    </xf>
    <xf numFmtId="0" fontId="18" fillId="0" borderId="144" xfId="0" applyFont="1" applyBorder="1" applyAlignment="1">
      <alignment horizontal="left" vertical="center"/>
    </xf>
    <xf numFmtId="0" fontId="18" fillId="5" borderId="68" xfId="0" applyFont="1" applyFill="1" applyBorder="1" applyAlignment="1">
      <alignment horizontal="left" vertical="center"/>
    </xf>
    <xf numFmtId="0" fontId="18" fillId="5" borderId="68" xfId="0" applyFont="1" applyFill="1" applyBorder="1" applyAlignment="1">
      <alignment horizontal="left" vertical="center" readingOrder="2"/>
    </xf>
    <xf numFmtId="0" fontId="18" fillId="5" borderId="144" xfId="0" applyFont="1" applyFill="1" applyBorder="1" applyAlignment="1">
      <alignment horizontal="left" vertical="center"/>
    </xf>
    <xf numFmtId="0" fontId="18" fillId="20" borderId="68" xfId="0" applyFont="1" applyFill="1" applyBorder="1" applyAlignment="1">
      <alignment horizontal="left" vertical="center"/>
    </xf>
    <xf numFmtId="0" fontId="18" fillId="20" borderId="68" xfId="0" applyFont="1" applyFill="1" applyBorder="1" applyAlignment="1">
      <alignment horizontal="left" vertical="center" readingOrder="2"/>
    </xf>
    <xf numFmtId="0" fontId="18" fillId="20" borderId="144" xfId="0" applyFont="1" applyFill="1" applyBorder="1" applyAlignment="1">
      <alignment horizontal="left" vertical="center"/>
    </xf>
    <xf numFmtId="0" fontId="22" fillId="17" borderId="56" xfId="0" applyFont="1" applyFill="1" applyBorder="1" applyAlignment="1">
      <alignment horizontal="center" vertical="center" readingOrder="2"/>
    </xf>
    <xf numFmtId="0" fontId="22" fillId="17" borderId="109" xfId="0" applyFont="1" applyFill="1" applyBorder="1" applyAlignment="1">
      <alignment horizontal="center" vertical="center" readingOrder="2"/>
    </xf>
    <xf numFmtId="0" fontId="24" fillId="3" borderId="10" xfId="1" applyFont="1" applyFill="1" applyBorder="1" applyAlignment="1">
      <alignment horizontal="center" vertical="center"/>
    </xf>
    <xf numFmtId="0" fontId="22" fillId="17" borderId="134" xfId="0" applyFont="1" applyFill="1" applyBorder="1" applyAlignment="1">
      <alignment horizontal="center" vertical="center" readingOrder="2"/>
    </xf>
    <xf numFmtId="0" fontId="24" fillId="14" borderId="1" xfId="1" applyFont="1" applyFill="1" applyBorder="1" applyAlignment="1">
      <alignment vertical="center"/>
    </xf>
    <xf numFmtId="0" fontId="24" fillId="2" borderId="10" xfId="1" applyFont="1" applyFill="1" applyBorder="1" applyAlignment="1">
      <alignment horizontal="center" vertical="center" wrapText="1"/>
    </xf>
    <xf numFmtId="0" fontId="24" fillId="9" borderId="79" xfId="1" applyFont="1" applyFill="1" applyBorder="1" applyAlignment="1">
      <alignment horizontal="center" vertical="center" wrapText="1"/>
    </xf>
    <xf numFmtId="0" fontId="42" fillId="15" borderId="10" xfId="1" applyFont="1" applyFill="1" applyBorder="1" applyAlignment="1">
      <alignment horizontal="center" vertical="center"/>
    </xf>
    <xf numFmtId="0" fontId="43" fillId="11" borderId="41" xfId="0" applyFont="1" applyFill="1" applyBorder="1" applyAlignment="1">
      <alignment vertical="center"/>
    </xf>
    <xf numFmtId="0" fontId="43" fillId="11" borderId="0" xfId="0" applyFont="1" applyFill="1" applyAlignment="1">
      <alignment vertical="center"/>
    </xf>
    <xf numFmtId="0" fontId="43" fillId="11" borderId="70" xfId="0" applyFont="1" applyFill="1" applyBorder="1" applyAlignment="1">
      <alignment vertical="center"/>
    </xf>
    <xf numFmtId="0" fontId="22" fillId="12" borderId="1" xfId="1" applyFont="1" applyFill="1" applyBorder="1" applyAlignment="1">
      <alignment vertical="center"/>
    </xf>
    <xf numFmtId="0" fontId="22" fillId="13" borderId="82" xfId="0" applyFont="1" applyFill="1" applyBorder="1" applyAlignment="1">
      <alignment vertical="center"/>
    </xf>
    <xf numFmtId="0" fontId="22" fillId="13" borderId="0" xfId="0" applyFont="1" applyFill="1" applyAlignment="1">
      <alignment vertical="center"/>
    </xf>
    <xf numFmtId="0" fontId="22" fillId="15" borderId="40" xfId="0" applyFont="1" applyFill="1" applyBorder="1" applyAlignment="1">
      <alignment vertical="center"/>
    </xf>
    <xf numFmtId="0" fontId="22" fillId="15" borderId="0" xfId="0" applyFont="1" applyFill="1" applyAlignment="1">
      <alignment vertical="center"/>
    </xf>
    <xf numFmtId="0" fontId="22" fillId="15" borderId="61" xfId="0" applyFont="1" applyFill="1" applyBorder="1" applyAlignment="1">
      <alignment vertical="center"/>
    </xf>
    <xf numFmtId="0" fontId="22" fillId="13" borderId="82" xfId="0" applyFont="1" applyFill="1" applyBorder="1" applyAlignment="1">
      <alignment horizontal="centerContinuous" vertical="center"/>
    </xf>
    <xf numFmtId="0" fontId="22" fillId="13" borderId="0" xfId="0" applyFont="1" applyFill="1" applyAlignment="1">
      <alignment horizontal="centerContinuous" vertical="center"/>
    </xf>
    <xf numFmtId="0" fontId="22" fillId="15" borderId="40" xfId="1" applyFont="1" applyFill="1" applyBorder="1">
      <alignment horizontal="centerContinuous" vertical="center"/>
    </xf>
    <xf numFmtId="0" fontId="22" fillId="15" borderId="0" xfId="1" applyFont="1" applyFill="1" applyBorder="1">
      <alignment horizontal="centerContinuous" vertical="center"/>
    </xf>
    <xf numFmtId="0" fontId="22" fillId="15" borderId="61" xfId="1" applyFont="1" applyFill="1" applyBorder="1">
      <alignment horizontal="centerContinuous" vertical="center"/>
    </xf>
    <xf numFmtId="0" fontId="22" fillId="8" borderId="36" xfId="0" applyFont="1" applyFill="1" applyBorder="1" applyAlignment="1">
      <alignment horizontal="center" vertical="center"/>
    </xf>
    <xf numFmtId="0" fontId="22" fillId="15" borderId="10" xfId="0" applyFont="1" applyFill="1" applyBorder="1" applyAlignment="1">
      <alignment horizontal="center" vertical="center"/>
    </xf>
    <xf numFmtId="0" fontId="31" fillId="0" borderId="15" xfId="0" applyFont="1" applyBorder="1" applyAlignment="1">
      <alignment horizontal="center" vertical="center" wrapText="1"/>
    </xf>
    <xf numFmtId="0" fontId="31" fillId="0" borderId="0" xfId="0" applyFont="1" applyAlignment="1">
      <alignment horizontal="center" vertical="center" wrapText="1"/>
    </xf>
    <xf numFmtId="0" fontId="31" fillId="0" borderId="8" xfId="0" applyFont="1" applyBorder="1" applyAlignment="1">
      <alignment horizontal="center" vertical="center" wrapText="1"/>
    </xf>
    <xf numFmtId="0" fontId="32" fillId="0" borderId="94" xfId="0" applyFont="1" applyBorder="1" applyAlignment="1">
      <alignment horizontal="center" vertical="center" wrapText="1"/>
    </xf>
    <xf numFmtId="0" fontId="32" fillId="0" borderId="8" xfId="0" applyFont="1" applyBorder="1" applyAlignment="1">
      <alignment horizontal="center" vertical="center" wrapText="1"/>
    </xf>
    <xf numFmtId="0" fontId="31" fillId="0" borderId="65" xfId="0" applyFont="1" applyBorder="1" applyAlignment="1">
      <alignment horizontal="center" vertical="center" wrapText="1"/>
    </xf>
    <xf numFmtId="0" fontId="32" fillId="14" borderId="145" xfId="0" applyFont="1" applyFill="1" applyBorder="1" applyAlignment="1">
      <alignment horizontal="center" vertical="center" wrapText="1"/>
    </xf>
    <xf numFmtId="0" fontId="32" fillId="6" borderId="38" xfId="0" applyFont="1" applyFill="1" applyBorder="1" applyAlignment="1">
      <alignment horizontal="center" vertical="center" wrapText="1"/>
    </xf>
    <xf numFmtId="0" fontId="32" fillId="7" borderId="70" xfId="0" applyFont="1" applyFill="1" applyBorder="1" applyAlignment="1">
      <alignment horizontal="center" vertical="center" wrapText="1"/>
    </xf>
    <xf numFmtId="0" fontId="32" fillId="0" borderId="0" xfId="0" applyFont="1" applyAlignment="1">
      <alignment horizontal="center" vertical="center" wrapText="1"/>
    </xf>
    <xf numFmtId="0" fontId="31" fillId="0" borderId="34" xfId="0" applyFont="1" applyBorder="1" applyAlignment="1">
      <alignment horizontal="center" vertical="center" wrapText="1"/>
    </xf>
    <xf numFmtId="0" fontId="32" fillId="7" borderId="145" xfId="0" applyFont="1" applyFill="1" applyBorder="1" applyAlignment="1">
      <alignment horizontal="center" vertical="center" wrapText="1"/>
    </xf>
    <xf numFmtId="0" fontId="32" fillId="14" borderId="70" xfId="0" applyFont="1" applyFill="1" applyBorder="1" applyAlignment="1">
      <alignment horizontal="center" vertical="center" wrapText="1"/>
    </xf>
    <xf numFmtId="0" fontId="22" fillId="17" borderId="57" xfId="0" applyFont="1" applyFill="1" applyBorder="1" applyAlignment="1">
      <alignment horizontal="center" vertical="center" readingOrder="2"/>
    </xf>
    <xf numFmtId="0" fontId="33" fillId="0" borderId="86" xfId="0" applyFont="1" applyBorder="1" applyAlignment="1">
      <alignment horizontal="center" vertical="center"/>
    </xf>
    <xf numFmtId="0" fontId="31" fillId="0" borderId="0" xfId="0" applyFont="1" applyAlignment="1">
      <alignment horizontal="center" vertical="center"/>
    </xf>
    <xf numFmtId="0" fontId="1" fillId="0" borderId="9" xfId="0" applyFont="1" applyBorder="1" applyAlignment="1">
      <alignment horizontal="center" vertical="center"/>
    </xf>
    <xf numFmtId="0" fontId="18" fillId="0" borderId="67" xfId="0" applyFont="1" applyBorder="1" applyAlignment="1">
      <alignment horizontal="left" vertical="center"/>
    </xf>
    <xf numFmtId="0" fontId="25" fillId="0" borderId="0" xfId="0" applyFont="1" applyAlignment="1">
      <alignment horizontal="center" vertical="center"/>
    </xf>
    <xf numFmtId="0" fontId="12" fillId="0" borderId="0" xfId="0" applyFont="1" applyAlignment="1">
      <alignment horizontal="center"/>
    </xf>
    <xf numFmtId="0" fontId="31" fillId="5" borderId="0" xfId="0" applyFont="1" applyFill="1" applyAlignment="1">
      <alignment horizontal="center" vertical="center"/>
    </xf>
    <xf numFmtId="0" fontId="25" fillId="5" borderId="0" xfId="0" applyFont="1" applyFill="1" applyAlignment="1">
      <alignment horizontal="center" vertical="center"/>
    </xf>
    <xf numFmtId="0" fontId="12" fillId="5" borderId="0" xfId="0" applyFont="1" applyFill="1" applyAlignment="1">
      <alignment horizontal="center"/>
    </xf>
    <xf numFmtId="0" fontId="31" fillId="20" borderId="0" xfId="0" applyFont="1" applyFill="1" applyAlignment="1">
      <alignment horizontal="center" vertical="center"/>
    </xf>
    <xf numFmtId="0" fontId="25" fillId="20" borderId="0" xfId="0" applyFont="1" applyFill="1" applyAlignment="1">
      <alignment horizontal="center" vertical="center"/>
    </xf>
    <xf numFmtId="0" fontId="12" fillId="20" borderId="0" xfId="0" applyFont="1" applyFill="1" applyAlignment="1">
      <alignment horizontal="center"/>
    </xf>
    <xf numFmtId="0" fontId="37" fillId="0" borderId="92" xfId="0" applyFont="1" applyBorder="1" applyAlignment="1">
      <alignment horizontal="center" vertical="center"/>
    </xf>
    <xf numFmtId="0" fontId="37" fillId="0" borderId="66" xfId="1" applyFont="1" applyFill="1" applyBorder="1">
      <alignment horizontal="centerContinuous" vertical="center"/>
    </xf>
    <xf numFmtId="0" fontId="37" fillId="0" borderId="174" xfId="1" applyFont="1" applyFill="1" applyBorder="1">
      <alignment horizontal="centerContinuous" vertical="center"/>
    </xf>
    <xf numFmtId="0" fontId="37" fillId="0" borderId="149" xfId="0" applyFont="1" applyBorder="1" applyAlignment="1">
      <alignment horizontal="center" vertical="center"/>
    </xf>
    <xf numFmtId="0" fontId="37" fillId="0" borderId="66" xfId="0" applyFont="1" applyBorder="1" applyAlignment="1">
      <alignment horizontal="center" vertical="center"/>
    </xf>
    <xf numFmtId="0" fontId="37" fillId="0" borderId="178" xfId="0" applyFont="1" applyBorder="1" applyAlignment="1">
      <alignment horizontal="center" vertical="center"/>
    </xf>
    <xf numFmtId="0" fontId="31" fillId="5" borderId="68" xfId="0" applyFont="1" applyFill="1" applyBorder="1" applyAlignment="1">
      <alignment horizontal="center" vertical="center"/>
    </xf>
    <xf numFmtId="0" fontId="25" fillId="5" borderId="68" xfId="0" applyFont="1" applyFill="1" applyBorder="1" applyAlignment="1">
      <alignment horizontal="center" vertical="center"/>
    </xf>
    <xf numFmtId="0" fontId="12" fillId="5" borderId="68" xfId="0" applyFont="1" applyFill="1" applyBorder="1" applyAlignment="1">
      <alignment horizontal="center"/>
    </xf>
    <xf numFmtId="164" fontId="36" fillId="5" borderId="144" xfId="0" applyNumberFormat="1" applyFont="1" applyFill="1" applyBorder="1" applyAlignment="1">
      <alignment horizontal="center" vertical="center"/>
    </xf>
    <xf numFmtId="0" fontId="18" fillId="0" borderId="26" xfId="0" applyFont="1" applyBorder="1" applyAlignment="1">
      <alignment horizontal="center" vertical="center"/>
    </xf>
    <xf numFmtId="0" fontId="33" fillId="0" borderId="166" xfId="0" applyFont="1" applyBorder="1" applyAlignment="1">
      <alignment horizontal="centerContinuous" vertical="center"/>
    </xf>
    <xf numFmtId="0" fontId="7" fillId="0" borderId="94" xfId="0" applyFont="1" applyBorder="1" applyAlignment="1">
      <alignment horizontal="centerContinuous" vertical="center"/>
    </xf>
    <xf numFmtId="0" fontId="37" fillId="0" borderId="143" xfId="0" applyFont="1" applyBorder="1" applyAlignment="1">
      <alignment horizontal="centerContinuous" vertical="center"/>
    </xf>
    <xf numFmtId="0" fontId="37" fillId="0" borderId="160" xfId="1" applyFont="1" applyFill="1" applyBorder="1">
      <alignment horizontal="centerContinuous" vertical="center"/>
    </xf>
    <xf numFmtId="0" fontId="31" fillId="5" borderId="70" xfId="0" applyFont="1" applyFill="1" applyBorder="1" applyAlignment="1">
      <alignment horizontal="center" vertical="center"/>
    </xf>
    <xf numFmtId="0" fontId="25" fillId="5" borderId="70" xfId="0" applyFont="1" applyFill="1" applyBorder="1" applyAlignment="1">
      <alignment horizontal="center" vertical="center"/>
    </xf>
    <xf numFmtId="0" fontId="12" fillId="5" borderId="70" xfId="0" applyFont="1" applyFill="1" applyBorder="1" applyAlignment="1">
      <alignment horizontal="center"/>
    </xf>
    <xf numFmtId="164" fontId="36" fillId="5" borderId="84" xfId="0" applyNumberFormat="1" applyFont="1" applyFill="1" applyBorder="1" applyAlignment="1">
      <alignment horizontal="center" vertical="center"/>
    </xf>
    <xf numFmtId="0" fontId="31" fillId="0" borderId="70" xfId="0" applyFont="1" applyBorder="1" applyAlignment="1">
      <alignment horizontal="center" vertical="center"/>
    </xf>
    <xf numFmtId="0" fontId="25" fillId="0" borderId="70" xfId="0" applyFont="1" applyBorder="1" applyAlignment="1">
      <alignment horizontal="center" vertical="center"/>
    </xf>
    <xf numFmtId="0" fontId="12" fillId="0" borderId="70" xfId="0" applyFont="1" applyBorder="1" applyAlignment="1">
      <alignment horizontal="center"/>
    </xf>
    <xf numFmtId="164" fontId="36" fillId="0" borderId="84" xfId="0" applyNumberFormat="1" applyFont="1" applyBorder="1" applyAlignment="1">
      <alignment horizontal="center" vertical="center"/>
    </xf>
    <xf numFmtId="0" fontId="18" fillId="0" borderId="166" xfId="0" applyFont="1" applyBorder="1" applyAlignment="1">
      <alignment horizontal="right" vertical="center"/>
    </xf>
    <xf numFmtId="0" fontId="18" fillId="0" borderId="94" xfId="0" applyFont="1" applyBorder="1" applyAlignment="1">
      <alignment horizontal="right" vertical="center"/>
    </xf>
    <xf numFmtId="0" fontId="18" fillId="0" borderId="94" xfId="0" applyFont="1" applyBorder="1" applyAlignment="1">
      <alignment horizontal="right" vertical="center" readingOrder="2"/>
    </xf>
    <xf numFmtId="0" fontId="18" fillId="0" borderId="143" xfId="0" applyFont="1" applyBorder="1" applyAlignment="1">
      <alignment horizontal="right" vertical="center"/>
    </xf>
    <xf numFmtId="0" fontId="18" fillId="5" borderId="94" xfId="0" applyFont="1" applyFill="1" applyBorder="1" applyAlignment="1">
      <alignment horizontal="right" vertical="center"/>
    </xf>
    <xf numFmtId="0" fontId="18" fillId="5" borderId="94" xfId="0" applyFont="1" applyFill="1" applyBorder="1" applyAlignment="1">
      <alignment horizontal="right" vertical="center" readingOrder="2"/>
    </xf>
    <xf numFmtId="0" fontId="18" fillId="5" borderId="143" xfId="0" applyFont="1" applyFill="1" applyBorder="1" applyAlignment="1">
      <alignment horizontal="right" vertical="center"/>
    </xf>
    <xf numFmtId="0" fontId="18" fillId="20" borderId="94" xfId="0" applyFont="1" applyFill="1" applyBorder="1" applyAlignment="1">
      <alignment horizontal="right" vertical="center"/>
    </xf>
    <xf numFmtId="0" fontId="18" fillId="20" borderId="94" xfId="0" applyFont="1" applyFill="1" applyBorder="1" applyAlignment="1">
      <alignment horizontal="right" vertical="center" readingOrder="2"/>
    </xf>
    <xf numFmtId="0" fontId="18" fillId="20" borderId="143" xfId="0" applyFont="1" applyFill="1" applyBorder="1" applyAlignment="1">
      <alignment horizontal="right" vertical="center"/>
    </xf>
    <xf numFmtId="0" fontId="33" fillId="0" borderId="183" xfId="0" applyFont="1" applyBorder="1" applyAlignment="1">
      <alignment horizontal="center" vertical="center"/>
    </xf>
    <xf numFmtId="0" fontId="36" fillId="0" borderId="161" xfId="0" applyFont="1" applyBorder="1" applyAlignment="1">
      <alignment horizontal="centerContinuous" vertical="center"/>
    </xf>
    <xf numFmtId="0" fontId="36" fillId="0" borderId="131" xfId="0" applyFont="1" applyBorder="1" applyAlignment="1">
      <alignment horizontal="centerContinuous" vertical="center"/>
    </xf>
    <xf numFmtId="0" fontId="9" fillId="24" borderId="185" xfId="0" applyFont="1" applyFill="1" applyBorder="1" applyAlignment="1">
      <alignment vertical="center"/>
    </xf>
    <xf numFmtId="0" fontId="9" fillId="24" borderId="72" xfId="0" applyFont="1" applyFill="1" applyBorder="1" applyAlignment="1">
      <alignment vertical="center"/>
    </xf>
    <xf numFmtId="0" fontId="9" fillId="24" borderId="73" xfId="0" applyFont="1" applyFill="1" applyBorder="1" applyAlignment="1">
      <alignment vertical="center"/>
    </xf>
    <xf numFmtId="0" fontId="37" fillId="0" borderId="187" xfId="0" applyFont="1" applyBorder="1" applyAlignment="1">
      <alignment horizontal="center" vertical="center"/>
    </xf>
    <xf numFmtId="0" fontId="37" fillId="0" borderId="187" xfId="1" applyFont="1" applyFill="1" applyBorder="1">
      <alignment horizontal="centerContinuous" vertical="center"/>
    </xf>
    <xf numFmtId="0" fontId="37" fillId="0" borderId="186" xfId="1" applyFont="1" applyFill="1" applyBorder="1">
      <alignment horizontal="centerContinuous" vertical="center"/>
    </xf>
    <xf numFmtId="0" fontId="37" fillId="0" borderId="188" xfId="0" applyFont="1" applyBorder="1" applyAlignment="1">
      <alignment horizontal="center" vertical="center"/>
    </xf>
    <xf numFmtId="0" fontId="37" fillId="0" borderId="189" xfId="0" applyFont="1" applyBorder="1" applyAlignment="1">
      <alignment horizontal="centerContinuous" vertical="center"/>
    </xf>
    <xf numFmtId="0" fontId="37" fillId="0" borderId="190" xfId="0" applyFont="1" applyBorder="1" applyAlignment="1">
      <alignment horizontal="centerContinuous" vertical="center"/>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readingOrder="2"/>
      <protection locked="0"/>
    </xf>
    <xf numFmtId="14" fontId="13" fillId="0" borderId="0" xfId="3" applyNumberFormat="1" applyFont="1" applyAlignment="1" applyProtection="1">
      <alignment horizontal="center" vertical="center"/>
      <protection locked="0"/>
    </xf>
    <xf numFmtId="49" fontId="13" fillId="0" borderId="0" xfId="3" applyNumberFormat="1" applyFont="1" applyAlignment="1" applyProtection="1">
      <alignment horizontal="center" vertical="center"/>
      <protection locked="0"/>
    </xf>
    <xf numFmtId="14" fontId="13" fillId="0" borderId="0" xfId="2" applyNumberFormat="1" applyFont="1" applyAlignment="1" applyProtection="1">
      <alignment horizontal="center" vertical="center"/>
      <protection locked="0"/>
    </xf>
    <xf numFmtId="0" fontId="13" fillId="0" borderId="0" xfId="0" applyFont="1" applyAlignment="1" applyProtection="1">
      <alignment horizontal="center" vertical="center"/>
      <protection locked="0"/>
    </xf>
    <xf numFmtId="49" fontId="13" fillId="0" borderId="0" xfId="0" applyNumberFormat="1" applyFont="1" applyAlignment="1" applyProtection="1">
      <alignment horizontal="center" vertical="center"/>
      <protection locked="0"/>
    </xf>
    <xf numFmtId="0" fontId="13" fillId="0" borderId="0" xfId="0" quotePrefix="1"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9" fillId="44" borderId="183" xfId="0" applyFont="1" applyFill="1" applyBorder="1" applyAlignment="1">
      <alignment vertical="center" wrapText="1"/>
    </xf>
    <xf numFmtId="0" fontId="9" fillId="46" borderId="183" xfId="0" applyFont="1" applyFill="1" applyBorder="1" applyAlignment="1">
      <alignment vertical="center" wrapText="1"/>
    </xf>
    <xf numFmtId="0" fontId="9" fillId="45" borderId="183" xfId="0" applyFont="1" applyFill="1" applyBorder="1" applyAlignment="1">
      <alignment vertical="center" wrapText="1"/>
    </xf>
    <xf numFmtId="0" fontId="9" fillId="47" borderId="183" xfId="0" applyFont="1" applyFill="1" applyBorder="1" applyAlignment="1">
      <alignment vertical="center" wrapText="1"/>
    </xf>
    <xf numFmtId="0" fontId="9" fillId="48" borderId="183" xfId="0" applyFont="1" applyFill="1" applyBorder="1" applyAlignment="1">
      <alignment vertical="center" wrapText="1"/>
    </xf>
    <xf numFmtId="0" fontId="9" fillId="0" borderId="0" xfId="0" applyFont="1" applyAlignment="1" applyProtection="1">
      <alignment horizontal="left" vertical="center" readingOrder="2"/>
      <protection locked="0"/>
    </xf>
    <xf numFmtId="0" fontId="9" fillId="20" borderId="0" xfId="0" applyFont="1" applyFill="1" applyAlignment="1" applyProtection="1">
      <alignment horizontal="center" vertical="center"/>
      <protection locked="0"/>
    </xf>
    <xf numFmtId="14" fontId="12" fillId="20" borderId="0" xfId="3" applyNumberFormat="1" applyFont="1" applyFill="1" applyAlignment="1" applyProtection="1">
      <alignment horizontal="center" vertical="center"/>
      <protection locked="0"/>
    </xf>
    <xf numFmtId="0" fontId="9" fillId="20" borderId="0" xfId="0" applyFont="1" applyFill="1" applyAlignment="1">
      <alignment vertical="center" wrapText="1"/>
    </xf>
    <xf numFmtId="0" fontId="9" fillId="20" borderId="0" xfId="0" applyFont="1" applyFill="1" applyAlignment="1" applyProtection="1">
      <alignment horizontal="center" vertical="center" readingOrder="2"/>
      <protection locked="0"/>
    </xf>
    <xf numFmtId="0" fontId="9" fillId="20" borderId="0" xfId="0" applyFont="1" applyFill="1" applyAlignment="1" applyProtection="1">
      <alignment horizontal="left" vertical="center" readingOrder="2"/>
      <protection locked="0"/>
    </xf>
    <xf numFmtId="0" fontId="12" fillId="49" borderId="0" xfId="0" applyFont="1" applyFill="1" applyAlignment="1" applyProtection="1">
      <alignment horizontal="center" vertical="center" readingOrder="2"/>
      <protection locked="0"/>
    </xf>
    <xf numFmtId="0" fontId="12" fillId="20" borderId="0" xfId="0" applyFont="1" applyFill="1" applyAlignment="1" applyProtection="1">
      <alignment horizontal="center" vertical="center" readingOrder="2"/>
      <protection locked="0"/>
    </xf>
    <xf numFmtId="0" fontId="46" fillId="0" borderId="0" xfId="0" applyFont="1" applyAlignment="1">
      <alignment vertical="center" wrapText="1"/>
    </xf>
    <xf numFmtId="0" fontId="9" fillId="0" borderId="51" xfId="2" applyFont="1" applyBorder="1" applyAlignment="1">
      <alignment horizontal="center" vertical="center"/>
    </xf>
    <xf numFmtId="0" fontId="9" fillId="0" borderId="51" xfId="2" applyFont="1" applyBorder="1" applyAlignment="1">
      <alignment horizontal="center" vertical="center" wrapText="1"/>
    </xf>
    <xf numFmtId="0" fontId="8" fillId="0" borderId="0" xfId="0" applyFont="1" applyAlignment="1" applyProtection="1">
      <alignment horizontal="center" vertical="center" readingOrder="2"/>
      <protection locked="0"/>
    </xf>
    <xf numFmtId="0" fontId="9" fillId="47" borderId="0" xfId="0" applyFont="1" applyFill="1" applyAlignment="1" applyProtection="1">
      <alignment horizontal="center" vertical="center" wrapText="1" readingOrder="2"/>
      <protection locked="0"/>
    </xf>
    <xf numFmtId="0" fontId="9" fillId="0" borderId="0" xfId="0" applyFont="1" applyAlignment="1" applyProtection="1">
      <alignment horizontal="center" vertical="center" wrapText="1" readingOrder="2"/>
      <protection locked="0"/>
    </xf>
    <xf numFmtId="0" fontId="47" fillId="0" borderId="0" xfId="0" applyFont="1" applyAlignment="1">
      <alignment vertical="center" wrapText="1"/>
    </xf>
    <xf numFmtId="0" fontId="6" fillId="0" borderId="0" xfId="0" applyFont="1" applyAlignment="1" applyProtection="1">
      <alignment horizontal="center" vertical="center" readingOrder="2"/>
      <protection locked="0"/>
    </xf>
    <xf numFmtId="0" fontId="6" fillId="20" borderId="0" xfId="0" applyFont="1" applyFill="1" applyAlignment="1">
      <alignment vertical="center" wrapText="1"/>
    </xf>
    <xf numFmtId="0" fontId="48" fillId="0" borderId="0" xfId="0" applyFont="1" applyAlignment="1">
      <alignment vertical="center" wrapText="1"/>
    </xf>
    <xf numFmtId="0" fontId="49" fillId="0" borderId="0" xfId="0" applyFont="1" applyAlignment="1" applyProtection="1">
      <alignment horizontal="center" vertical="center" readingOrder="2"/>
      <protection locked="0"/>
    </xf>
    <xf numFmtId="0" fontId="50" fillId="0" borderId="0" xfId="0" applyFont="1" applyAlignment="1">
      <alignment vertical="center" wrapText="1"/>
    </xf>
    <xf numFmtId="0" fontId="48" fillId="0" borderId="0" xfId="0" applyFont="1" applyAlignment="1" applyProtection="1">
      <alignment horizontal="right" vertical="center" readingOrder="2"/>
      <protection locked="0"/>
    </xf>
    <xf numFmtId="0" fontId="6" fillId="0" borderId="51" xfId="2" applyFont="1" applyBorder="1" applyAlignment="1">
      <alignment horizontal="center" vertical="center"/>
    </xf>
    <xf numFmtId="0" fontId="6" fillId="20" borderId="0" xfId="0" applyFont="1" applyFill="1" applyAlignment="1" applyProtection="1">
      <alignment horizontal="center" vertical="center" readingOrder="2"/>
      <protection locked="0"/>
    </xf>
    <xf numFmtId="0" fontId="6" fillId="20" borderId="0" xfId="0" applyFont="1" applyFill="1" applyAlignment="1" applyProtection="1">
      <alignment horizontal="left" vertical="center" readingOrder="2"/>
      <protection locked="0"/>
    </xf>
    <xf numFmtId="0" fontId="9" fillId="48" borderId="0" xfId="0" applyFont="1" applyFill="1" applyAlignment="1" applyProtection="1">
      <alignment horizontal="center" vertical="center" wrapText="1" readingOrder="2"/>
      <protection locked="0"/>
    </xf>
    <xf numFmtId="0" fontId="6" fillId="0" borderId="0" xfId="2" applyFont="1" applyAlignment="1">
      <alignment horizontal="center" vertical="center"/>
    </xf>
    <xf numFmtId="0" fontId="8" fillId="0" borderId="0" xfId="0" applyFont="1" applyAlignment="1">
      <alignment vertical="center" wrapText="1"/>
    </xf>
    <xf numFmtId="0" fontId="7" fillId="0" borderId="0" xfId="0" applyFont="1" applyAlignment="1">
      <alignment vertical="center" wrapText="1"/>
    </xf>
    <xf numFmtId="0" fontId="9" fillId="0" borderId="36" xfId="2" applyFont="1" applyBorder="1" applyAlignment="1">
      <alignment horizontal="center" vertical="center" wrapText="1" readingOrder="2"/>
    </xf>
    <xf numFmtId="14" fontId="13" fillId="44" borderId="0" xfId="2" applyNumberFormat="1" applyFont="1" applyFill="1" applyAlignment="1" applyProtection="1">
      <alignment horizontal="center" vertical="center"/>
      <protection locked="0"/>
    </xf>
    <xf numFmtId="0" fontId="9" fillId="14" borderId="36" xfId="2" applyFont="1" applyFill="1" applyBorder="1" applyAlignment="1">
      <alignment horizontal="center" vertical="center" wrapText="1"/>
    </xf>
    <xf numFmtId="0" fontId="9" fillId="47" borderId="36" xfId="2" applyFont="1" applyFill="1" applyBorder="1" applyAlignment="1">
      <alignment horizontal="center" vertical="center" wrapText="1"/>
    </xf>
    <xf numFmtId="0" fontId="51" fillId="0" borderId="235" xfId="0" applyFont="1" applyBorder="1" applyAlignment="1">
      <alignment horizontal="right" vertical="center" wrapText="1" readingOrder="2"/>
    </xf>
    <xf numFmtId="0" fontId="9" fillId="0" borderId="36" xfId="2" applyFont="1" applyBorder="1" applyAlignment="1">
      <alignment horizontal="center" vertical="center" wrapText="1"/>
    </xf>
    <xf numFmtId="0" fontId="53" fillId="0" borderId="0" xfId="0" applyFont="1"/>
    <xf numFmtId="0" fontId="54" fillId="19" borderId="0" xfId="0" applyFont="1" applyFill="1"/>
    <xf numFmtId="0" fontId="55" fillId="0" borderId="0" xfId="0" applyFont="1"/>
    <xf numFmtId="0" fontId="55" fillId="0" borderId="0" xfId="0" applyFont="1" applyAlignment="1">
      <alignment horizontal="center"/>
    </xf>
    <xf numFmtId="0" fontId="57" fillId="0" borderId="0" xfId="0" applyFont="1"/>
    <xf numFmtId="0" fontId="58" fillId="0" borderId="0" xfId="0" applyFont="1"/>
    <xf numFmtId="0" fontId="55" fillId="0" borderId="0" xfId="0" applyFont="1" applyAlignment="1">
      <alignment vertical="center"/>
    </xf>
    <xf numFmtId="0" fontId="55" fillId="0" borderId="0" xfId="0" applyFont="1" applyAlignment="1">
      <alignment horizontal="center" vertical="center"/>
    </xf>
    <xf numFmtId="0" fontId="55" fillId="18" borderId="150" xfId="0" applyFont="1" applyFill="1" applyBorder="1"/>
    <xf numFmtId="0" fontId="53" fillId="0" borderId="9" xfId="0" applyFont="1" applyBorder="1"/>
    <xf numFmtId="0" fontId="53" fillId="0" borderId="9" xfId="0" applyFont="1" applyBorder="1" applyAlignment="1">
      <alignment horizontal="center"/>
    </xf>
    <xf numFmtId="0" fontId="53" fillId="0" borderId="9" xfId="0" applyFont="1" applyBorder="1" applyAlignment="1">
      <alignment horizontal="centerContinuous"/>
    </xf>
    <xf numFmtId="0" fontId="59" fillId="0" borderId="74" xfId="0" applyFont="1" applyBorder="1" applyAlignment="1">
      <alignment horizontal="center" vertical="center"/>
    </xf>
    <xf numFmtId="0" fontId="53" fillId="0" borderId="9" xfId="0" applyFont="1" applyBorder="1" applyAlignment="1">
      <alignment vertical="center"/>
    </xf>
    <xf numFmtId="0" fontId="53" fillId="0" borderId="9" xfId="0" applyFont="1" applyBorder="1" applyAlignment="1">
      <alignment horizontal="center" vertical="center"/>
    </xf>
    <xf numFmtId="0" fontId="53" fillId="0" borderId="150" xfId="0" applyFont="1" applyBorder="1"/>
    <xf numFmtId="0" fontId="60" fillId="0" borderId="0" xfId="0" applyFont="1"/>
    <xf numFmtId="0" fontId="55" fillId="0" borderId="9" xfId="0" applyFont="1" applyBorder="1" applyAlignment="1">
      <alignment vertical="center"/>
    </xf>
    <xf numFmtId="0" fontId="55" fillId="0" borderId="9" xfId="0" applyFont="1" applyBorder="1" applyAlignment="1">
      <alignment horizontal="center" vertical="center"/>
    </xf>
    <xf numFmtId="0" fontId="57" fillId="0" borderId="0" xfId="0" applyFont="1" applyAlignment="1">
      <alignment vertical="center"/>
    </xf>
    <xf numFmtId="0" fontId="58" fillId="0" borderId="9" xfId="0" applyFont="1" applyBorder="1" applyAlignment="1">
      <alignment vertical="center"/>
    </xf>
    <xf numFmtId="0" fontId="55" fillId="0" borderId="74" xfId="0" applyFont="1" applyBorder="1" applyAlignment="1">
      <alignment vertical="center"/>
    </xf>
    <xf numFmtId="0" fontId="61" fillId="48" borderId="183" xfId="0" applyFont="1" applyFill="1" applyBorder="1" applyAlignment="1">
      <alignment vertical="center" wrapText="1"/>
    </xf>
    <xf numFmtId="0" fontId="61" fillId="51" borderId="183" xfId="0" applyFont="1" applyFill="1" applyBorder="1" applyAlignment="1">
      <alignment vertical="center" wrapText="1"/>
    </xf>
    <xf numFmtId="0" fontId="62" fillId="51" borderId="183" xfId="0" applyFont="1" applyFill="1" applyBorder="1" applyAlignment="1">
      <alignment vertical="center" wrapText="1"/>
    </xf>
    <xf numFmtId="0" fontId="63" fillId="50" borderId="183" xfId="0" applyFont="1" applyFill="1" applyBorder="1" applyAlignment="1">
      <alignment vertical="center" wrapText="1"/>
    </xf>
    <xf numFmtId="0" fontId="57" fillId="0" borderId="9" xfId="0" applyFont="1" applyBorder="1" applyAlignment="1">
      <alignment vertical="center"/>
    </xf>
    <xf numFmtId="0" fontId="55" fillId="0" borderId="150" xfId="0" applyFont="1" applyBorder="1"/>
    <xf numFmtId="0" fontId="65" fillId="0" borderId="13" xfId="0" applyFont="1" applyBorder="1" applyAlignment="1">
      <alignment horizontal="center" vertical="center"/>
    </xf>
    <xf numFmtId="0" fontId="66" fillId="0" borderId="67" xfId="0" applyFont="1" applyBorder="1" applyAlignment="1">
      <alignment horizontal="left" vertical="center"/>
    </xf>
    <xf numFmtId="0" fontId="68" fillId="0" borderId="70" xfId="1" applyFont="1" applyFill="1" applyBorder="1">
      <alignment horizontal="centerContinuous" vertical="center"/>
    </xf>
    <xf numFmtId="0" fontId="68" fillId="0" borderId="38" xfId="0" applyFont="1" applyBorder="1" applyAlignment="1">
      <alignment horizontal="centerContinuous" vertical="center"/>
    </xf>
    <xf numFmtId="0" fontId="68" fillId="0" borderId="102" xfId="1" applyFont="1" applyFill="1" applyBorder="1">
      <alignment horizontal="centerContinuous" vertical="center"/>
    </xf>
    <xf numFmtId="0" fontId="68" fillId="0" borderId="68" xfId="1" applyFont="1" applyFill="1" applyBorder="1">
      <alignment horizontal="centerContinuous" vertical="center"/>
    </xf>
    <xf numFmtId="0" fontId="69" fillId="0" borderId="0" xfId="0" applyFont="1" applyAlignment="1">
      <alignment vertical="center"/>
    </xf>
    <xf numFmtId="0" fontId="68" fillId="0" borderId="37" xfId="0" applyFont="1" applyBorder="1" applyAlignment="1">
      <alignment horizontal="centerContinuous" vertical="center"/>
    </xf>
    <xf numFmtId="0" fontId="68" fillId="0" borderId="39" xfId="0" applyFont="1" applyBorder="1" applyAlignment="1">
      <alignment horizontal="centerContinuous" vertical="center"/>
    </xf>
    <xf numFmtId="0" fontId="68" fillId="0" borderId="166" xfId="0" applyFont="1" applyBorder="1" applyAlignment="1">
      <alignment horizontal="centerContinuous" vertical="center"/>
    </xf>
    <xf numFmtId="0" fontId="66" fillId="0" borderId="166" xfId="0" applyFont="1" applyBorder="1" applyAlignment="1">
      <alignment horizontal="right" vertical="center"/>
    </xf>
    <xf numFmtId="0" fontId="65" fillId="0" borderId="0" xfId="0" applyFont="1" applyAlignment="1">
      <alignment horizontal="center" vertical="center"/>
    </xf>
    <xf numFmtId="0" fontId="69" fillId="0" borderId="0" xfId="0" applyFont="1"/>
    <xf numFmtId="0" fontId="69" fillId="18" borderId="150" xfId="0" applyFont="1" applyFill="1" applyBorder="1"/>
    <xf numFmtId="0" fontId="70" fillId="0" borderId="0" xfId="0" applyFont="1" applyAlignment="1">
      <alignment horizontal="center" vertical="center"/>
    </xf>
    <xf numFmtId="0" fontId="66" fillId="0" borderId="68" xfId="0" applyFont="1" applyBorder="1" applyAlignment="1">
      <alignment horizontal="left" vertical="center"/>
    </xf>
    <xf numFmtId="0" fontId="67" fillId="17" borderId="57" xfId="0" applyFont="1" applyFill="1" applyBorder="1" applyAlignment="1">
      <alignment horizontal="center" vertical="center" textRotation="180"/>
    </xf>
    <xf numFmtId="0" fontId="71" fillId="0" borderId="70" xfId="0" applyFont="1" applyBorder="1" applyAlignment="1">
      <alignment horizontal="center" vertical="center"/>
    </xf>
    <xf numFmtId="0" fontId="71" fillId="0" borderId="38" xfId="0" applyFont="1" applyBorder="1" applyAlignment="1">
      <alignment horizontal="center" vertical="center"/>
    </xf>
    <xf numFmtId="0" fontId="71" fillId="0" borderId="102" xfId="0" applyFont="1" applyBorder="1" applyAlignment="1">
      <alignment horizontal="center" vertical="center"/>
    </xf>
    <xf numFmtId="0" fontId="71" fillId="0" borderId="68" xfId="0" applyFont="1" applyBorder="1" applyAlignment="1">
      <alignment horizontal="center" vertical="center"/>
    </xf>
    <xf numFmtId="0" fontId="72" fillId="0" borderId="0" xfId="0" applyFont="1" applyAlignment="1">
      <alignment vertical="center"/>
    </xf>
    <xf numFmtId="0" fontId="71" fillId="0" borderId="37" xfId="0" applyFont="1" applyBorder="1" applyAlignment="1">
      <alignment horizontal="center" vertical="center"/>
    </xf>
    <xf numFmtId="0" fontId="71" fillId="0" borderId="39" xfId="0" applyFont="1" applyBorder="1" applyAlignment="1">
      <alignment horizontal="center" vertical="center"/>
    </xf>
    <xf numFmtId="0" fontId="71" fillId="0" borderId="94" xfId="0" applyFont="1" applyBorder="1" applyAlignment="1">
      <alignment horizontal="center" vertical="center"/>
    </xf>
    <xf numFmtId="0" fontId="66" fillId="0" borderId="94" xfId="0" applyFont="1" applyBorder="1" applyAlignment="1">
      <alignment horizontal="right" vertical="center"/>
    </xf>
    <xf numFmtId="0" fontId="72" fillId="0" borderId="0" xfId="0" applyFont="1"/>
    <xf numFmtId="0" fontId="72" fillId="0" borderId="150" xfId="0" applyFont="1" applyBorder="1"/>
    <xf numFmtId="0" fontId="73" fillId="0" borderId="0" xfId="0" applyFont="1" applyAlignment="1">
      <alignment horizontal="center"/>
    </xf>
    <xf numFmtId="0" fontId="66" fillId="0" borderId="68" xfId="0" applyFont="1" applyBorder="1" applyAlignment="1">
      <alignment horizontal="left" vertical="center" readingOrder="2"/>
    </xf>
    <xf numFmtId="0" fontId="74" fillId="0" borderId="70" xfId="1" applyFont="1" applyFill="1" applyBorder="1">
      <alignment horizontal="centerContinuous" vertical="center"/>
    </xf>
    <xf numFmtId="0" fontId="75" fillId="0" borderId="38" xfId="0" applyFont="1" applyBorder="1" applyAlignment="1">
      <alignment horizontal="centerContinuous" vertical="center"/>
    </xf>
    <xf numFmtId="0" fontId="74" fillId="0" borderId="102" xfId="1" applyFont="1" applyFill="1" applyBorder="1">
      <alignment horizontal="centerContinuous" vertical="center"/>
    </xf>
    <xf numFmtId="0" fontId="74" fillId="0" borderId="68" xfId="1" applyFont="1" applyFill="1" applyBorder="1">
      <alignment horizontal="centerContinuous" vertical="center"/>
    </xf>
    <xf numFmtId="0" fontId="74" fillId="0" borderId="37" xfId="0" applyFont="1" applyBorder="1" applyAlignment="1">
      <alignment horizontal="centerContinuous" vertical="center"/>
    </xf>
    <xf numFmtId="0" fontId="75" fillId="0" borderId="39" xfId="0" applyFont="1" applyBorder="1" applyAlignment="1">
      <alignment horizontal="centerContinuous" vertical="center"/>
    </xf>
    <xf numFmtId="0" fontId="75" fillId="0" borderId="94" xfId="0" applyFont="1" applyBorder="1" applyAlignment="1">
      <alignment horizontal="centerContinuous" vertical="center"/>
    </xf>
    <xf numFmtId="0" fontId="66" fillId="0" borderId="94" xfId="0" applyFont="1" applyBorder="1" applyAlignment="1">
      <alignment horizontal="right" vertical="center" readingOrder="2"/>
    </xf>
    <xf numFmtId="0" fontId="57" fillId="18" borderId="150" xfId="0" applyFont="1" applyFill="1" applyBorder="1"/>
    <xf numFmtId="164" fontId="76" fillId="0" borderId="9" xfId="0" applyNumberFormat="1" applyFont="1" applyBorder="1" applyAlignment="1">
      <alignment horizontal="center" vertical="center"/>
    </xf>
    <xf numFmtId="0" fontId="66" fillId="0" borderId="174" xfId="0" applyFont="1" applyBorder="1" applyAlignment="1">
      <alignment horizontal="left" vertical="center"/>
    </xf>
    <xf numFmtId="0" fontId="77" fillId="0" borderId="71" xfId="1" applyFont="1" applyFill="1" applyBorder="1">
      <alignment horizontal="centerContinuous" vertical="center"/>
    </xf>
    <xf numFmtId="0" fontId="77" fillId="0" borderId="25" xfId="0" applyFont="1" applyBorder="1" applyAlignment="1">
      <alignment horizontal="centerContinuous" vertical="center"/>
    </xf>
    <xf numFmtId="0" fontId="77" fillId="0" borderId="93" xfId="1" applyFont="1" applyFill="1" applyBorder="1">
      <alignment horizontal="centerContinuous" vertical="center"/>
    </xf>
    <xf numFmtId="0" fontId="77" fillId="0" borderId="174" xfId="1" applyFont="1" applyFill="1" applyBorder="1">
      <alignment horizontal="centerContinuous" vertical="center"/>
    </xf>
    <xf numFmtId="0" fontId="66" fillId="0" borderId="74" xfId="0" applyFont="1" applyBorder="1" applyAlignment="1">
      <alignment vertical="center"/>
    </xf>
    <xf numFmtId="0" fontId="66" fillId="0" borderId="0" xfId="0" applyFont="1" applyAlignment="1">
      <alignment vertical="center"/>
    </xf>
    <xf numFmtId="0" fontId="77" fillId="0" borderId="196" xfId="0" applyFont="1" applyBorder="1" applyAlignment="1">
      <alignment horizontal="centerContinuous" vertical="center"/>
    </xf>
    <xf numFmtId="0" fontId="77" fillId="0" borderId="197" xfId="0" applyFont="1" applyBorder="1" applyAlignment="1">
      <alignment horizontal="centerContinuous" vertical="center"/>
    </xf>
    <xf numFmtId="0" fontId="77" fillId="0" borderId="92" xfId="0" applyFont="1" applyBorder="1" applyAlignment="1">
      <alignment horizontal="centerContinuous" vertical="center"/>
    </xf>
    <xf numFmtId="0" fontId="66" fillId="0" borderId="92" xfId="0" applyFont="1" applyBorder="1" applyAlignment="1">
      <alignment horizontal="right" vertical="center"/>
    </xf>
    <xf numFmtId="0" fontId="66" fillId="0" borderId="0" xfId="0" applyFont="1"/>
    <xf numFmtId="0" fontId="66" fillId="0" borderId="150" xfId="0" applyFont="1" applyBorder="1"/>
    <xf numFmtId="0" fontId="65" fillId="5" borderId="0" xfId="0" applyFont="1" applyFill="1" applyAlignment="1">
      <alignment horizontal="center" vertical="center"/>
    </xf>
    <xf numFmtId="0" fontId="66" fillId="5" borderId="68" xfId="0" applyFont="1" applyFill="1" applyBorder="1" applyAlignment="1">
      <alignment horizontal="left" vertical="center"/>
    </xf>
    <xf numFmtId="0" fontId="67" fillId="17" borderId="110" xfId="0" applyFont="1" applyFill="1" applyBorder="1" applyAlignment="1">
      <alignment horizontal="center" vertical="center" textRotation="180"/>
    </xf>
    <xf numFmtId="0" fontId="68" fillId="0" borderId="65" xfId="1" applyFont="1" applyFill="1" applyBorder="1">
      <alignment horizontal="centerContinuous" vertical="center"/>
    </xf>
    <xf numFmtId="0" fontId="68" fillId="0" borderId="85" xfId="0" applyFont="1" applyBorder="1" applyAlignment="1">
      <alignment horizontal="center" vertical="center"/>
    </xf>
    <xf numFmtId="0" fontId="68" fillId="45" borderId="81" xfId="0" applyFont="1" applyFill="1" applyBorder="1" applyAlignment="1">
      <alignment horizontal="center" vertical="center"/>
    </xf>
    <xf numFmtId="0" fontId="68" fillId="0" borderId="191" xfId="0" applyFont="1" applyBorder="1" applyAlignment="1">
      <alignment horizontal="center" vertical="center"/>
    </xf>
    <xf numFmtId="0" fontId="69" fillId="0" borderId="124" xfId="0" applyFont="1" applyBorder="1" applyAlignment="1">
      <alignment vertical="center"/>
    </xf>
    <xf numFmtId="0" fontId="68" fillId="0" borderId="27" xfId="0" applyFont="1" applyBorder="1" applyAlignment="1">
      <alignment horizontal="centerContinuous" vertical="center"/>
    </xf>
    <xf numFmtId="0" fontId="68" fillId="0" borderId="102" xfId="0" applyFont="1" applyBorder="1" applyAlignment="1">
      <alignment horizontal="centerContinuous" vertical="center"/>
    </xf>
    <xf numFmtId="0" fontId="67" fillId="17" borderId="110" xfId="0" applyFont="1" applyFill="1" applyBorder="1" applyAlignment="1">
      <alignment horizontal="center" vertical="center"/>
    </xf>
    <xf numFmtId="0" fontId="66" fillId="5" borderId="94" xfId="0" applyFont="1" applyFill="1" applyBorder="1" applyAlignment="1">
      <alignment horizontal="right" vertical="center"/>
    </xf>
    <xf numFmtId="0" fontId="70" fillId="5" borderId="0" xfId="0" applyFont="1" applyFill="1" applyAlignment="1">
      <alignment horizontal="center" vertical="center"/>
    </xf>
    <xf numFmtId="0" fontId="79" fillId="17" borderId="57" xfId="0" applyFont="1" applyFill="1" applyBorder="1" applyAlignment="1">
      <alignment horizontal="center" vertical="center" textRotation="180"/>
    </xf>
    <xf numFmtId="0" fontId="71" fillId="0" borderId="65" xfId="0" applyFont="1" applyBorder="1" applyAlignment="1">
      <alignment horizontal="center" vertical="center"/>
    </xf>
    <xf numFmtId="0" fontId="80" fillId="0" borderId="70" xfId="0" applyFont="1" applyBorder="1" applyAlignment="1">
      <alignment horizontal="center" vertical="center"/>
    </xf>
    <xf numFmtId="0" fontId="80" fillId="0" borderId="136" xfId="0" applyFont="1" applyBorder="1" applyAlignment="1">
      <alignment horizontal="center" vertical="center"/>
    </xf>
    <xf numFmtId="0" fontId="71" fillId="45" borderId="82" xfId="0" applyFont="1" applyFill="1" applyBorder="1" applyAlignment="1">
      <alignment horizontal="center" vertical="center"/>
    </xf>
    <xf numFmtId="0" fontId="71" fillId="0" borderId="192" xfId="0" applyFont="1" applyBorder="1" applyAlignment="1">
      <alignment horizontal="center" vertical="center"/>
    </xf>
    <xf numFmtId="0" fontId="72" fillId="0" borderId="61" xfId="0" applyFont="1" applyBorder="1" applyAlignment="1">
      <alignment vertical="center"/>
    </xf>
    <xf numFmtId="0" fontId="80" fillId="0" borderId="27" xfId="0" applyFont="1" applyBorder="1" applyAlignment="1">
      <alignment horizontal="center" vertical="center"/>
    </xf>
    <xf numFmtId="0" fontId="71" fillId="0" borderId="27" xfId="0" applyFont="1" applyBorder="1" applyAlignment="1">
      <alignment horizontal="center" vertical="center"/>
    </xf>
    <xf numFmtId="0" fontId="71" fillId="0" borderId="145" xfId="0" applyFont="1" applyBorder="1" applyAlignment="1">
      <alignment horizontal="center" vertical="center"/>
    </xf>
    <xf numFmtId="0" fontId="71" fillId="0" borderId="40" xfId="0" applyFont="1" applyBorder="1" applyAlignment="1">
      <alignment horizontal="center" vertical="center"/>
    </xf>
    <xf numFmtId="0" fontId="72" fillId="17" borderId="57" xfId="0" applyFont="1" applyFill="1" applyBorder="1" applyAlignment="1">
      <alignment horizontal="center" vertical="center"/>
    </xf>
    <xf numFmtId="0" fontId="79" fillId="17" borderId="57" xfId="0" applyFont="1" applyFill="1" applyBorder="1" applyAlignment="1">
      <alignment horizontal="center" vertical="center"/>
    </xf>
    <xf numFmtId="0" fontId="73" fillId="5" borderId="0" xfId="0" applyFont="1" applyFill="1" applyAlignment="1">
      <alignment horizontal="center"/>
    </xf>
    <xf numFmtId="0" fontId="66" fillId="5" borderId="68" xfId="0" applyFont="1" applyFill="1" applyBorder="1" applyAlignment="1">
      <alignment horizontal="left" vertical="center" readingOrder="2"/>
    </xf>
    <xf numFmtId="0" fontId="74" fillId="0" borderId="65" xfId="1" applyFont="1" applyFill="1" applyBorder="1">
      <alignment horizontal="centerContinuous" vertical="center"/>
    </xf>
    <xf numFmtId="0" fontId="68" fillId="0" borderId="65" xfId="0" applyFont="1" applyBorder="1" applyAlignment="1">
      <alignment horizontal="center" vertical="center"/>
    </xf>
    <xf numFmtId="0" fontId="57" fillId="0" borderId="61" xfId="0" applyFont="1" applyBorder="1" applyAlignment="1">
      <alignment vertical="center"/>
    </xf>
    <xf numFmtId="0" fontId="74" fillId="0" borderId="27" xfId="0" applyFont="1" applyBorder="1" applyAlignment="1">
      <alignment horizontal="centerContinuous" vertical="center"/>
    </xf>
    <xf numFmtId="0" fontId="75" fillId="0" borderId="102" xfId="0" applyFont="1" applyBorder="1" applyAlignment="1">
      <alignment horizontal="centerContinuous" vertical="center"/>
    </xf>
    <xf numFmtId="0" fontId="66" fillId="5" borderId="94" xfId="0" applyFont="1" applyFill="1" applyBorder="1" applyAlignment="1">
      <alignment horizontal="right" vertical="center" readingOrder="2"/>
    </xf>
    <xf numFmtId="164" fontId="76" fillId="5" borderId="1" xfId="0" applyNumberFormat="1" applyFont="1" applyFill="1" applyBorder="1" applyAlignment="1">
      <alignment horizontal="center" vertical="center"/>
    </xf>
    <xf numFmtId="0" fontId="66" fillId="5" borderId="144" xfId="0" applyFont="1" applyFill="1" applyBorder="1" applyAlignment="1">
      <alignment horizontal="left" vertical="center"/>
    </xf>
    <xf numFmtId="0" fontId="79" fillId="17" borderId="106" xfId="0" applyFont="1" applyFill="1" applyBorder="1" applyAlignment="1">
      <alignment horizontal="center" vertical="center" textRotation="180"/>
    </xf>
    <xf numFmtId="0" fontId="77" fillId="0" borderId="86" xfId="1" applyFont="1" applyFill="1" applyBorder="1">
      <alignment horizontal="centerContinuous" vertical="center"/>
    </xf>
    <xf numFmtId="0" fontId="77" fillId="0" borderId="147" xfId="1" applyFont="1" applyFill="1" applyBorder="1">
      <alignment horizontal="centerContinuous" vertical="center"/>
    </xf>
    <xf numFmtId="0" fontId="66" fillId="0" borderId="125" xfId="0" applyFont="1" applyBorder="1" applyAlignment="1">
      <alignment vertical="center"/>
    </xf>
    <xf numFmtId="0" fontId="77" fillId="0" borderId="3" xfId="0" applyFont="1" applyBorder="1" applyAlignment="1">
      <alignment horizontal="centerContinuous" vertical="center"/>
    </xf>
    <xf numFmtId="0" fontId="77" fillId="0" borderId="18" xfId="0" applyFont="1" applyBorder="1" applyAlignment="1">
      <alignment horizontal="centerContinuous" vertical="center"/>
    </xf>
    <xf numFmtId="0" fontId="77" fillId="0" borderId="147" xfId="0" applyFont="1" applyBorder="1" applyAlignment="1">
      <alignment horizontal="centerContinuous" vertical="center"/>
    </xf>
    <xf numFmtId="0" fontId="79" fillId="17" borderId="106" xfId="0" applyFont="1" applyFill="1" applyBorder="1" applyAlignment="1">
      <alignment horizontal="center" vertical="center"/>
    </xf>
    <xf numFmtId="0" fontId="66" fillId="5" borderId="143" xfId="0" applyFont="1" applyFill="1" applyBorder="1" applyAlignment="1">
      <alignment horizontal="right" vertical="center"/>
    </xf>
    <xf numFmtId="0" fontId="65" fillId="17" borderId="107" xfId="0" applyFont="1" applyFill="1" applyBorder="1" applyAlignment="1">
      <alignment horizontal="center" vertical="center"/>
    </xf>
    <xf numFmtId="0" fontId="65" fillId="17" borderId="110" xfId="0" applyFont="1" applyFill="1" applyBorder="1" applyAlignment="1">
      <alignment horizontal="center" vertical="center"/>
    </xf>
    <xf numFmtId="0" fontId="69" fillId="0" borderId="61" xfId="0" applyFont="1" applyBorder="1" applyAlignment="1">
      <alignment vertical="center"/>
    </xf>
    <xf numFmtId="0" fontId="65" fillId="17" borderId="113" xfId="0" applyFont="1" applyFill="1" applyBorder="1" applyAlignment="1">
      <alignment horizontal="center" vertical="center"/>
    </xf>
    <xf numFmtId="0" fontId="72" fillId="17" borderId="60" xfId="0" applyFont="1" applyFill="1" applyBorder="1" applyAlignment="1">
      <alignment horizontal="center" vertical="center"/>
    </xf>
    <xf numFmtId="0" fontId="72" fillId="17" borderId="111" xfId="0" applyFont="1" applyFill="1" applyBorder="1" applyAlignment="1">
      <alignment horizontal="center" vertical="center"/>
    </xf>
    <xf numFmtId="0" fontId="57" fillId="17" borderId="60" xfId="0" applyFont="1" applyFill="1" applyBorder="1" applyAlignment="1">
      <alignment horizontal="center" vertical="center"/>
    </xf>
    <xf numFmtId="0" fontId="57" fillId="17" borderId="57" xfId="0" applyFont="1" applyFill="1" applyBorder="1" applyAlignment="1">
      <alignment horizontal="center" vertical="center"/>
    </xf>
    <xf numFmtId="0" fontId="57" fillId="17" borderId="111" xfId="0" applyFont="1" applyFill="1" applyBorder="1" applyAlignment="1">
      <alignment horizontal="center" vertical="center"/>
    </xf>
    <xf numFmtId="164" fontId="76" fillId="5" borderId="9" xfId="0" applyNumberFormat="1" applyFont="1" applyFill="1" applyBorder="1" applyAlignment="1">
      <alignment horizontal="center" vertical="center"/>
    </xf>
    <xf numFmtId="0" fontId="66" fillId="5" borderId="174" xfId="0" applyFont="1" applyFill="1" applyBorder="1" applyAlignment="1">
      <alignment horizontal="left" vertical="center"/>
    </xf>
    <xf numFmtId="0" fontId="66" fillId="17" borderId="108" xfId="0" applyFont="1" applyFill="1" applyBorder="1" applyAlignment="1">
      <alignment horizontal="center" vertical="center"/>
    </xf>
    <xf numFmtId="0" fontId="66" fillId="17" borderId="106" xfId="0" applyFont="1" applyFill="1" applyBorder="1" applyAlignment="1">
      <alignment horizontal="center" vertical="center"/>
    </xf>
    <xf numFmtId="0" fontId="77" fillId="0" borderId="66" xfId="1" applyFont="1" applyFill="1" applyBorder="1">
      <alignment horizontal="centerContinuous" vertical="center"/>
    </xf>
    <xf numFmtId="0" fontId="77" fillId="0" borderId="24" xfId="0" applyFont="1" applyBorder="1" applyAlignment="1">
      <alignment horizontal="centerContinuous" vertical="center"/>
    </xf>
    <xf numFmtId="0" fontId="77" fillId="0" borderId="93" xfId="0" applyFont="1" applyBorder="1" applyAlignment="1">
      <alignment horizontal="centerContinuous" vertical="center"/>
    </xf>
    <xf numFmtId="0" fontId="66" fillId="17" borderId="112" xfId="0" applyFont="1" applyFill="1" applyBorder="1" applyAlignment="1">
      <alignment horizontal="center" vertical="center"/>
    </xf>
    <xf numFmtId="0" fontId="66" fillId="5" borderId="92" xfId="0" applyFont="1" applyFill="1" applyBorder="1" applyAlignment="1">
      <alignment horizontal="right" vertical="center"/>
    </xf>
    <xf numFmtId="0" fontId="68" fillId="0" borderId="65" xfId="0" applyFont="1" applyBorder="1" applyAlignment="1">
      <alignment horizontal="centerContinuous" vertical="center"/>
    </xf>
    <xf numFmtId="0" fontId="68" fillId="45" borderId="65" xfId="1" applyFont="1" applyFill="1" applyBorder="1">
      <alignment horizontal="centerContinuous" vertical="center"/>
    </xf>
    <xf numFmtId="0" fontId="68" fillId="45" borderId="68" xfId="1" applyFont="1" applyFill="1" applyBorder="1">
      <alignment horizontal="centerContinuous" vertical="center"/>
    </xf>
    <xf numFmtId="0" fontId="69" fillId="0" borderId="103" xfId="0" applyFont="1" applyBorder="1"/>
    <xf numFmtId="0" fontId="68" fillId="0" borderId="145" xfId="0" applyFont="1" applyBorder="1" applyAlignment="1">
      <alignment horizontal="centerContinuous" vertical="center"/>
    </xf>
    <xf numFmtId="0" fontId="68" fillId="0" borderId="40" xfId="0" applyFont="1" applyBorder="1" applyAlignment="1">
      <alignment horizontal="centerContinuous" vertical="center"/>
    </xf>
    <xf numFmtId="0" fontId="71" fillId="45" borderId="65" xfId="0" applyFont="1" applyFill="1" applyBorder="1" applyAlignment="1">
      <alignment horizontal="center" vertical="center"/>
    </xf>
    <xf numFmtId="0" fontId="71" fillId="45" borderId="68" xfId="0" applyFont="1" applyFill="1" applyBorder="1" applyAlignment="1">
      <alignment horizontal="center" vertical="center"/>
    </xf>
    <xf numFmtId="0" fontId="72" fillId="0" borderId="8" xfId="0" applyFont="1" applyBorder="1"/>
    <xf numFmtId="0" fontId="74" fillId="0" borderId="65" xfId="0" applyFont="1" applyBorder="1" applyAlignment="1">
      <alignment horizontal="centerContinuous" vertical="center"/>
    </xf>
    <xf numFmtId="0" fontId="74" fillId="0" borderId="102" xfId="0" applyFont="1" applyBorder="1" applyAlignment="1">
      <alignment horizontal="centerContinuous" vertical="center"/>
    </xf>
    <xf numFmtId="0" fontId="74" fillId="45" borderId="65" xfId="1" applyFont="1" applyFill="1" applyBorder="1">
      <alignment horizontal="centerContinuous" vertical="center"/>
    </xf>
    <xf numFmtId="0" fontId="74" fillId="45" borderId="68" xfId="1" applyFont="1" applyFill="1" applyBorder="1">
      <alignment horizontal="centerContinuous" vertical="center"/>
    </xf>
    <xf numFmtId="0" fontId="73" fillId="0" borderId="0" xfId="0" applyFont="1"/>
    <xf numFmtId="0" fontId="73" fillId="0" borderId="8" xfId="0" applyFont="1" applyBorder="1"/>
    <xf numFmtId="0" fontId="74" fillId="0" borderId="145" xfId="0" applyFont="1" applyBorder="1" applyAlignment="1">
      <alignment horizontal="centerContinuous" vertical="center"/>
    </xf>
    <xf numFmtId="0" fontId="74" fillId="0" borderId="38" xfId="0" applyFont="1" applyBorder="1" applyAlignment="1">
      <alignment horizontal="centerContinuous" vertical="center"/>
    </xf>
    <xf numFmtId="0" fontId="74" fillId="0" borderId="39" xfId="0" applyFont="1" applyBorder="1" applyAlignment="1">
      <alignment horizontal="centerContinuous" vertical="center"/>
    </xf>
    <xf numFmtId="0" fontId="74" fillId="0" borderId="40" xfId="0" applyFont="1" applyBorder="1" applyAlignment="1">
      <alignment horizontal="centerContinuous" vertical="center"/>
    </xf>
    <xf numFmtId="164" fontId="76" fillId="0" borderId="1" xfId="0" applyNumberFormat="1" applyFont="1" applyBorder="1" applyAlignment="1">
      <alignment horizontal="center" vertical="center"/>
    </xf>
    <xf numFmtId="0" fontId="66" fillId="0" borderId="144" xfId="0" applyFont="1" applyBorder="1" applyAlignment="1">
      <alignment horizontal="left" vertical="center"/>
    </xf>
    <xf numFmtId="0" fontId="77" fillId="0" borderId="84" xfId="1" applyFont="1" applyFill="1" applyBorder="1">
      <alignment horizontal="centerContinuous" vertical="center"/>
    </xf>
    <xf numFmtId="0" fontId="76" fillId="0" borderId="86" xfId="0" applyFont="1" applyBorder="1" applyAlignment="1">
      <alignment horizontal="centerContinuous" vertical="center"/>
    </xf>
    <xf numFmtId="0" fontId="76" fillId="0" borderId="147" xfId="0" applyFont="1" applyBorder="1" applyAlignment="1">
      <alignment horizontal="centerContinuous" vertical="center"/>
    </xf>
    <xf numFmtId="0" fontId="77" fillId="45" borderId="86" xfId="1" applyFont="1" applyFill="1" applyBorder="1">
      <alignment horizontal="centerContinuous" vertical="center"/>
    </xf>
    <xf numFmtId="0" fontId="77" fillId="45" borderId="144" xfId="1" applyFont="1" applyFill="1" applyBorder="1">
      <alignment horizontal="centerContinuous" vertical="center"/>
    </xf>
    <xf numFmtId="0" fontId="83" fillId="0" borderId="74" xfId="0" applyFont="1" applyBorder="1"/>
    <xf numFmtId="0" fontId="83" fillId="0" borderId="75" xfId="0" applyFont="1" applyBorder="1"/>
    <xf numFmtId="0" fontId="77" fillId="0" borderId="156" xfId="0" applyFont="1" applyBorder="1" applyAlignment="1">
      <alignment horizontal="centerContinuous" vertical="center"/>
    </xf>
    <xf numFmtId="0" fontId="77" fillId="0" borderId="146" xfId="0" applyFont="1" applyBorder="1" applyAlignment="1">
      <alignment horizontal="centerContinuous" vertical="center"/>
    </xf>
    <xf numFmtId="0" fontId="76" fillId="0" borderId="18" xfId="0" applyFont="1" applyBorder="1" applyAlignment="1">
      <alignment horizontal="centerContinuous" vertical="center"/>
    </xf>
    <xf numFmtId="0" fontId="76" fillId="0" borderId="21" xfId="0" applyFont="1" applyBorder="1" applyAlignment="1">
      <alignment horizontal="centerContinuous" vertical="center"/>
    </xf>
    <xf numFmtId="0" fontId="76" fillId="0" borderId="62" xfId="0" applyFont="1" applyBorder="1" applyAlignment="1">
      <alignment horizontal="centerContinuous" vertical="center"/>
    </xf>
    <xf numFmtId="0" fontId="66" fillId="0" borderId="143" xfId="0" applyFont="1" applyBorder="1" applyAlignment="1">
      <alignment horizontal="right" vertical="center"/>
    </xf>
    <xf numFmtId="0" fontId="84" fillId="0" borderId="141" xfId="0" applyFont="1" applyBorder="1"/>
    <xf numFmtId="0" fontId="84" fillId="0" borderId="103" xfId="0" applyFont="1" applyBorder="1"/>
    <xf numFmtId="0" fontId="86" fillId="0" borderId="0" xfId="0" applyFont="1"/>
    <xf numFmtId="0" fontId="65" fillId="0" borderId="15" xfId="0" applyFont="1" applyBorder="1" applyAlignment="1">
      <alignment horizontal="center" vertical="center" wrapText="1"/>
    </xf>
    <xf numFmtId="0" fontId="65" fillId="0" borderId="0" xfId="0" applyFont="1" applyAlignment="1">
      <alignment horizontal="center" vertical="center" wrapText="1"/>
    </xf>
    <xf numFmtId="0" fontId="65" fillId="0" borderId="8" xfId="0" applyFont="1" applyBorder="1" applyAlignment="1">
      <alignment horizontal="center" vertical="center" wrapText="1"/>
    </xf>
    <xf numFmtId="0" fontId="86" fillId="0" borderId="8" xfId="0" applyFont="1" applyBorder="1"/>
    <xf numFmtId="0" fontId="77" fillId="0" borderId="144" xfId="1" applyFont="1" applyFill="1" applyBorder="1">
      <alignment horizontal="centerContinuous" vertical="center"/>
    </xf>
    <xf numFmtId="0" fontId="65" fillId="5" borderId="88" xfId="0" applyFont="1" applyFill="1" applyBorder="1" applyAlignment="1">
      <alignment horizontal="center" vertical="center" wrapText="1"/>
    </xf>
    <xf numFmtId="0" fontId="69" fillId="3" borderId="80" xfId="0" applyFont="1" applyFill="1" applyBorder="1" applyAlignment="1">
      <alignment horizontal="center" vertical="center" wrapText="1"/>
    </xf>
    <xf numFmtId="0" fontId="69" fillId="29" borderId="2" xfId="0" applyFont="1" applyFill="1" applyBorder="1" applyAlignment="1">
      <alignment horizontal="center" vertical="center" wrapText="1"/>
    </xf>
    <xf numFmtId="0" fontId="69" fillId="6" borderId="90"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5" fillId="31" borderId="163" xfId="0" applyFont="1" applyFill="1" applyBorder="1" applyAlignment="1">
      <alignment horizontal="center" vertical="center" wrapText="1"/>
    </xf>
    <xf numFmtId="0" fontId="69" fillId="9" borderId="88" xfId="0" applyFont="1" applyFill="1" applyBorder="1" applyAlignment="1">
      <alignment horizontal="center" vertical="center" wrapText="1"/>
    </xf>
    <xf numFmtId="0" fontId="69" fillId="6" borderId="80" xfId="0" applyFont="1" applyFill="1" applyBorder="1" applyAlignment="1">
      <alignment horizontal="center" vertical="center" wrapText="1"/>
    </xf>
    <xf numFmtId="0" fontId="69" fillId="3" borderId="90" xfId="0" applyFont="1" applyFill="1" applyBorder="1" applyAlignment="1">
      <alignment horizontal="center" vertical="center" wrapText="1"/>
    </xf>
    <xf numFmtId="0" fontId="65" fillId="5" borderId="167" xfId="0" applyFont="1" applyFill="1" applyBorder="1" applyAlignment="1">
      <alignment horizontal="center" vertical="center" wrapText="1"/>
    </xf>
    <xf numFmtId="0" fontId="69" fillId="0" borderId="8" xfId="0" applyFont="1" applyBorder="1" applyAlignment="1">
      <alignment vertical="center"/>
    </xf>
    <xf numFmtId="0" fontId="69" fillId="0" borderId="94" xfId="0" applyFont="1" applyBorder="1" applyAlignment="1">
      <alignment horizontal="center" vertical="center" wrapText="1"/>
    </xf>
    <xf numFmtId="0" fontId="69" fillId="3" borderId="145" xfId="0" applyFont="1" applyFill="1" applyBorder="1" applyAlignment="1">
      <alignment horizontal="center" vertical="center" wrapText="1"/>
    </xf>
    <xf numFmtId="0" fontId="69" fillId="29" borderId="38" xfId="0" applyFont="1" applyFill="1" applyBorder="1" applyAlignment="1">
      <alignment horizontal="center" vertical="center" wrapText="1"/>
    </xf>
    <xf numFmtId="0" fontId="69" fillId="6" borderId="70" xfId="0" applyFont="1" applyFill="1" applyBorder="1" applyAlignment="1">
      <alignment horizontal="center" vertical="center" wrapText="1"/>
    </xf>
    <xf numFmtId="0" fontId="69" fillId="0" borderId="0" xfId="0" applyFont="1" applyAlignment="1">
      <alignment horizontal="center" vertical="center" wrapText="1"/>
    </xf>
    <xf numFmtId="0" fontId="65" fillId="31" borderId="34" xfId="0" applyFont="1" applyFill="1" applyBorder="1" applyAlignment="1">
      <alignment horizontal="center" vertical="center" wrapText="1"/>
    </xf>
    <xf numFmtId="0" fontId="69" fillId="6" borderId="145" xfId="0" applyFont="1" applyFill="1" applyBorder="1" applyAlignment="1">
      <alignment horizontal="center" vertical="center" wrapText="1"/>
    </xf>
    <xf numFmtId="0" fontId="69" fillId="3" borderId="70" xfId="0" applyFont="1" applyFill="1" applyBorder="1" applyAlignment="1">
      <alignment horizontal="center" vertical="center" wrapText="1"/>
    </xf>
    <xf numFmtId="0" fontId="69" fillId="0" borderId="8" xfId="0" applyFont="1" applyBorder="1" applyAlignment="1">
      <alignment horizontal="center" vertical="center" wrapText="1"/>
    </xf>
    <xf numFmtId="0" fontId="72" fillId="0" borderId="8" xfId="0" applyFont="1" applyBorder="1" applyAlignment="1">
      <alignment vertical="center"/>
    </xf>
    <xf numFmtId="0" fontId="57" fillId="0" borderId="8" xfId="0" applyFont="1" applyBorder="1" applyAlignment="1">
      <alignment vertical="center"/>
    </xf>
    <xf numFmtId="0" fontId="77" fillId="0" borderId="65" xfId="1" applyFont="1" applyFill="1" applyBorder="1">
      <alignment horizontal="centerContinuous" vertical="center"/>
    </xf>
    <xf numFmtId="0" fontId="77" fillId="0" borderId="68" xfId="1" applyFont="1" applyFill="1" applyBorder="1">
      <alignment horizontal="centerContinuous" vertical="center"/>
    </xf>
    <xf numFmtId="0" fontId="66" fillId="0" borderId="75" xfId="0" applyFont="1" applyBorder="1" applyAlignment="1">
      <alignment vertical="center"/>
    </xf>
    <xf numFmtId="0" fontId="68" fillId="0" borderId="40" xfId="1" applyFont="1" applyFill="1" applyBorder="1">
      <alignment horizontal="centerContinuous" vertical="center"/>
    </xf>
    <xf numFmtId="0" fontId="68" fillId="0" borderId="199" xfId="1" applyFont="1" applyFill="1" applyBorder="1">
      <alignment horizontal="centerContinuous" vertical="center"/>
    </xf>
    <xf numFmtId="0" fontId="68" fillId="0" borderId="200" xfId="1" applyFont="1" applyFill="1" applyBorder="1">
      <alignment horizontal="centerContinuous" vertical="center"/>
    </xf>
    <xf numFmtId="0" fontId="68" fillId="0" borderId="201" xfId="1" applyFont="1" applyFill="1" applyBorder="1">
      <alignment horizontal="centerContinuous" vertical="center"/>
    </xf>
    <xf numFmtId="0" fontId="68" fillId="0" borderId="202" xfId="1" applyFont="1" applyFill="1" applyBorder="1">
      <alignment horizontal="centerContinuous" vertical="center"/>
    </xf>
    <xf numFmtId="0" fontId="65" fillId="5" borderId="8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29" borderId="36" xfId="0" applyFont="1" applyFill="1" applyBorder="1" applyAlignment="1">
      <alignment horizontal="center" vertical="center" wrapText="1"/>
    </xf>
    <xf numFmtId="0" fontId="69" fillId="6" borderId="91" xfId="0" applyFont="1" applyFill="1" applyBorder="1" applyAlignment="1">
      <alignment horizontal="center" vertical="center" wrapText="1"/>
    </xf>
    <xf numFmtId="0" fontId="69" fillId="9" borderId="47" xfId="0" applyFont="1" applyFill="1" applyBorder="1" applyAlignment="1">
      <alignment horizontal="center" vertical="center" wrapText="1"/>
    </xf>
    <xf numFmtId="0" fontId="65" fillId="31" borderId="169" xfId="0" applyFont="1" applyFill="1" applyBorder="1" applyAlignment="1">
      <alignment horizontal="center" vertical="center" wrapText="1"/>
    </xf>
    <xf numFmtId="0" fontId="69" fillId="9" borderId="89" xfId="0" applyFont="1" applyFill="1" applyBorder="1" applyAlignment="1">
      <alignment horizontal="center" vertical="center" wrapText="1"/>
    </xf>
    <xf numFmtId="0" fontId="69" fillId="6" borderId="78" xfId="0" applyFont="1" applyFill="1" applyBorder="1" applyAlignment="1">
      <alignment horizontal="center" vertical="center" wrapText="1"/>
    </xf>
    <xf numFmtId="0" fontId="69" fillId="3" borderId="91" xfId="0" applyFont="1" applyFill="1" applyBorder="1" applyAlignment="1">
      <alignment horizontal="center" vertical="center" wrapText="1"/>
    </xf>
    <xf numFmtId="0" fontId="65" fillId="5" borderId="53" xfId="0" applyFont="1" applyFill="1" applyBorder="1" applyAlignment="1">
      <alignment horizontal="center" vertical="center" wrapText="1"/>
    </xf>
    <xf numFmtId="0" fontId="71" fillId="0" borderId="203" xfId="0" applyFont="1" applyBorder="1" applyAlignment="1">
      <alignment horizontal="center" vertical="center"/>
    </xf>
    <xf numFmtId="0" fontId="71" fillId="0" borderId="204" xfId="0" applyFont="1" applyBorder="1" applyAlignment="1">
      <alignment horizontal="center" vertical="center"/>
    </xf>
    <xf numFmtId="0" fontId="74" fillId="0" borderId="40" xfId="1" applyFont="1" applyFill="1" applyBorder="1">
      <alignment horizontal="centerContinuous" vertical="center"/>
    </xf>
    <xf numFmtId="0" fontId="74" fillId="0" borderId="203" xfId="1" applyFont="1" applyFill="1" applyBorder="1">
      <alignment horizontal="centerContinuous" vertical="center"/>
    </xf>
    <xf numFmtId="0" fontId="74" fillId="0" borderId="204" xfId="1" applyFont="1" applyFill="1" applyBorder="1">
      <alignment horizontal="centerContinuous" vertical="center"/>
    </xf>
    <xf numFmtId="0" fontId="77" fillId="0" borderId="62" xfId="1" applyFont="1" applyFill="1" applyBorder="1">
      <alignment horizontal="centerContinuous" vertical="center"/>
    </xf>
    <xf numFmtId="0" fontId="77" fillId="0" borderId="205" xfId="1" applyFont="1" applyFill="1" applyBorder="1">
      <alignment horizontal="centerContinuous" vertical="center"/>
    </xf>
    <xf numFmtId="0" fontId="77" fillId="0" borderId="206" xfId="1" applyFont="1" applyFill="1" applyBorder="1">
      <alignment horizontal="centerContinuous" vertical="center"/>
    </xf>
    <xf numFmtId="0" fontId="77" fillId="0" borderId="207" xfId="1" applyFont="1" applyFill="1" applyBorder="1">
      <alignment horizontal="centerContinuous" vertical="center"/>
    </xf>
    <xf numFmtId="0" fontId="77" fillId="0" borderId="208" xfId="1" applyFont="1" applyFill="1" applyBorder="1">
      <alignment horizontal="centerContinuous" vertical="center"/>
    </xf>
    <xf numFmtId="0" fontId="65" fillId="5" borderId="143" xfId="0" applyFont="1" applyFill="1" applyBorder="1" applyAlignment="1">
      <alignment horizontal="center" vertical="center" wrapText="1"/>
    </xf>
    <xf numFmtId="0" fontId="69" fillId="3" borderId="146" xfId="0" applyFont="1" applyFill="1" applyBorder="1" applyAlignment="1">
      <alignment horizontal="center" vertical="center" wrapText="1"/>
    </xf>
    <xf numFmtId="0" fontId="69" fillId="29" borderId="18" xfId="0" applyFont="1" applyFill="1" applyBorder="1" applyAlignment="1">
      <alignment horizontal="center" vertical="center" wrapText="1"/>
    </xf>
    <xf numFmtId="0" fontId="69" fillId="6" borderId="84" xfId="0" applyFont="1" applyFill="1" applyBorder="1" applyAlignment="1">
      <alignment horizontal="center" vertical="center" wrapText="1"/>
    </xf>
    <xf numFmtId="0" fontId="69" fillId="9" borderId="1" xfId="0" applyFont="1" applyFill="1" applyBorder="1" applyAlignment="1">
      <alignment horizontal="center" vertical="center" wrapText="1"/>
    </xf>
    <xf numFmtId="0" fontId="65" fillId="31" borderId="161" xfId="0" applyFont="1" applyFill="1" applyBorder="1" applyAlignment="1">
      <alignment horizontal="center" vertical="center" wrapText="1"/>
    </xf>
    <xf numFmtId="0" fontId="69" fillId="9" borderId="143" xfId="0" applyFont="1" applyFill="1" applyBorder="1" applyAlignment="1">
      <alignment horizontal="center" vertical="center" wrapText="1"/>
    </xf>
    <xf numFmtId="0" fontId="69" fillId="6" borderId="146" xfId="0" applyFont="1" applyFill="1" applyBorder="1" applyAlignment="1">
      <alignment horizontal="center" vertical="center" wrapText="1"/>
    </xf>
    <xf numFmtId="0" fontId="69" fillId="3" borderId="84" xfId="0" applyFont="1" applyFill="1" applyBorder="1" applyAlignment="1">
      <alignment horizontal="center" vertical="center" wrapText="1"/>
    </xf>
    <xf numFmtId="0" fontId="65" fillId="5" borderId="7" xfId="0" applyFont="1" applyFill="1" applyBorder="1" applyAlignment="1">
      <alignment horizontal="center" vertical="center" wrapText="1"/>
    </xf>
    <xf numFmtId="0" fontId="77" fillId="0" borderId="102" xfId="1" applyFont="1" applyFill="1" applyBorder="1">
      <alignment horizontal="centerContinuous" vertical="center"/>
    </xf>
    <xf numFmtId="0" fontId="77" fillId="0" borderId="40" xfId="1" applyFont="1" applyFill="1" applyBorder="1">
      <alignment horizontal="centerContinuous" vertical="center"/>
    </xf>
    <xf numFmtId="0" fontId="68" fillId="0" borderId="209" xfId="1" applyFont="1" applyFill="1" applyBorder="1">
      <alignment horizontal="centerContinuous" vertical="center"/>
    </xf>
    <xf numFmtId="0" fontId="68" fillId="0" borderId="210" xfId="1" applyFont="1" applyFill="1" applyBorder="1">
      <alignment horizontal="centerContinuous" vertical="center"/>
    </xf>
    <xf numFmtId="0" fontId="71" fillId="0" borderId="211" xfId="0" applyFont="1" applyBorder="1" applyAlignment="1">
      <alignment horizontal="center" vertical="center"/>
    </xf>
    <xf numFmtId="0" fontId="74" fillId="0" borderId="211" xfId="1" applyFont="1" applyFill="1" applyBorder="1">
      <alignment horizontal="centerContinuous" vertical="center"/>
    </xf>
    <xf numFmtId="0" fontId="77" fillId="0" borderId="212" xfId="1" applyFont="1" applyFill="1" applyBorder="1">
      <alignment horizontal="centerContinuous" vertical="center"/>
    </xf>
    <xf numFmtId="0" fontId="77" fillId="0" borderId="213" xfId="1" applyFont="1" applyFill="1" applyBorder="1">
      <alignment horizontal="centerContinuous" vertical="center"/>
    </xf>
    <xf numFmtId="0" fontId="68" fillId="0" borderId="228" xfId="1" applyFont="1" applyFill="1" applyBorder="1">
      <alignment horizontal="centerContinuous" vertical="center"/>
    </xf>
    <xf numFmtId="0" fontId="68" fillId="0" borderId="229" xfId="1" applyFont="1" applyFill="1" applyBorder="1">
      <alignment horizontal="centerContinuous" vertical="center"/>
    </xf>
    <xf numFmtId="0" fontId="74" fillId="0" borderId="94" xfId="1" applyFont="1" applyFill="1" applyBorder="1">
      <alignment horizontal="centerContinuous" vertical="center"/>
    </xf>
    <xf numFmtId="0" fontId="74" fillId="0" borderId="39" xfId="1" applyFont="1" applyFill="1" applyBorder="1">
      <alignment horizontal="centerContinuous" vertical="center"/>
    </xf>
    <xf numFmtId="0" fontId="77" fillId="0" borderId="230" xfId="1" applyFont="1" applyFill="1" applyBorder="1">
      <alignment horizontal="centerContinuous" vertical="center"/>
    </xf>
    <xf numFmtId="0" fontId="77" fillId="0" borderId="231" xfId="1" applyFont="1" applyFill="1" applyBorder="1">
      <alignment horizontal="centerContinuous" vertical="center"/>
    </xf>
    <xf numFmtId="0" fontId="68" fillId="44" borderId="65" xfId="1" applyFont="1" applyFill="1" applyBorder="1">
      <alignment horizontal="centerContinuous" vertical="center"/>
    </xf>
    <xf numFmtId="0" fontId="68" fillId="44" borderId="102" xfId="1" applyFont="1" applyFill="1" applyBorder="1">
      <alignment horizontal="centerContinuous" vertical="center"/>
    </xf>
    <xf numFmtId="0" fontId="71" fillId="44" borderId="65" xfId="0" applyFont="1" applyFill="1" applyBorder="1" applyAlignment="1">
      <alignment horizontal="center" vertical="center"/>
    </xf>
    <xf numFmtId="0" fontId="71" fillId="44" borderId="102" xfId="0" applyFont="1" applyFill="1" applyBorder="1" applyAlignment="1">
      <alignment horizontal="center" vertical="center"/>
    </xf>
    <xf numFmtId="0" fontId="74" fillId="44" borderId="65" xfId="1" applyFont="1" applyFill="1" applyBorder="1">
      <alignment horizontal="centerContinuous" vertical="center"/>
    </xf>
    <xf numFmtId="0" fontId="74" fillId="44" borderId="102" xfId="1" applyFont="1" applyFill="1" applyBorder="1">
      <alignment horizontal="centerContinuous" vertical="center"/>
    </xf>
    <xf numFmtId="0" fontId="77" fillId="44" borderId="86" xfId="1" applyFont="1" applyFill="1" applyBorder="1">
      <alignment horizontal="centerContinuous" vertical="center"/>
    </xf>
    <xf numFmtId="0" fontId="77" fillId="44" borderId="147" xfId="1" applyFont="1" applyFill="1" applyBorder="1">
      <alignment horizontal="centerContinuous" vertical="center"/>
    </xf>
    <xf numFmtId="0" fontId="77" fillId="0" borderId="37" xfId="0" applyFont="1" applyBorder="1" applyAlignment="1">
      <alignment horizontal="centerContinuous" vertical="center"/>
    </xf>
    <xf numFmtId="0" fontId="77" fillId="0" borderId="102" xfId="0" applyFont="1" applyBorder="1" applyAlignment="1">
      <alignment horizontal="centerContinuous" vertical="center"/>
    </xf>
    <xf numFmtId="0" fontId="77" fillId="0" borderId="145" xfId="0" applyFont="1" applyBorder="1" applyAlignment="1">
      <alignment horizontal="centerContinuous" vertical="center"/>
    </xf>
    <xf numFmtId="0" fontId="68" fillId="0" borderId="232" xfId="0" applyFont="1" applyBorder="1" applyAlignment="1">
      <alignment horizontal="centerContinuous" vertical="center"/>
    </xf>
    <xf numFmtId="0" fontId="68" fillId="0" borderId="209" xfId="0" applyFont="1" applyBorder="1" applyAlignment="1">
      <alignment horizontal="centerContinuous" vertical="center"/>
    </xf>
    <xf numFmtId="0" fontId="68" fillId="0" borderId="202" xfId="0" applyFont="1" applyBorder="1" applyAlignment="1">
      <alignment horizontal="centerContinuous" vertical="center"/>
    </xf>
    <xf numFmtId="0" fontId="71" fillId="0" borderId="233" xfId="0" applyFont="1" applyBorder="1" applyAlignment="1">
      <alignment horizontal="center" vertical="center"/>
    </xf>
    <xf numFmtId="0" fontId="74" fillId="0" borderId="233" xfId="0" applyFont="1" applyBorder="1" applyAlignment="1">
      <alignment horizontal="centerContinuous" vertical="center"/>
    </xf>
    <xf numFmtId="0" fontId="74" fillId="0" borderId="204" xfId="0" applyFont="1" applyBorder="1" applyAlignment="1">
      <alignment horizontal="centerContinuous" vertical="center"/>
    </xf>
    <xf numFmtId="0" fontId="77" fillId="0" borderId="149" xfId="1" applyFont="1" applyFill="1" applyBorder="1">
      <alignment horizontal="centerContinuous" vertical="center"/>
    </xf>
    <xf numFmtId="0" fontId="76" fillId="0" borderId="66" xfId="0" applyFont="1" applyBorder="1" applyAlignment="1">
      <alignment horizontal="centerContinuous" vertical="center"/>
    </xf>
    <xf numFmtId="0" fontId="76" fillId="0" borderId="93" xfId="0" applyFont="1" applyBorder="1" applyAlignment="1">
      <alignment horizontal="centerContinuous" vertical="center"/>
    </xf>
    <xf numFmtId="0" fontId="77" fillId="0" borderId="234" xfId="0" applyFont="1" applyBorder="1" applyAlignment="1">
      <alignment horizontal="centerContinuous" vertical="center"/>
    </xf>
    <xf numFmtId="0" fontId="77" fillId="0" borderId="212" xfId="0" applyFont="1" applyBorder="1" applyAlignment="1">
      <alignment horizontal="centerContinuous" vertical="center"/>
    </xf>
    <xf numFmtId="0" fontId="77" fillId="0" borderId="208" xfId="0" applyFont="1" applyBorder="1" applyAlignment="1">
      <alignment horizontal="centerContinuous" vertical="center"/>
    </xf>
    <xf numFmtId="0" fontId="77" fillId="0" borderId="154" xfId="0" applyFont="1" applyBorder="1" applyAlignment="1">
      <alignment horizontal="centerContinuous" vertical="center"/>
    </xf>
    <xf numFmtId="0" fontId="76" fillId="0" borderId="25" xfId="0" applyFont="1" applyBorder="1" applyAlignment="1">
      <alignment horizontal="centerContinuous" vertical="center"/>
    </xf>
    <xf numFmtId="0" fontId="76" fillId="0" borderId="197" xfId="0" applyFont="1" applyBorder="1" applyAlignment="1">
      <alignment horizontal="centerContinuous" vertical="center"/>
    </xf>
    <xf numFmtId="0" fontId="76" fillId="0" borderId="33" xfId="0" applyFont="1" applyBorder="1" applyAlignment="1">
      <alignment horizontal="centerContinuous" vertical="center"/>
    </xf>
    <xf numFmtId="0" fontId="76" fillId="0" borderId="198" xfId="0" applyFont="1" applyBorder="1" applyAlignment="1">
      <alignment horizontal="centerContinuous" vertical="center"/>
    </xf>
    <xf numFmtId="0" fontId="65" fillId="17" borderId="60" xfId="0" applyFont="1" applyFill="1" applyBorder="1" applyAlignment="1">
      <alignment horizontal="center" vertical="center"/>
    </xf>
    <xf numFmtId="0" fontId="68" fillId="0" borderId="130" xfId="0" applyFont="1" applyBorder="1" applyAlignment="1">
      <alignment horizontal="centerContinuous" vertical="center"/>
    </xf>
    <xf numFmtId="0" fontId="65" fillId="17" borderId="111" xfId="0" applyFont="1" applyFill="1" applyBorder="1" applyAlignment="1">
      <alignment horizontal="center" vertical="center"/>
    </xf>
    <xf numFmtId="0" fontId="65" fillId="5" borderId="70" xfId="0" applyFont="1" applyFill="1" applyBorder="1" applyAlignment="1">
      <alignment horizontal="center" vertical="center"/>
    </xf>
    <xf numFmtId="0" fontId="71" fillId="0" borderId="130" xfId="0" applyFont="1" applyBorder="1" applyAlignment="1">
      <alignment horizontal="center" vertical="center"/>
    </xf>
    <xf numFmtId="0" fontId="70" fillId="5" borderId="70" xfId="0" applyFont="1" applyFill="1" applyBorder="1" applyAlignment="1">
      <alignment horizontal="center" vertical="center"/>
    </xf>
    <xf numFmtId="0" fontId="74" fillId="0" borderId="65" xfId="0" applyFont="1" applyBorder="1" applyAlignment="1">
      <alignment horizontal="center" vertical="center"/>
    </xf>
    <xf numFmtId="0" fontId="75" fillId="0" borderId="130" xfId="0" applyFont="1" applyBorder="1" applyAlignment="1">
      <alignment horizontal="centerContinuous" vertical="center"/>
    </xf>
    <xf numFmtId="0" fontId="73" fillId="5" borderId="70" xfId="0" applyFont="1" applyFill="1" applyBorder="1" applyAlignment="1">
      <alignment horizontal="center"/>
    </xf>
    <xf numFmtId="0" fontId="77" fillId="0" borderId="86" xfId="0" applyFont="1" applyBorder="1" applyAlignment="1">
      <alignment horizontal="center" vertical="center"/>
    </xf>
    <xf numFmtId="0" fontId="77" fillId="0" borderId="131" xfId="0" applyFont="1" applyBorder="1" applyAlignment="1">
      <alignment horizontal="centerContinuous" vertical="center"/>
    </xf>
    <xf numFmtId="164" fontId="76" fillId="5" borderId="84" xfId="0" applyNumberFormat="1" applyFont="1" applyFill="1" applyBorder="1" applyAlignment="1">
      <alignment horizontal="center" vertical="center"/>
    </xf>
    <xf numFmtId="0" fontId="67" fillId="17" borderId="119" xfId="0" applyFont="1" applyFill="1" applyBorder="1" applyAlignment="1">
      <alignment horizontal="center" vertical="center"/>
    </xf>
    <xf numFmtId="0" fontId="79" fillId="17" borderId="61" xfId="0" applyFont="1" applyFill="1" applyBorder="1" applyAlignment="1">
      <alignment horizontal="center" vertical="center"/>
    </xf>
    <xf numFmtId="0" fontId="79" fillId="17" borderId="118" xfId="0" applyFont="1" applyFill="1" applyBorder="1" applyAlignment="1">
      <alignment horizontal="center" vertical="center"/>
    </xf>
    <xf numFmtId="0" fontId="65" fillId="17" borderId="119" xfId="0" applyFont="1" applyFill="1" applyBorder="1" applyAlignment="1">
      <alignment horizontal="center" vertical="center"/>
    </xf>
    <xf numFmtId="0" fontId="65" fillId="5" borderId="143" xfId="0" applyFont="1" applyFill="1" applyBorder="1" applyAlignment="1">
      <alignment vertical="center" wrapText="1"/>
    </xf>
    <xf numFmtId="0" fontId="69" fillId="3" borderId="146" xfId="0" applyFont="1" applyFill="1" applyBorder="1" applyAlignment="1">
      <alignment vertical="center" wrapText="1"/>
    </xf>
    <xf numFmtId="0" fontId="69" fillId="29" borderId="18" xfId="0" applyFont="1" applyFill="1" applyBorder="1" applyAlignment="1">
      <alignment vertical="center" wrapText="1"/>
    </xf>
    <xf numFmtId="0" fontId="69" fillId="6" borderId="147" xfId="0" applyFont="1" applyFill="1" applyBorder="1" applyAlignment="1">
      <alignment vertical="center" wrapText="1"/>
    </xf>
    <xf numFmtId="0" fontId="69" fillId="9" borderId="144" xfId="0" applyFont="1" applyFill="1" applyBorder="1" applyAlignment="1">
      <alignment vertical="center" wrapText="1"/>
    </xf>
    <xf numFmtId="0" fontId="65" fillId="31" borderId="161" xfId="0" applyFont="1" applyFill="1" applyBorder="1" applyAlignment="1">
      <alignment vertical="center" wrapText="1"/>
    </xf>
    <xf numFmtId="0" fontId="69" fillId="9" borderId="143" xfId="0" applyFont="1" applyFill="1" applyBorder="1" applyAlignment="1">
      <alignment vertical="center" wrapText="1"/>
    </xf>
    <xf numFmtId="0" fontId="69" fillId="6" borderId="146" xfId="0" applyFont="1" applyFill="1" applyBorder="1" applyAlignment="1">
      <alignment vertical="center" wrapText="1"/>
    </xf>
    <xf numFmtId="0" fontId="69" fillId="3" borderId="147" xfId="0" applyFont="1" applyFill="1" applyBorder="1" applyAlignment="1">
      <alignment vertical="center" wrapText="1"/>
    </xf>
    <xf numFmtId="0" fontId="65" fillId="5" borderId="144" xfId="0" applyFont="1" applyFill="1" applyBorder="1" applyAlignment="1">
      <alignment vertical="center" wrapText="1"/>
    </xf>
    <xf numFmtId="0" fontId="72" fillId="17" borderId="61" xfId="0" applyFont="1" applyFill="1" applyBorder="1" applyAlignment="1">
      <alignment horizontal="center" vertical="center"/>
    </xf>
    <xf numFmtId="0" fontId="57" fillId="17" borderId="61" xfId="0" applyFont="1" applyFill="1" applyBorder="1" applyAlignment="1">
      <alignment horizontal="center" vertical="center"/>
    </xf>
    <xf numFmtId="0" fontId="66" fillId="17" borderId="118" xfId="0" applyFont="1" applyFill="1" applyBorder="1" applyAlignment="1">
      <alignment horizontal="center" vertical="center"/>
    </xf>
    <xf numFmtId="0" fontId="77" fillId="0" borderId="66" xfId="0" applyFont="1" applyBorder="1" applyAlignment="1">
      <alignment horizontal="center" vertical="center"/>
    </xf>
    <xf numFmtId="0" fontId="72" fillId="0" borderId="88" xfId="0" applyFont="1" applyBorder="1" applyAlignment="1">
      <alignment vertical="center" readingOrder="2"/>
    </xf>
    <xf numFmtId="0" fontId="72" fillId="0" borderId="87" xfId="0" applyFont="1" applyBorder="1" applyAlignment="1">
      <alignment vertical="center" readingOrder="2"/>
    </xf>
    <xf numFmtId="0" fontId="72" fillId="0" borderId="4" xfId="0" applyFont="1" applyBorder="1" applyAlignment="1">
      <alignment horizontal="center" vertical="center" readingOrder="2"/>
    </xf>
    <xf numFmtId="0" fontId="72" fillId="0" borderId="173" xfId="0" applyFont="1" applyBorder="1" applyAlignment="1">
      <alignment horizontal="center" vertical="center" readingOrder="2"/>
    </xf>
    <xf numFmtId="0" fontId="72" fillId="0" borderId="87" xfId="0" applyFont="1" applyBorder="1" applyAlignment="1">
      <alignment horizontal="center" vertical="center" readingOrder="2"/>
    </xf>
    <xf numFmtId="0" fontId="72" fillId="0" borderId="87" xfId="0" applyFont="1" applyBorder="1" applyAlignment="1">
      <alignment horizontal="left" vertical="center" readingOrder="2"/>
    </xf>
    <xf numFmtId="0" fontId="72" fillId="0" borderId="167" xfId="0" applyFont="1" applyBorder="1" applyAlignment="1">
      <alignment horizontal="left" vertical="center" readingOrder="2"/>
    </xf>
    <xf numFmtId="0" fontId="87" fillId="0" borderId="77" xfId="0" applyFont="1" applyBorder="1" applyAlignment="1">
      <alignment vertical="center" readingOrder="2"/>
    </xf>
    <xf numFmtId="0" fontId="66" fillId="3" borderId="50" xfId="0" applyFont="1" applyFill="1" applyBorder="1" applyAlignment="1">
      <alignment horizontal="center" vertical="center" readingOrder="2"/>
    </xf>
    <xf numFmtId="0" fontId="66" fillId="29" borderId="222" xfId="0" applyFont="1" applyFill="1" applyBorder="1" applyAlignment="1">
      <alignment horizontal="center" vertical="center" readingOrder="2"/>
    </xf>
    <xf numFmtId="0" fontId="66" fillId="38" borderId="77" xfId="0" applyFont="1" applyFill="1" applyBorder="1" applyAlignment="1">
      <alignment horizontal="center" vertical="center" readingOrder="2"/>
    </xf>
    <xf numFmtId="0" fontId="66" fillId="6" borderId="50" xfId="0" applyFont="1" applyFill="1" applyBorder="1" applyAlignment="1">
      <alignment horizontal="center" vertical="center" readingOrder="2"/>
    </xf>
    <xf numFmtId="0" fontId="66" fillId="22" borderId="222" xfId="0" applyFont="1" applyFill="1" applyBorder="1" applyAlignment="1">
      <alignment horizontal="center" vertical="center" readingOrder="2"/>
    </xf>
    <xf numFmtId="0" fontId="87" fillId="0" borderId="77" xfId="0" applyFont="1" applyBorder="1" applyAlignment="1">
      <alignment horizontal="left" vertical="center" readingOrder="2"/>
    </xf>
    <xf numFmtId="0" fontId="87" fillId="0" borderId="219" xfId="0" applyFont="1" applyBorder="1" applyAlignment="1">
      <alignment vertical="center" readingOrder="2"/>
    </xf>
    <xf numFmtId="0" fontId="66" fillId="3" borderId="215" xfId="0" applyFont="1" applyFill="1" applyBorder="1" applyAlignment="1">
      <alignment horizontal="center" vertical="center" readingOrder="2"/>
    </xf>
    <xf numFmtId="0" fontId="66" fillId="29" borderId="223" xfId="0" applyFont="1" applyFill="1" applyBorder="1" applyAlignment="1">
      <alignment horizontal="center" vertical="center" readingOrder="2"/>
    </xf>
    <xf numFmtId="0" fontId="66" fillId="38" borderId="219" xfId="0" applyFont="1" applyFill="1" applyBorder="1" applyAlignment="1">
      <alignment horizontal="center" vertical="center" readingOrder="2"/>
    </xf>
    <xf numFmtId="0" fontId="66" fillId="6" borderId="215" xfId="0" applyFont="1" applyFill="1" applyBorder="1" applyAlignment="1">
      <alignment horizontal="center" vertical="center" readingOrder="2"/>
    </xf>
    <xf numFmtId="0" fontId="66" fillId="22" borderId="223" xfId="0" applyFont="1" applyFill="1" applyBorder="1" applyAlignment="1">
      <alignment horizontal="center" vertical="center" readingOrder="2"/>
    </xf>
    <xf numFmtId="0" fontId="87" fillId="0" borderId="219" xfId="0" applyFont="1" applyBorder="1" applyAlignment="1">
      <alignment horizontal="left" vertical="center" readingOrder="2"/>
    </xf>
    <xf numFmtId="0" fontId="77" fillId="0" borderId="198" xfId="0" applyFont="1" applyBorder="1" applyAlignment="1">
      <alignment horizontal="centerContinuous" vertical="center"/>
    </xf>
    <xf numFmtId="164" fontId="76" fillId="5" borderId="71" xfId="0" applyNumberFormat="1" applyFont="1" applyFill="1" applyBorder="1" applyAlignment="1">
      <alignment horizontal="center" vertical="center"/>
    </xf>
    <xf numFmtId="0" fontId="65" fillId="5" borderId="86" xfId="0" applyFont="1" applyFill="1" applyBorder="1" applyAlignment="1">
      <alignment vertical="center" readingOrder="2"/>
    </xf>
    <xf numFmtId="0" fontId="65" fillId="3" borderId="3" xfId="0" applyFont="1" applyFill="1" applyBorder="1" applyAlignment="1">
      <alignment horizontal="center" vertical="center" readingOrder="2"/>
    </xf>
    <xf numFmtId="0" fontId="65" fillId="29" borderId="147" xfId="0" applyFont="1" applyFill="1" applyBorder="1" applyAlignment="1">
      <alignment horizontal="center" vertical="center" readingOrder="2"/>
    </xf>
    <xf numFmtId="0" fontId="65" fillId="38" borderId="86" xfId="0" applyFont="1" applyFill="1" applyBorder="1" applyAlignment="1">
      <alignment horizontal="center" vertical="center" readingOrder="2"/>
    </xf>
    <xf numFmtId="0" fontId="65" fillId="6" borderId="3" xfId="0" applyFont="1" applyFill="1" applyBorder="1" applyAlignment="1">
      <alignment horizontal="center" vertical="center" readingOrder="2"/>
    </xf>
    <xf numFmtId="0" fontId="65" fillId="22" borderId="147" xfId="0" applyFont="1" applyFill="1" applyBorder="1" applyAlignment="1">
      <alignment horizontal="center" vertical="center" readingOrder="2"/>
    </xf>
    <xf numFmtId="0" fontId="65" fillId="5" borderId="86" xfId="0" applyFont="1" applyFill="1" applyBorder="1" applyAlignment="1">
      <alignment horizontal="left" vertical="center" readingOrder="2"/>
    </xf>
    <xf numFmtId="0" fontId="68" fillId="0" borderId="70" xfId="0" applyFont="1" applyBorder="1" applyAlignment="1">
      <alignment horizontal="center" vertical="center"/>
    </xf>
    <xf numFmtId="0" fontId="65" fillId="0" borderId="70" xfId="0" applyFont="1" applyBorder="1" applyAlignment="1">
      <alignment horizontal="center" vertical="center"/>
    </xf>
    <xf numFmtId="0" fontId="72" fillId="8" borderId="88" xfId="0" applyFont="1" applyFill="1" applyBorder="1" applyAlignment="1">
      <alignment vertical="center" wrapText="1" readingOrder="2"/>
    </xf>
    <xf numFmtId="0" fontId="66" fillId="3" borderId="4" xfId="0" applyFont="1" applyFill="1" applyBorder="1" applyAlignment="1">
      <alignment horizontal="center" vertical="center" readingOrder="2"/>
    </xf>
    <xf numFmtId="0" fontId="66" fillId="29" borderId="173" xfId="0" applyFont="1" applyFill="1" applyBorder="1" applyAlignment="1">
      <alignment horizontal="center" vertical="center" readingOrder="2"/>
    </xf>
    <xf numFmtId="0" fontId="66" fillId="38" borderId="87" xfId="0" applyFont="1" applyFill="1" applyBorder="1" applyAlignment="1">
      <alignment horizontal="center" vertical="center" readingOrder="2"/>
    </xf>
    <xf numFmtId="0" fontId="66" fillId="6" borderId="4" xfId="0" applyFont="1" applyFill="1" applyBorder="1" applyAlignment="1">
      <alignment horizontal="center" vertical="center" readingOrder="2"/>
    </xf>
    <xf numFmtId="0" fontId="66" fillId="22" borderId="173" xfId="0" applyFont="1" applyFill="1" applyBorder="1" applyAlignment="1">
      <alignment horizontal="center" vertical="center" readingOrder="2"/>
    </xf>
    <xf numFmtId="0" fontId="72" fillId="8" borderId="167" xfId="0" applyFont="1" applyFill="1" applyBorder="1" applyAlignment="1">
      <alignment horizontal="left" vertical="center" wrapText="1" readingOrder="2"/>
    </xf>
    <xf numFmtId="0" fontId="70" fillId="0" borderId="70" xfId="0" applyFont="1" applyBorder="1" applyAlignment="1">
      <alignment horizontal="center" vertical="center"/>
    </xf>
    <xf numFmtId="0" fontId="74" fillId="0" borderId="70" xfId="0" applyFont="1" applyBorder="1" applyAlignment="1">
      <alignment horizontal="center" vertical="center"/>
    </xf>
    <xf numFmtId="0" fontId="73" fillId="0" borderId="70" xfId="0" applyFont="1" applyBorder="1" applyAlignment="1">
      <alignment horizontal="center"/>
    </xf>
    <xf numFmtId="0" fontId="77" fillId="0" borderId="84" xfId="0" applyFont="1" applyBorder="1" applyAlignment="1">
      <alignment horizontal="center" vertical="center"/>
    </xf>
    <xf numFmtId="164" fontId="76" fillId="0" borderId="84" xfId="0" applyNumberFormat="1" applyFont="1" applyBorder="1" applyAlignment="1">
      <alignment horizontal="center" vertical="center"/>
    </xf>
    <xf numFmtId="0" fontId="65" fillId="5" borderId="66" xfId="0" applyFont="1" applyFill="1" applyBorder="1" applyAlignment="1">
      <alignment vertical="center" readingOrder="2"/>
    </xf>
    <xf numFmtId="0" fontId="65" fillId="3" borderId="24" xfId="0" applyFont="1" applyFill="1" applyBorder="1" applyAlignment="1">
      <alignment horizontal="center" vertical="center" readingOrder="2"/>
    </xf>
    <xf numFmtId="0" fontId="65" fillId="29" borderId="93" xfId="0" applyFont="1" applyFill="1" applyBorder="1" applyAlignment="1">
      <alignment horizontal="center" vertical="center" readingOrder="2"/>
    </xf>
    <xf numFmtId="0" fontId="65" fillId="38" borderId="66" xfId="0" applyFont="1" applyFill="1" applyBorder="1" applyAlignment="1">
      <alignment horizontal="center" vertical="center" readingOrder="2"/>
    </xf>
    <xf numFmtId="0" fontId="65" fillId="6" borderId="24" xfId="0" applyFont="1" applyFill="1" applyBorder="1" applyAlignment="1">
      <alignment horizontal="center" vertical="center" readingOrder="2"/>
    </xf>
    <xf numFmtId="0" fontId="65" fillId="22" borderId="93" xfId="0" applyFont="1" applyFill="1" applyBorder="1" applyAlignment="1">
      <alignment horizontal="center" vertical="center" readingOrder="2"/>
    </xf>
    <xf numFmtId="0" fontId="65" fillId="5" borderId="66" xfId="0" applyFont="1" applyFill="1" applyBorder="1" applyAlignment="1">
      <alignment horizontal="left" vertical="center" readingOrder="2"/>
    </xf>
    <xf numFmtId="0" fontId="72" fillId="0" borderId="88" xfId="0" applyFont="1" applyBorder="1" applyAlignment="1">
      <alignment vertical="center" wrapText="1" readingOrder="2"/>
    </xf>
    <xf numFmtId="0" fontId="72" fillId="0" borderId="167" xfId="0" applyFont="1" applyBorder="1" applyAlignment="1">
      <alignment horizontal="left" vertical="center" wrapText="1" readingOrder="2"/>
    </xf>
    <xf numFmtId="0" fontId="72" fillId="39" borderId="88" xfId="0" applyFont="1" applyFill="1" applyBorder="1" applyAlignment="1">
      <alignment vertical="center" wrapText="1" readingOrder="2"/>
    </xf>
    <xf numFmtId="0" fontId="72" fillId="39" borderId="167" xfId="0" applyFont="1" applyFill="1" applyBorder="1" applyAlignment="1">
      <alignment horizontal="left" vertical="center" wrapText="1" readingOrder="2"/>
    </xf>
    <xf numFmtId="0" fontId="66" fillId="0" borderId="4" xfId="0" applyFont="1" applyBorder="1" applyAlignment="1">
      <alignment horizontal="center" vertical="center" readingOrder="2"/>
    </xf>
    <xf numFmtId="0" fontId="66" fillId="0" borderId="173" xfId="0" applyFont="1" applyBorder="1" applyAlignment="1">
      <alignment horizontal="center" vertical="center" readingOrder="2"/>
    </xf>
    <xf numFmtId="0" fontId="66" fillId="0" borderId="87" xfId="0" applyFont="1" applyBorder="1" applyAlignment="1">
      <alignment horizontal="center" vertical="center" readingOrder="2"/>
    </xf>
    <xf numFmtId="0" fontId="66" fillId="27" borderId="50" xfId="0" applyFont="1" applyFill="1" applyBorder="1" applyAlignment="1">
      <alignment horizontal="center" vertical="center" readingOrder="2"/>
    </xf>
    <xf numFmtId="0" fontId="66" fillId="28" borderId="222" xfId="0" applyFont="1" applyFill="1" applyBorder="1" applyAlignment="1">
      <alignment horizontal="center" vertical="center" readingOrder="2"/>
    </xf>
    <xf numFmtId="0" fontId="66" fillId="30" borderId="77" xfId="0" applyFont="1" applyFill="1" applyBorder="1" applyAlignment="1">
      <alignment horizontal="center" vertical="center" readingOrder="2"/>
    </xf>
    <xf numFmtId="0" fontId="66" fillId="35" borderId="50" xfId="0" applyFont="1" applyFill="1" applyBorder="1" applyAlignment="1">
      <alignment horizontal="center" vertical="center" readingOrder="2"/>
    </xf>
    <xf numFmtId="0" fontId="66" fillId="36" borderId="222" xfId="0" applyFont="1" applyFill="1" applyBorder="1" applyAlignment="1">
      <alignment horizontal="center" vertical="center" readingOrder="2"/>
    </xf>
    <xf numFmtId="0" fontId="66" fillId="27" borderId="215" xfId="0" applyFont="1" applyFill="1" applyBorder="1" applyAlignment="1">
      <alignment horizontal="center" vertical="center" readingOrder="2"/>
    </xf>
    <xf numFmtId="0" fontId="66" fillId="28" borderId="223" xfId="0" applyFont="1" applyFill="1" applyBorder="1" applyAlignment="1">
      <alignment horizontal="center" vertical="center" readingOrder="2"/>
    </xf>
    <xf numFmtId="0" fontId="66" fillId="30" borderId="219" xfId="0" applyFont="1" applyFill="1" applyBorder="1" applyAlignment="1">
      <alignment horizontal="center" vertical="center" readingOrder="2"/>
    </xf>
    <xf numFmtId="0" fontId="66" fillId="35" borderId="215" xfId="0" applyFont="1" applyFill="1" applyBorder="1" applyAlignment="1">
      <alignment horizontal="center" vertical="center" readingOrder="2"/>
    </xf>
    <xf numFmtId="0" fontId="66" fillId="36" borderId="223" xfId="0" applyFont="1" applyFill="1" applyBorder="1" applyAlignment="1">
      <alignment horizontal="center" vertical="center" readingOrder="2"/>
    </xf>
    <xf numFmtId="0" fontId="65" fillId="33" borderId="24" xfId="0" applyFont="1" applyFill="1" applyBorder="1" applyAlignment="1">
      <alignment horizontal="center" vertical="center" readingOrder="2"/>
    </xf>
    <xf numFmtId="0" fontId="65" fillId="34" borderId="93" xfId="0" applyFont="1" applyFill="1" applyBorder="1" applyAlignment="1">
      <alignment horizontal="center" vertical="center" readingOrder="2"/>
    </xf>
    <xf numFmtId="0" fontId="65" fillId="37" borderId="66" xfId="0" applyFont="1" applyFill="1" applyBorder="1" applyAlignment="1">
      <alignment horizontal="center" vertical="center" readingOrder="2"/>
    </xf>
    <xf numFmtId="0" fontId="65" fillId="22" borderId="24" xfId="0" applyFont="1" applyFill="1" applyBorder="1" applyAlignment="1">
      <alignment horizontal="center" vertical="center" readingOrder="2"/>
    </xf>
    <xf numFmtId="0" fontId="65" fillId="32" borderId="93" xfId="0" applyFont="1" applyFill="1" applyBorder="1" applyAlignment="1">
      <alignment horizontal="center" vertical="center" readingOrder="2"/>
    </xf>
    <xf numFmtId="0" fontId="68" fillId="0" borderId="94" xfId="0" applyFont="1" applyBorder="1" applyAlignment="1">
      <alignment horizontal="center" vertical="center"/>
    </xf>
    <xf numFmtId="0" fontId="74" fillId="0" borderId="94" xfId="0" applyFont="1" applyBorder="1" applyAlignment="1">
      <alignment horizontal="center" vertical="center"/>
    </xf>
    <xf numFmtId="0" fontId="77" fillId="0" borderId="92" xfId="0" applyFont="1" applyBorder="1" applyAlignment="1">
      <alignment horizontal="center" vertical="center"/>
    </xf>
    <xf numFmtId="164" fontId="76" fillId="0" borderId="71" xfId="0" applyNumberFormat="1" applyFont="1" applyBorder="1" applyAlignment="1">
      <alignment horizontal="center" vertical="center"/>
    </xf>
    <xf numFmtId="0" fontId="68" fillId="0" borderId="136" xfId="0" applyFont="1" applyBorder="1" applyAlignment="1">
      <alignment horizontal="center" vertical="center"/>
    </xf>
    <xf numFmtId="0" fontId="71" fillId="0" borderId="136" xfId="0" applyFont="1" applyBorder="1" applyAlignment="1">
      <alignment horizontal="center" vertical="center"/>
    </xf>
    <xf numFmtId="0" fontId="74" fillId="0" borderId="136" xfId="0" applyFont="1" applyBorder="1" applyAlignment="1">
      <alignment horizontal="center" vertical="center"/>
    </xf>
    <xf numFmtId="0" fontId="77" fillId="0" borderId="143" xfId="0" applyFont="1" applyBorder="1" applyAlignment="1">
      <alignment horizontal="center" vertical="center"/>
    </xf>
    <xf numFmtId="0" fontId="77" fillId="0" borderId="155" xfId="0" applyFont="1" applyBorder="1" applyAlignment="1">
      <alignment horizontal="center" vertical="center"/>
    </xf>
    <xf numFmtId="0" fontId="77" fillId="0" borderId="187" xfId="0" applyFont="1" applyBorder="1" applyAlignment="1">
      <alignment horizontal="center" vertical="center"/>
    </xf>
    <xf numFmtId="0" fontId="77" fillId="0" borderId="187" xfId="1" applyFont="1" applyFill="1" applyBorder="1">
      <alignment horizontal="centerContinuous" vertical="center"/>
    </xf>
    <xf numFmtId="0" fontId="77" fillId="0" borderId="186" xfId="1" applyFont="1" applyFill="1" applyBorder="1">
      <alignment horizontal="centerContinuous" vertical="center"/>
    </xf>
    <xf numFmtId="0" fontId="57" fillId="24" borderId="185" xfId="0" applyFont="1" applyFill="1" applyBorder="1" applyAlignment="1">
      <alignment vertical="center"/>
    </xf>
    <xf numFmtId="0" fontId="57" fillId="24" borderId="72" xfId="0" applyFont="1" applyFill="1" applyBorder="1" applyAlignment="1">
      <alignment vertical="center"/>
    </xf>
    <xf numFmtId="0" fontId="57" fillId="24" borderId="73" xfId="0" applyFont="1" applyFill="1" applyBorder="1" applyAlignment="1">
      <alignment vertical="center"/>
    </xf>
    <xf numFmtId="0" fontId="77" fillId="0" borderId="188" xfId="0" applyFont="1" applyBorder="1" applyAlignment="1">
      <alignment horizontal="center" vertical="center"/>
    </xf>
    <xf numFmtId="0" fontId="77" fillId="0" borderId="189" xfId="0" applyFont="1" applyBorder="1" applyAlignment="1">
      <alignment horizontal="centerContinuous" vertical="center"/>
    </xf>
    <xf numFmtId="0" fontId="77" fillId="0" borderId="190" xfId="0" applyFont="1" applyBorder="1" applyAlignment="1">
      <alignment horizontal="centerContinuous" vertical="center"/>
    </xf>
    <xf numFmtId="0" fontId="65" fillId="5" borderId="82" xfId="0" applyFont="1" applyFill="1" applyBorder="1" applyAlignment="1">
      <alignment horizontal="center" vertical="center"/>
    </xf>
    <xf numFmtId="0" fontId="65" fillId="0" borderId="158" xfId="1" applyFont="1" applyFill="1" applyBorder="1">
      <alignment horizontal="centerContinuous" vertical="center"/>
    </xf>
    <xf numFmtId="0" fontId="69" fillId="0" borderId="158" xfId="1" applyFont="1" applyFill="1" applyBorder="1">
      <alignment horizontal="centerContinuous" vertical="center"/>
    </xf>
    <xf numFmtId="0" fontId="70" fillId="5" borderId="82" xfId="0" applyFont="1" applyFill="1" applyBorder="1" applyAlignment="1">
      <alignment horizontal="center" vertical="center"/>
    </xf>
    <xf numFmtId="0" fontId="73" fillId="5" borderId="82" xfId="0" applyFont="1" applyFill="1" applyBorder="1" applyAlignment="1">
      <alignment horizontal="center"/>
    </xf>
    <xf numFmtId="164" fontId="76" fillId="5" borderId="83" xfId="0" applyNumberFormat="1" applyFont="1" applyFill="1" applyBorder="1" applyAlignment="1">
      <alignment horizontal="center" vertical="center"/>
    </xf>
    <xf numFmtId="0" fontId="77" fillId="0" borderId="149" xfId="0" applyFont="1" applyBorder="1" applyAlignment="1">
      <alignment horizontal="center" vertical="center"/>
    </xf>
    <xf numFmtId="0" fontId="77" fillId="0" borderId="178" xfId="0" applyFont="1" applyBorder="1" applyAlignment="1">
      <alignment horizontal="center" vertical="center"/>
    </xf>
    <xf numFmtId="0" fontId="65" fillId="20" borderId="0" xfId="0" applyFont="1" applyFill="1" applyAlignment="1">
      <alignment horizontal="center" vertical="center"/>
    </xf>
    <xf numFmtId="0" fontId="66" fillId="20" borderId="68" xfId="0" applyFont="1" applyFill="1" applyBorder="1" applyAlignment="1">
      <alignment horizontal="left" vertical="center"/>
    </xf>
    <xf numFmtId="0" fontId="68" fillId="0" borderId="148" xfId="0" applyFont="1" applyBorder="1" applyAlignment="1">
      <alignment horizontal="center" vertical="center"/>
    </xf>
    <xf numFmtId="0" fontId="68" fillId="0" borderId="68" xfId="0" applyFont="1" applyBorder="1" applyAlignment="1">
      <alignment horizontal="center" vertical="center"/>
    </xf>
    <xf numFmtId="0" fontId="65" fillId="0" borderId="0" xfId="1" applyFont="1" applyFill="1" applyBorder="1">
      <alignment horizontal="centerContinuous" vertical="center"/>
    </xf>
    <xf numFmtId="0" fontId="69" fillId="0" borderId="0" xfId="1" applyFont="1" applyFill="1" applyBorder="1">
      <alignment horizontal="centerContinuous" vertical="center"/>
    </xf>
    <xf numFmtId="0" fontId="69" fillId="0" borderId="8" xfId="1" applyFont="1" applyFill="1" applyBorder="1">
      <alignment horizontal="centerContinuous" vertical="center"/>
    </xf>
    <xf numFmtId="0" fontId="66" fillId="20" borderId="94" xfId="0" applyFont="1" applyFill="1" applyBorder="1" applyAlignment="1">
      <alignment horizontal="right" vertical="center"/>
    </xf>
    <xf numFmtId="0" fontId="70" fillId="20" borderId="0" xfId="0" applyFont="1" applyFill="1" applyAlignment="1">
      <alignment horizontal="center" vertical="center"/>
    </xf>
    <xf numFmtId="0" fontId="71" fillId="0" borderId="148" xfId="0" applyFont="1" applyBorder="1" applyAlignment="1">
      <alignment horizontal="center" vertical="center"/>
    </xf>
    <xf numFmtId="0" fontId="73" fillId="20" borderId="0" xfId="0" applyFont="1" applyFill="1" applyAlignment="1">
      <alignment horizontal="center"/>
    </xf>
    <xf numFmtId="0" fontId="66" fillId="20" borderId="68" xfId="0" applyFont="1" applyFill="1" applyBorder="1" applyAlignment="1">
      <alignment horizontal="left" vertical="center" readingOrder="2"/>
    </xf>
    <xf numFmtId="0" fontId="74" fillId="0" borderId="148" xfId="0" applyFont="1" applyBorder="1" applyAlignment="1">
      <alignment horizontal="center" vertical="center"/>
    </xf>
    <xf numFmtId="0" fontId="74" fillId="0" borderId="68" xfId="0" applyFont="1" applyBorder="1" applyAlignment="1">
      <alignment horizontal="center" vertical="center"/>
    </xf>
    <xf numFmtId="0" fontId="66" fillId="20" borderId="94" xfId="0" applyFont="1" applyFill="1" applyBorder="1" applyAlignment="1">
      <alignment horizontal="right" vertical="center" readingOrder="2"/>
    </xf>
    <xf numFmtId="164" fontId="76" fillId="20" borderId="9" xfId="0" applyNumberFormat="1" applyFont="1" applyFill="1" applyBorder="1" applyAlignment="1">
      <alignment horizontal="center" vertical="center"/>
    </xf>
    <xf numFmtId="0" fontId="66" fillId="20" borderId="174" xfId="0" applyFont="1" applyFill="1" applyBorder="1" applyAlignment="1">
      <alignment horizontal="left" vertical="center"/>
    </xf>
    <xf numFmtId="0" fontId="77" fillId="0" borderId="174" xfId="0" applyFont="1" applyBorder="1" applyAlignment="1">
      <alignment horizontal="center" vertical="center"/>
    </xf>
    <xf numFmtId="0" fontId="87" fillId="0" borderId="9" xfId="1" applyFont="1" applyFill="1" applyBorder="1">
      <alignment horizontal="centerContinuous" vertical="center"/>
    </xf>
    <xf numFmtId="0" fontId="66" fillId="0" borderId="9" xfId="1" applyFont="1" applyFill="1" applyBorder="1">
      <alignment horizontal="centerContinuous" vertical="center"/>
    </xf>
    <xf numFmtId="0" fontId="66" fillId="0" borderId="26" xfId="1" applyFont="1" applyFill="1" applyBorder="1">
      <alignment horizontal="centerContinuous" vertical="center"/>
    </xf>
    <xf numFmtId="0" fontId="66" fillId="20" borderId="143" xfId="0" applyFont="1" applyFill="1" applyBorder="1" applyAlignment="1">
      <alignment horizontal="right" vertical="center"/>
    </xf>
    <xf numFmtId="164" fontId="76" fillId="20" borderId="1" xfId="0" applyNumberFormat="1" applyFont="1" applyFill="1" applyBorder="1" applyAlignment="1">
      <alignment horizontal="center" vertical="center"/>
    </xf>
    <xf numFmtId="0" fontId="65" fillId="5" borderId="65" xfId="0" applyFont="1" applyFill="1" applyBorder="1" applyAlignment="1">
      <alignment horizontal="center" vertical="center"/>
    </xf>
    <xf numFmtId="0" fontId="91" fillId="4" borderId="41" xfId="0" applyFont="1" applyFill="1" applyBorder="1" applyAlignment="1">
      <alignment vertical="center"/>
    </xf>
    <xf numFmtId="0" fontId="91" fillId="4" borderId="0" xfId="0" applyFont="1" applyFill="1" applyAlignment="1">
      <alignment vertical="center"/>
    </xf>
    <xf numFmtId="0" fontId="67" fillId="23" borderId="82" xfId="0" applyFont="1" applyFill="1" applyBorder="1" applyAlignment="1">
      <alignment vertical="center"/>
    </xf>
    <xf numFmtId="0" fontId="67" fillId="23" borderId="0" xfId="0" applyFont="1" applyFill="1" applyAlignment="1">
      <alignment vertical="center"/>
    </xf>
    <xf numFmtId="0" fontId="67" fillId="42" borderId="40" xfId="0" applyFont="1" applyFill="1" applyBorder="1" applyAlignment="1">
      <alignment vertical="center"/>
    </xf>
    <xf numFmtId="0" fontId="67" fillId="42" borderId="0" xfId="0" applyFont="1" applyFill="1" applyAlignment="1">
      <alignment vertical="center"/>
    </xf>
    <xf numFmtId="0" fontId="67" fillId="42" borderId="61" xfId="0" applyFont="1" applyFill="1" applyBorder="1" applyAlignment="1">
      <alignment vertical="center"/>
    </xf>
    <xf numFmtId="0" fontId="65" fillId="5" borderId="68" xfId="0" applyFont="1" applyFill="1" applyBorder="1" applyAlignment="1">
      <alignment horizontal="center" vertical="center"/>
    </xf>
    <xf numFmtId="0" fontId="70" fillId="5" borderId="65" xfId="0" applyFont="1" applyFill="1" applyBorder="1" applyAlignment="1">
      <alignment horizontal="center" vertical="center"/>
    </xf>
    <xf numFmtId="0" fontId="67" fillId="13" borderId="0" xfId="0" applyFont="1" applyFill="1" applyAlignment="1">
      <alignment vertical="center"/>
    </xf>
    <xf numFmtId="0" fontId="70" fillId="5" borderId="68" xfId="0" applyFont="1" applyFill="1" applyBorder="1" applyAlignment="1">
      <alignment horizontal="center" vertical="center"/>
    </xf>
    <xf numFmtId="0" fontId="73" fillId="5" borderId="65" xfId="0" applyFont="1" applyFill="1" applyBorder="1" applyAlignment="1">
      <alignment horizontal="center"/>
    </xf>
    <xf numFmtId="0" fontId="67" fillId="23" borderId="82" xfId="0" applyFont="1" applyFill="1" applyBorder="1" applyAlignment="1">
      <alignment horizontal="centerContinuous" vertical="center"/>
    </xf>
    <xf numFmtId="0" fontId="67" fillId="23" borderId="0" xfId="0" applyFont="1" applyFill="1" applyAlignment="1">
      <alignment horizontal="centerContinuous" vertical="center"/>
    </xf>
    <xf numFmtId="0" fontId="67" fillId="42" borderId="40" xfId="1" applyFont="1" applyFill="1" applyBorder="1">
      <alignment horizontal="centerContinuous" vertical="center"/>
    </xf>
    <xf numFmtId="0" fontId="67" fillId="42" borderId="0" xfId="1" applyFont="1" applyFill="1" applyBorder="1">
      <alignment horizontal="centerContinuous" vertical="center"/>
    </xf>
    <xf numFmtId="0" fontId="67" fillId="42" borderId="61" xfId="1" applyFont="1" applyFill="1" applyBorder="1">
      <alignment horizontal="centerContinuous" vertical="center"/>
    </xf>
    <xf numFmtId="0" fontId="73" fillId="5" borderId="68" xfId="0" applyFont="1" applyFill="1" applyBorder="1" applyAlignment="1">
      <alignment horizontal="center"/>
    </xf>
    <xf numFmtId="164" fontId="76" fillId="5" borderId="86" xfId="0" applyNumberFormat="1" applyFont="1" applyFill="1" applyBorder="1" applyAlignment="1">
      <alignment horizontal="center" vertical="center"/>
    </xf>
    <xf numFmtId="0" fontId="91" fillId="4" borderId="70" xfId="0" applyFont="1" applyFill="1" applyBorder="1" applyAlignment="1">
      <alignment vertical="center"/>
    </xf>
    <xf numFmtId="164" fontId="76" fillId="5" borderId="144" xfId="0" applyNumberFormat="1" applyFont="1" applyFill="1" applyBorder="1" applyAlignment="1">
      <alignment horizontal="center" vertical="center"/>
    </xf>
    <xf numFmtId="0" fontId="58" fillId="17" borderId="107" xfId="0" applyFont="1" applyFill="1" applyBorder="1" applyAlignment="1">
      <alignment horizontal="center" vertical="center"/>
    </xf>
    <xf numFmtId="0" fontId="58" fillId="17" borderId="110" xfId="0" applyFont="1" applyFill="1" applyBorder="1" applyAlignment="1">
      <alignment horizontal="center" vertical="center"/>
    </xf>
    <xf numFmtId="0" fontId="67" fillId="17" borderId="57" xfId="0" applyFont="1" applyFill="1" applyBorder="1" applyAlignment="1">
      <alignment horizontal="center" vertical="center" readingOrder="2"/>
    </xf>
    <xf numFmtId="0" fontId="67" fillId="17" borderId="56" xfId="0" applyFont="1" applyFill="1" applyBorder="1" applyAlignment="1">
      <alignment horizontal="center" vertical="center" readingOrder="2"/>
    </xf>
    <xf numFmtId="0" fontId="58" fillId="17" borderId="119" xfId="0" applyFont="1" applyFill="1" applyBorder="1" applyAlignment="1">
      <alignment horizontal="center" vertical="center"/>
    </xf>
    <xf numFmtId="0" fontId="58" fillId="17" borderId="113" xfId="0" applyFont="1" applyFill="1" applyBorder="1" applyAlignment="1">
      <alignment horizontal="center" vertical="center"/>
    </xf>
    <xf numFmtId="164" fontId="66" fillId="0" borderId="8" xfId="0" applyNumberFormat="1" applyFont="1" applyBorder="1" applyAlignment="1">
      <alignment horizontal="center" vertical="center"/>
    </xf>
    <xf numFmtId="0" fontId="57" fillId="17" borderId="108" xfId="0" applyFont="1" applyFill="1" applyBorder="1" applyAlignment="1">
      <alignment horizontal="center" vertical="center"/>
    </xf>
    <xf numFmtId="0" fontId="57" fillId="17" borderId="106" xfId="0" applyFont="1" applyFill="1" applyBorder="1" applyAlignment="1">
      <alignment horizontal="center" vertical="center"/>
    </xf>
    <xf numFmtId="0" fontId="67" fillId="17" borderId="134" xfId="0" applyFont="1" applyFill="1" applyBorder="1" applyAlignment="1">
      <alignment horizontal="center" vertical="center" readingOrder="2"/>
    </xf>
    <xf numFmtId="0" fontId="57" fillId="17" borderId="118" xfId="0" applyFont="1" applyFill="1" applyBorder="1" applyAlignment="1">
      <alignment horizontal="center" vertical="center"/>
    </xf>
    <xf numFmtId="0" fontId="57" fillId="17" borderId="112" xfId="0" applyFont="1" applyFill="1" applyBorder="1" applyAlignment="1">
      <alignment horizontal="center" vertical="center"/>
    </xf>
    <xf numFmtId="0" fontId="57" fillId="17" borderId="107" xfId="0" applyFont="1" applyFill="1" applyBorder="1" applyAlignment="1">
      <alignment horizontal="center" vertical="center"/>
    </xf>
    <xf numFmtId="0" fontId="57" fillId="17" borderId="110" xfId="0" applyFont="1" applyFill="1" applyBorder="1" applyAlignment="1">
      <alignment horizontal="center" vertical="center"/>
    </xf>
    <xf numFmtId="0" fontId="89" fillId="38" borderId="10" xfId="1" applyFont="1" applyFill="1" applyBorder="1" applyAlignment="1">
      <alignment horizontal="center" vertical="center"/>
    </xf>
    <xf numFmtId="0" fontId="57" fillId="17" borderId="119" xfId="0" applyFont="1" applyFill="1" applyBorder="1" applyAlignment="1">
      <alignment horizontal="center" vertical="center"/>
    </xf>
    <xf numFmtId="0" fontId="57" fillId="17" borderId="113" xfId="0" applyFont="1" applyFill="1" applyBorder="1" applyAlignment="1">
      <alignment horizontal="center" vertical="center"/>
    </xf>
    <xf numFmtId="0" fontId="58" fillId="17" borderId="60" xfId="0" applyFont="1" applyFill="1" applyBorder="1" applyAlignment="1">
      <alignment horizontal="center" vertical="center"/>
    </xf>
    <xf numFmtId="0" fontId="58" fillId="17" borderId="57" xfId="0" applyFont="1" applyFill="1" applyBorder="1" applyAlignment="1">
      <alignment horizontal="center" vertical="center"/>
    </xf>
    <xf numFmtId="0" fontId="67" fillId="10" borderId="1" xfId="1" applyFont="1" applyFill="1" applyBorder="1" applyAlignment="1">
      <alignment vertical="center"/>
    </xf>
    <xf numFmtId="0" fontId="58" fillId="17" borderId="61" xfId="0" applyFont="1" applyFill="1" applyBorder="1" applyAlignment="1">
      <alignment horizontal="center" vertical="center"/>
    </xf>
    <xf numFmtId="0" fontId="58" fillId="17" borderId="111" xfId="0" applyFont="1" applyFill="1" applyBorder="1" applyAlignment="1">
      <alignment horizontal="center" vertical="center"/>
    </xf>
    <xf numFmtId="0" fontId="67" fillId="17" borderId="109" xfId="0" applyFont="1" applyFill="1" applyBorder="1" applyAlignment="1">
      <alignment horizontal="center" vertical="center" readingOrder="2"/>
    </xf>
    <xf numFmtId="0" fontId="66" fillId="0" borderId="26" xfId="0" applyFont="1" applyBorder="1" applyAlignment="1">
      <alignment horizontal="center" vertical="center"/>
    </xf>
    <xf numFmtId="0" fontId="89" fillId="31" borderId="1" xfId="1" applyFont="1" applyFill="1" applyBorder="1" applyAlignment="1">
      <alignment vertical="center"/>
    </xf>
    <xf numFmtId="0" fontId="75" fillId="31" borderId="1" xfId="1" applyFont="1" applyFill="1" applyBorder="1" applyAlignment="1">
      <alignment vertical="center"/>
    </xf>
    <xf numFmtId="0" fontId="75" fillId="42" borderId="10" xfId="1" applyFont="1" applyFill="1" applyBorder="1" applyAlignment="1">
      <alignment horizontal="center" vertical="center"/>
    </xf>
    <xf numFmtId="0" fontId="89" fillId="42" borderId="10" xfId="1" applyFont="1" applyFill="1" applyBorder="1" applyAlignment="1">
      <alignment horizontal="center" vertical="center" wrapText="1"/>
    </xf>
    <xf numFmtId="0" fontId="67" fillId="42" borderId="10" xfId="0" applyFont="1" applyFill="1" applyBorder="1" applyAlignment="1">
      <alignment horizontal="center" vertical="center"/>
    </xf>
    <xf numFmtId="0" fontId="67" fillId="8" borderId="36" xfId="0" applyFont="1" applyFill="1" applyBorder="1" applyAlignment="1">
      <alignment horizontal="center" vertical="center"/>
    </xf>
    <xf numFmtId="0" fontId="79" fillId="17" borderId="110" xfId="0" applyFont="1" applyFill="1" applyBorder="1" applyAlignment="1">
      <alignment horizontal="center" vertical="center" textRotation="180"/>
    </xf>
    <xf numFmtId="0" fontId="89" fillId="9" borderId="79" xfId="1" applyFont="1" applyFill="1" applyBorder="1" applyAlignment="1">
      <alignment horizontal="center" vertical="center" wrapText="1"/>
    </xf>
    <xf numFmtId="0" fontId="79" fillId="17" borderId="119" xfId="0" applyFont="1" applyFill="1" applyBorder="1" applyAlignment="1">
      <alignment horizontal="center" vertical="center"/>
    </xf>
    <xf numFmtId="0" fontId="79" fillId="17" borderId="110" xfId="0" applyFont="1" applyFill="1" applyBorder="1" applyAlignment="1">
      <alignment horizontal="center" vertical="center"/>
    </xf>
    <xf numFmtId="0" fontId="67" fillId="17" borderId="61" xfId="0" applyFont="1" applyFill="1" applyBorder="1" applyAlignment="1">
      <alignment horizontal="center" vertical="center"/>
    </xf>
    <xf numFmtId="0" fontId="67" fillId="17" borderId="57" xfId="0" applyFont="1" applyFill="1" applyBorder="1" applyAlignment="1">
      <alignment horizontal="center" vertical="center"/>
    </xf>
    <xf numFmtId="0" fontId="87" fillId="0" borderId="36" xfId="0" applyFont="1" applyBorder="1" applyAlignment="1">
      <alignment horizontal="center" vertical="center"/>
    </xf>
    <xf numFmtId="0" fontId="58" fillId="0" borderId="36" xfId="0" applyFont="1" applyBorder="1" applyAlignment="1">
      <alignment horizontal="center" vertical="center"/>
    </xf>
    <xf numFmtId="0" fontId="65" fillId="0" borderId="36" xfId="0" applyFont="1" applyBorder="1" applyAlignment="1">
      <alignment horizontal="center" vertical="center"/>
    </xf>
    <xf numFmtId="0" fontId="70" fillId="0" borderId="36" xfId="0" applyFont="1" applyBorder="1" applyAlignment="1">
      <alignment horizontal="center" vertical="center"/>
    </xf>
    <xf numFmtId="0" fontId="65" fillId="8" borderId="141" xfId="0" applyFont="1" applyFill="1" applyBorder="1" applyAlignment="1">
      <alignment horizontal="center" vertical="center"/>
    </xf>
    <xf numFmtId="0" fontId="87" fillId="0" borderId="36" xfId="0" applyFont="1" applyBorder="1" applyAlignment="1">
      <alignment horizontal="center" vertical="center"/>
    </xf>
    <xf numFmtId="0" fontId="52" fillId="0" borderId="0" xfId="0" applyFont="1" applyAlignment="1">
      <alignment horizontal="center"/>
    </xf>
    <xf numFmtId="0" fontId="56" fillId="0" borderId="0" xfId="0" applyFont="1" applyAlignment="1">
      <alignment horizontal="center"/>
    </xf>
    <xf numFmtId="0" fontId="64" fillId="0" borderId="166" xfId="0" applyFont="1" applyBorder="1" applyAlignment="1">
      <alignment horizontal="center" vertical="center" wrapText="1" readingOrder="2"/>
    </xf>
    <xf numFmtId="0" fontId="64" fillId="0" borderId="94" xfId="0" applyFont="1" applyBorder="1" applyAlignment="1">
      <alignment horizontal="center" vertical="center" wrapText="1" readingOrder="2"/>
    </xf>
    <xf numFmtId="0" fontId="64" fillId="0" borderId="92" xfId="0" applyFont="1" applyBorder="1" applyAlignment="1">
      <alignment horizontal="center" vertical="center" wrapText="1" readingOrder="2"/>
    </xf>
    <xf numFmtId="0" fontId="67" fillId="17" borderId="59" xfId="0" applyFont="1" applyFill="1" applyBorder="1" applyAlignment="1">
      <alignment horizontal="center" vertical="center" textRotation="180"/>
    </xf>
    <xf numFmtId="0" fontId="67" fillId="17" borderId="60" xfId="0" applyFont="1" applyFill="1" applyBorder="1" applyAlignment="1">
      <alignment horizontal="center" vertical="center" textRotation="180"/>
    </xf>
    <xf numFmtId="0" fontId="67" fillId="17" borderId="108" xfId="0" applyFont="1" applyFill="1" applyBorder="1" applyAlignment="1">
      <alignment horizontal="center" vertical="center" textRotation="180"/>
    </xf>
    <xf numFmtId="0" fontId="67" fillId="17" borderId="58" xfId="0" applyFont="1" applyFill="1" applyBorder="1" applyAlignment="1">
      <alignment horizontal="center" vertical="center" textRotation="180"/>
    </xf>
    <xf numFmtId="0" fontId="67" fillId="17" borderId="57" xfId="0" applyFont="1" applyFill="1" applyBorder="1" applyAlignment="1">
      <alignment horizontal="center" vertical="center" textRotation="180"/>
    </xf>
    <xf numFmtId="0" fontId="67" fillId="17" borderId="106" xfId="0" applyFont="1" applyFill="1" applyBorder="1" applyAlignment="1">
      <alignment horizontal="center" vertical="center" textRotation="180"/>
    </xf>
    <xf numFmtId="0" fontId="67" fillId="17" borderId="180" xfId="0" applyFont="1" applyFill="1" applyBorder="1" applyAlignment="1">
      <alignment horizontal="center" vertical="center" textRotation="180"/>
    </xf>
    <xf numFmtId="0" fontId="67" fillId="17" borderId="148" xfId="0" applyFont="1" applyFill="1" applyBorder="1" applyAlignment="1">
      <alignment horizontal="center" vertical="center" textRotation="180"/>
    </xf>
    <xf numFmtId="0" fontId="67" fillId="17" borderId="181" xfId="0" applyFont="1" applyFill="1" applyBorder="1" applyAlignment="1">
      <alignment horizontal="center" vertical="center" textRotation="180"/>
    </xf>
    <xf numFmtId="0" fontId="67" fillId="17" borderId="61" xfId="0" applyFont="1" applyFill="1" applyBorder="1" applyAlignment="1">
      <alignment horizontal="center" vertical="center" textRotation="90"/>
    </xf>
    <xf numFmtId="0" fontId="67" fillId="17" borderId="118" xfId="0" applyFont="1" applyFill="1" applyBorder="1" applyAlignment="1">
      <alignment horizontal="center" vertical="center" textRotation="90"/>
    </xf>
    <xf numFmtId="0" fontId="67" fillId="17" borderId="57" xfId="0" applyFont="1" applyFill="1" applyBorder="1" applyAlignment="1">
      <alignment horizontal="center" vertical="center" textRotation="90"/>
    </xf>
    <xf numFmtId="0" fontId="67" fillId="17" borderId="106" xfId="0" applyFont="1" applyFill="1" applyBorder="1" applyAlignment="1">
      <alignment horizontal="center" vertical="center" textRotation="90"/>
    </xf>
    <xf numFmtId="0" fontId="67" fillId="17" borderId="58" xfId="0" applyFont="1" applyFill="1" applyBorder="1" applyAlignment="1">
      <alignment horizontal="center" vertical="center" textRotation="90"/>
    </xf>
    <xf numFmtId="0" fontId="67" fillId="17" borderId="111" xfId="0" applyFont="1" applyFill="1" applyBorder="1" applyAlignment="1">
      <alignment horizontal="center" vertical="center" textRotation="90"/>
    </xf>
    <xf numFmtId="0" fontId="67" fillId="17" borderId="112" xfId="0" applyFont="1" applyFill="1" applyBorder="1" applyAlignment="1">
      <alignment horizontal="center" vertical="center" textRotation="90"/>
    </xf>
    <xf numFmtId="0" fontId="64" fillId="0" borderId="68" xfId="0" applyFont="1" applyBorder="1" applyAlignment="1">
      <alignment horizontal="center" vertical="center" wrapText="1" readingOrder="2"/>
    </xf>
    <xf numFmtId="0" fontId="64" fillId="0" borderId="174" xfId="0" applyFont="1" applyBorder="1" applyAlignment="1">
      <alignment horizontal="center" vertical="center" wrapText="1" readingOrder="2"/>
    </xf>
    <xf numFmtId="0" fontId="64" fillId="5" borderId="94" xfId="0" applyFont="1" applyFill="1" applyBorder="1" applyAlignment="1">
      <alignment horizontal="center" vertical="center" wrapText="1" readingOrder="2"/>
    </xf>
    <xf numFmtId="0" fontId="64" fillId="5" borderId="143" xfId="0" applyFont="1" applyFill="1" applyBorder="1" applyAlignment="1">
      <alignment horizontal="center" vertical="center" wrapText="1" readingOrder="2"/>
    </xf>
    <xf numFmtId="0" fontId="64" fillId="5" borderId="92" xfId="0" applyFont="1" applyFill="1" applyBorder="1" applyAlignment="1">
      <alignment horizontal="center" vertical="center" wrapText="1" readingOrder="2"/>
    </xf>
    <xf numFmtId="0" fontId="67" fillId="17" borderId="107" xfId="0" applyFont="1" applyFill="1" applyBorder="1" applyAlignment="1">
      <alignment horizontal="center" vertical="center" textRotation="180"/>
    </xf>
    <xf numFmtId="0" fontId="67" fillId="17" borderId="110" xfId="0" applyFont="1" applyFill="1" applyBorder="1" applyAlignment="1">
      <alignment horizontal="center" vertical="center" textRotation="180"/>
    </xf>
    <xf numFmtId="0" fontId="68" fillId="0" borderId="0" xfId="1" applyFont="1" applyFill="1" applyBorder="1" applyAlignment="1">
      <alignment horizontal="center" vertical="center"/>
    </xf>
    <xf numFmtId="0" fontId="68" fillId="0" borderId="70" xfId="1" applyFont="1" applyFill="1" applyBorder="1" applyAlignment="1">
      <alignment horizontal="center" vertical="center"/>
    </xf>
    <xf numFmtId="0" fontId="78" fillId="0" borderId="82" xfId="1" applyFont="1" applyFill="1" applyBorder="1" applyAlignment="1">
      <alignment horizontal="center" vertical="center"/>
    </xf>
    <xf numFmtId="0" fontId="78" fillId="0" borderId="0" xfId="1" applyFont="1" applyFill="1" applyBorder="1" applyAlignment="1">
      <alignment horizontal="center" vertical="center"/>
    </xf>
    <xf numFmtId="0" fontId="78" fillId="0" borderId="61" xfId="1" applyFont="1" applyFill="1" applyBorder="1" applyAlignment="1">
      <alignment horizontal="center" vertical="center"/>
    </xf>
    <xf numFmtId="0" fontId="78" fillId="0" borderId="49" xfId="0" applyFont="1" applyBorder="1" applyAlignment="1">
      <alignment horizontal="center" vertical="center"/>
    </xf>
    <xf numFmtId="0" fontId="78" fillId="0" borderId="70" xfId="0" applyFont="1" applyBorder="1" applyAlignment="1">
      <alignment horizontal="center" vertical="center"/>
    </xf>
    <xf numFmtId="0" fontId="68" fillId="0" borderId="82" xfId="0" applyFont="1" applyBorder="1" applyAlignment="1">
      <alignment horizontal="center" vertical="center"/>
    </xf>
    <xf numFmtId="0" fontId="68" fillId="0" borderId="0" xfId="0" applyFont="1" applyAlignment="1">
      <alignment horizontal="center" vertical="center"/>
    </xf>
    <xf numFmtId="0" fontId="68" fillId="0" borderId="61" xfId="0" applyFont="1" applyBorder="1" applyAlignment="1">
      <alignment horizontal="center" vertical="center"/>
    </xf>
    <xf numFmtId="0" fontId="67" fillId="17" borderId="110" xfId="0" applyFont="1" applyFill="1" applyBorder="1" applyAlignment="1">
      <alignment horizontal="center" vertical="center" textRotation="90"/>
    </xf>
    <xf numFmtId="0" fontId="67" fillId="17" borderId="113" xfId="0" applyFont="1" applyFill="1" applyBorder="1" applyAlignment="1">
      <alignment horizontal="center" vertical="center" textRotation="90"/>
    </xf>
    <xf numFmtId="0" fontId="82" fillId="0" borderId="194" xfId="0" applyFont="1" applyBorder="1" applyAlignment="1">
      <alignment horizontal="center" vertical="center"/>
    </xf>
    <xf numFmtId="0" fontId="82" fillId="0" borderId="71" xfId="0" applyFont="1" applyBorder="1" applyAlignment="1">
      <alignment horizontal="center" vertical="center"/>
    </xf>
    <xf numFmtId="0" fontId="77" fillId="0" borderId="195" xfId="0" applyFont="1" applyBorder="1" applyAlignment="1">
      <alignment horizontal="center" vertical="center"/>
    </xf>
    <xf numFmtId="0" fontId="77" fillId="0" borderId="9" xfId="0" applyFont="1" applyBorder="1" applyAlignment="1">
      <alignment horizontal="center" vertical="center"/>
    </xf>
    <xf numFmtId="0" fontId="77" fillId="0" borderId="126" xfId="0" applyFont="1" applyBorder="1" applyAlignment="1">
      <alignment horizontal="center" vertical="center"/>
    </xf>
    <xf numFmtId="0" fontId="64" fillId="5" borderId="68" xfId="0" applyFont="1" applyFill="1" applyBorder="1" applyAlignment="1">
      <alignment horizontal="center" vertical="center" wrapText="1" readingOrder="2"/>
    </xf>
    <xf numFmtId="0" fontId="64" fillId="5" borderId="144" xfId="0" applyFont="1" applyFill="1" applyBorder="1" applyAlignment="1">
      <alignment horizontal="center" vertical="center" wrapText="1" readingOrder="2"/>
    </xf>
    <xf numFmtId="0" fontId="64" fillId="5" borderId="174" xfId="0" applyFont="1" applyFill="1" applyBorder="1" applyAlignment="1">
      <alignment horizontal="center" vertical="center" wrapText="1" readingOrder="2"/>
    </xf>
    <xf numFmtId="0" fontId="74" fillId="0" borderId="0" xfId="1" applyFont="1" applyFill="1" applyBorder="1" applyAlignment="1">
      <alignment horizontal="center" vertical="center"/>
    </xf>
    <xf numFmtId="0" fontId="74" fillId="0" borderId="70" xfId="1" applyFont="1" applyFill="1" applyBorder="1" applyAlignment="1">
      <alignment horizontal="center" vertical="center"/>
    </xf>
    <xf numFmtId="0" fontId="81" fillId="0" borderId="82" xfId="1" applyFont="1" applyFill="1" applyBorder="1" applyAlignment="1">
      <alignment horizontal="center" vertical="center"/>
    </xf>
    <xf numFmtId="0" fontId="81" fillId="0" borderId="0" xfId="1" applyFont="1" applyFill="1" applyBorder="1" applyAlignment="1">
      <alignment horizontal="center" vertical="center"/>
    </xf>
    <xf numFmtId="0" fontId="81" fillId="0" borderId="61" xfId="1" applyFont="1" applyFill="1" applyBorder="1" applyAlignment="1">
      <alignment horizontal="center" vertical="center"/>
    </xf>
    <xf numFmtId="0" fontId="68" fillId="0" borderId="65" xfId="0" applyFont="1" applyBorder="1" applyAlignment="1">
      <alignment horizontal="center" vertical="center"/>
    </xf>
    <xf numFmtId="0" fontId="68" fillId="0" borderId="86" xfId="0" applyFont="1" applyBorder="1" applyAlignment="1">
      <alignment horizontal="center" vertical="center"/>
    </xf>
    <xf numFmtId="0" fontId="68" fillId="45" borderId="82" xfId="0" applyFont="1" applyFill="1" applyBorder="1" applyAlignment="1">
      <alignment horizontal="center" vertical="center"/>
    </xf>
    <xf numFmtId="0" fontId="68" fillId="45" borderId="83" xfId="0" applyFont="1" applyFill="1" applyBorder="1" applyAlignment="1">
      <alignment horizontal="center" vertical="center"/>
    </xf>
    <xf numFmtId="0" fontId="68" fillId="0" borderId="192" xfId="0" applyFont="1" applyBorder="1" applyAlignment="1">
      <alignment horizontal="center" vertical="center"/>
    </xf>
    <xf numFmtId="0" fontId="68" fillId="0" borderId="193" xfId="0" applyFont="1" applyBorder="1" applyAlignment="1">
      <alignment horizontal="center" vertical="center"/>
    </xf>
    <xf numFmtId="0" fontId="81" fillId="0" borderId="49" xfId="0" applyFont="1" applyBorder="1" applyAlignment="1">
      <alignment horizontal="center" vertical="center"/>
    </xf>
    <xf numFmtId="0" fontId="81" fillId="0" borderId="70" xfId="0" applyFont="1" applyBorder="1" applyAlignment="1">
      <alignment horizontal="center" vertical="center"/>
    </xf>
    <xf numFmtId="0" fontId="74" fillId="0" borderId="82" xfId="0" applyFont="1" applyBorder="1" applyAlignment="1">
      <alignment horizontal="center" vertical="center"/>
    </xf>
    <xf numFmtId="0" fontId="74" fillId="0" borderId="0" xfId="0" applyFont="1" applyAlignment="1">
      <alignment horizontal="center" vertical="center"/>
    </xf>
    <xf numFmtId="0" fontId="74" fillId="0" borderId="61" xfId="0" applyFont="1" applyBorder="1" applyAlignment="1">
      <alignment horizontal="center" vertical="center"/>
    </xf>
    <xf numFmtId="0" fontId="77" fillId="0" borderId="1" xfId="1" applyFont="1" applyFill="1" applyBorder="1" applyAlignment="1">
      <alignment horizontal="center" vertical="center"/>
    </xf>
    <xf numFmtId="0" fontId="77" fillId="0" borderId="84" xfId="1" applyFont="1" applyFill="1" applyBorder="1" applyAlignment="1">
      <alignment horizontal="center" vertical="center"/>
    </xf>
    <xf numFmtId="0" fontId="82" fillId="0" borderId="83" xfId="1" applyFont="1" applyFill="1" applyBorder="1" applyAlignment="1">
      <alignment horizontal="center" vertical="center"/>
    </xf>
    <xf numFmtId="0" fontId="82" fillId="0" borderId="1" xfId="1" applyFont="1" applyFill="1" applyBorder="1" applyAlignment="1">
      <alignment horizontal="center" vertical="center"/>
    </xf>
    <xf numFmtId="0" fontId="82" fillId="0" borderId="129" xfId="1" applyFont="1" applyFill="1" applyBorder="1" applyAlignment="1">
      <alignment horizontal="center" vertical="center"/>
    </xf>
    <xf numFmtId="0" fontId="82" fillId="0" borderId="138" xfId="0" applyFont="1" applyBorder="1" applyAlignment="1">
      <alignment horizontal="center" vertical="center"/>
    </xf>
    <xf numFmtId="0" fontId="82" fillId="0" borderId="84" xfId="0" applyFont="1" applyBorder="1" applyAlignment="1">
      <alignment horizontal="center" vertical="center"/>
    </xf>
    <xf numFmtId="0" fontId="77" fillId="0" borderId="83" xfId="0" applyFont="1" applyBorder="1" applyAlignment="1">
      <alignment horizontal="center" vertical="center"/>
    </xf>
    <xf numFmtId="0" fontId="77" fillId="0" borderId="1" xfId="0" applyFont="1" applyBorder="1" applyAlignment="1">
      <alignment horizontal="center" vertical="center"/>
    </xf>
    <xf numFmtId="0" fontId="77" fillId="0" borderId="129" xfId="0" applyFont="1" applyBorder="1" applyAlignment="1">
      <alignment horizontal="center" vertical="center"/>
    </xf>
    <xf numFmtId="0" fontId="77" fillId="0" borderId="194" xfId="1" applyFont="1" applyFill="1" applyBorder="1" applyAlignment="1">
      <alignment horizontal="center" vertical="center"/>
    </xf>
    <xf numFmtId="0" fontId="77" fillId="0" borderId="9" xfId="1" applyFont="1" applyFill="1" applyBorder="1" applyAlignment="1">
      <alignment horizontal="center" vertical="center"/>
    </xf>
    <xf numFmtId="0" fontId="77" fillId="0" borderId="71" xfId="1" applyFont="1" applyFill="1" applyBorder="1" applyAlignment="1">
      <alignment horizontal="center" vertical="center"/>
    </xf>
    <xf numFmtId="0" fontId="82" fillId="0" borderId="195" xfId="1" applyFont="1" applyFill="1" applyBorder="1" applyAlignment="1">
      <alignment horizontal="center" vertical="center"/>
    </xf>
    <xf numFmtId="0" fontId="82" fillId="0" borderId="9" xfId="1" applyFont="1" applyFill="1" applyBorder="1" applyAlignment="1">
      <alignment horizontal="center" vertical="center"/>
    </xf>
    <xf numFmtId="0" fontId="82" fillId="0" borderId="126" xfId="1" applyFont="1" applyFill="1" applyBorder="1" applyAlignment="1">
      <alignment horizontal="center" vertical="center"/>
    </xf>
    <xf numFmtId="0" fontId="64" fillId="0" borderId="143" xfId="0" applyFont="1" applyBorder="1" applyAlignment="1">
      <alignment horizontal="center" vertical="center" wrapText="1" readingOrder="2"/>
    </xf>
    <xf numFmtId="0" fontId="64" fillId="0" borderId="144" xfId="0" applyFont="1" applyBorder="1" applyAlignment="1">
      <alignment horizontal="center" vertical="center" wrapText="1" readingOrder="2"/>
    </xf>
    <xf numFmtId="0" fontId="68" fillId="25" borderId="29" xfId="0" applyFont="1" applyFill="1" applyBorder="1" applyAlignment="1">
      <alignment horizontal="center" vertical="center" wrapText="1"/>
    </xf>
    <xf numFmtId="0" fontId="68" fillId="25" borderId="30" xfId="0" applyFont="1" applyFill="1" applyBorder="1" applyAlignment="1">
      <alignment horizontal="center" vertical="center" wrapText="1"/>
    </xf>
    <xf numFmtId="0" fontId="85" fillId="30" borderId="32" xfId="0" applyFont="1" applyFill="1" applyBorder="1" applyAlignment="1">
      <alignment horizontal="center" vertical="center" wrapText="1"/>
    </xf>
    <xf numFmtId="0" fontId="85" fillId="30" borderId="34" xfId="0" applyFont="1" applyFill="1" applyBorder="1" applyAlignment="1">
      <alignment horizontal="center" vertical="center" wrapText="1"/>
    </xf>
    <xf numFmtId="0" fontId="85" fillId="30" borderId="33" xfId="0" applyFont="1" applyFill="1" applyBorder="1" applyAlignment="1">
      <alignment horizontal="center" vertical="center" wrapText="1"/>
    </xf>
    <xf numFmtId="0" fontId="68" fillId="25" borderId="31" xfId="0" applyFont="1" applyFill="1" applyBorder="1" applyAlignment="1">
      <alignment horizontal="center" vertical="center" wrapText="1"/>
    </xf>
    <xf numFmtId="0" fontId="87" fillId="5" borderId="165" xfId="0" applyFont="1" applyFill="1" applyBorder="1" applyAlignment="1">
      <alignment horizontal="center" vertical="center" wrapText="1"/>
    </xf>
    <xf numFmtId="0" fontId="87" fillId="5" borderId="143" xfId="0" applyFont="1" applyFill="1" applyBorder="1" applyAlignment="1">
      <alignment horizontal="center" vertical="center" wrapText="1"/>
    </xf>
    <xf numFmtId="0" fontId="65" fillId="28" borderId="76" xfId="0" applyFont="1" applyFill="1" applyBorder="1" applyAlignment="1">
      <alignment horizontal="center" vertical="center" wrapText="1"/>
    </xf>
    <xf numFmtId="0" fontId="65" fillId="28" borderId="18" xfId="0" applyFont="1" applyFill="1" applyBorder="1" applyAlignment="1">
      <alignment horizontal="center" vertical="center" wrapText="1"/>
    </xf>
    <xf numFmtId="0" fontId="65" fillId="27" borderId="98" xfId="0" applyFont="1" applyFill="1" applyBorder="1" applyAlignment="1">
      <alignment horizontal="center" vertical="center"/>
    </xf>
    <xf numFmtId="0" fontId="65" fillId="27" borderId="84" xfId="0" applyFont="1" applyFill="1" applyBorder="1" applyAlignment="1">
      <alignment horizontal="center" vertical="center"/>
    </xf>
    <xf numFmtId="0" fontId="87" fillId="5" borderId="162" xfId="0" applyFont="1" applyFill="1" applyBorder="1" applyAlignment="1">
      <alignment horizontal="center" vertical="center" wrapText="1"/>
    </xf>
    <xf numFmtId="0" fontId="87" fillId="5" borderId="7" xfId="0" applyFont="1" applyFill="1" applyBorder="1" applyAlignment="1">
      <alignment horizontal="center" vertical="center" wrapText="1"/>
    </xf>
    <xf numFmtId="0" fontId="65" fillId="5" borderId="165" xfId="0" applyFont="1" applyFill="1" applyBorder="1" applyAlignment="1">
      <alignment horizontal="center" vertical="center" wrapText="1"/>
    </xf>
    <xf numFmtId="0" fontId="65" fillId="5" borderId="88" xfId="0" applyFont="1" applyFill="1" applyBorder="1" applyAlignment="1">
      <alignment horizontal="center" vertical="center" wrapText="1"/>
    </xf>
    <xf numFmtId="0" fontId="69" fillId="3" borderId="168" xfId="0" applyFont="1" applyFill="1" applyBorder="1" applyAlignment="1">
      <alignment horizontal="center" vertical="center" wrapText="1"/>
    </xf>
    <xf numFmtId="0" fontId="69" fillId="3" borderId="80" xfId="0" applyFont="1" applyFill="1" applyBorder="1" applyAlignment="1">
      <alignment horizontal="center" vertical="center" wrapText="1"/>
    </xf>
    <xf numFmtId="0" fontId="69" fillId="29" borderId="76" xfId="0" applyFont="1" applyFill="1" applyBorder="1" applyAlignment="1">
      <alignment horizontal="center" vertical="center" wrapText="1"/>
    </xf>
    <xf numFmtId="0" fontId="69" fillId="29" borderId="2" xfId="0" applyFont="1" applyFill="1" applyBorder="1" applyAlignment="1">
      <alignment horizontal="center" vertical="center" wrapText="1"/>
    </xf>
    <xf numFmtId="0" fontId="69" fillId="6" borderId="98" xfId="0" applyFont="1" applyFill="1" applyBorder="1" applyAlignment="1">
      <alignment horizontal="center" vertical="center" wrapText="1"/>
    </xf>
    <xf numFmtId="0" fontId="69" fillId="6" borderId="90" xfId="0" applyFont="1" applyFill="1" applyBorder="1" applyAlignment="1">
      <alignment horizontal="center" vertical="center" wrapText="1"/>
    </xf>
    <xf numFmtId="0" fontId="69" fillId="9" borderId="97"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5" fillId="31" borderId="164" xfId="0" applyFont="1" applyFill="1" applyBorder="1" applyAlignment="1">
      <alignment horizontal="center" vertical="center" wrapText="1"/>
    </xf>
    <xf numFmtId="0" fontId="65" fillId="31" borderId="163" xfId="0" applyFont="1" applyFill="1" applyBorder="1" applyAlignment="1">
      <alignment horizontal="center" vertical="center" wrapText="1"/>
    </xf>
    <xf numFmtId="0" fontId="69" fillId="9" borderId="165" xfId="0" applyFont="1" applyFill="1" applyBorder="1" applyAlignment="1">
      <alignment horizontal="center" vertical="center" wrapText="1"/>
    </xf>
    <xf numFmtId="0" fontId="69" fillId="9" borderId="88" xfId="0" applyFont="1" applyFill="1" applyBorder="1" applyAlignment="1">
      <alignment horizontal="center" vertical="center" wrapText="1"/>
    </xf>
    <xf numFmtId="0" fontId="65" fillId="27" borderId="168" xfId="0" applyFont="1" applyFill="1" applyBorder="1" applyAlignment="1">
      <alignment horizontal="center" vertical="center" wrapText="1"/>
    </xf>
    <xf numFmtId="0" fontId="65" fillId="27" borderId="146" xfId="0" applyFont="1" applyFill="1" applyBorder="1" applyAlignment="1">
      <alignment horizontal="center" vertical="center" wrapText="1"/>
    </xf>
    <xf numFmtId="0" fontId="65" fillId="22" borderId="98" xfId="0" applyFont="1" applyFill="1" applyBorder="1" applyAlignment="1">
      <alignment horizontal="center" vertical="center" wrapText="1"/>
    </xf>
    <xf numFmtId="0" fontId="65" fillId="22" borderId="84" xfId="0" applyFont="1" applyFill="1" applyBorder="1" applyAlignment="1">
      <alignment horizontal="center" vertical="center" wrapText="1"/>
    </xf>
    <xf numFmtId="0" fontId="65" fillId="8" borderId="162" xfId="0" applyFont="1" applyFill="1" applyBorder="1" applyAlignment="1">
      <alignment horizontal="center" vertical="center" wrapText="1"/>
    </xf>
    <xf numFmtId="0" fontId="65" fillId="8" borderId="7" xfId="0" applyFont="1" applyFill="1" applyBorder="1" applyAlignment="1">
      <alignment horizontal="center" vertical="center" wrapText="1"/>
    </xf>
    <xf numFmtId="0" fontId="65" fillId="8" borderId="165" xfId="0" applyFont="1" applyFill="1" applyBorder="1" applyAlignment="1">
      <alignment horizontal="center" vertical="center" wrapText="1"/>
    </xf>
    <xf numFmtId="0" fontId="65" fillId="8" borderId="143" xfId="0" applyFont="1" applyFill="1" applyBorder="1" applyAlignment="1">
      <alignment horizontal="center" vertical="center" wrapText="1"/>
    </xf>
    <xf numFmtId="0" fontId="65" fillId="22" borderId="168" xfId="0" applyFont="1" applyFill="1" applyBorder="1" applyAlignment="1">
      <alignment horizontal="center" vertical="center" wrapText="1"/>
    </xf>
    <xf numFmtId="0" fontId="65" fillId="22" borderId="146" xfId="0" applyFont="1" applyFill="1" applyBorder="1" applyAlignment="1">
      <alignment horizontal="center" vertical="center" wrapText="1"/>
    </xf>
    <xf numFmtId="0" fontId="69" fillId="6" borderId="171" xfId="0" applyFont="1" applyFill="1" applyBorder="1" applyAlignment="1">
      <alignment horizontal="center" vertical="center" wrapText="1"/>
    </xf>
    <xf numFmtId="0" fontId="69" fillId="6" borderId="173" xfId="0" applyFont="1" applyFill="1" applyBorder="1" applyAlignment="1">
      <alignment horizontal="center" vertical="center" wrapText="1"/>
    </xf>
    <xf numFmtId="0" fontId="69" fillId="9" borderId="170" xfId="0" applyFont="1" applyFill="1" applyBorder="1" applyAlignment="1">
      <alignment horizontal="center" vertical="center" wrapText="1"/>
    </xf>
    <xf numFmtId="0" fontId="69" fillId="9" borderId="172" xfId="0" applyFont="1" applyFill="1" applyBorder="1" applyAlignment="1">
      <alignment horizontal="center" vertical="center" wrapText="1"/>
    </xf>
    <xf numFmtId="0" fontId="69" fillId="6" borderId="168" xfId="0" applyFont="1" applyFill="1" applyBorder="1" applyAlignment="1">
      <alignment horizontal="center" vertical="center" wrapText="1"/>
    </xf>
    <xf numFmtId="0" fontId="69" fillId="6" borderId="80" xfId="0" applyFont="1" applyFill="1" applyBorder="1" applyAlignment="1">
      <alignment horizontal="center" vertical="center" wrapText="1"/>
    </xf>
    <xf numFmtId="0" fontId="69" fillId="3" borderId="98" xfId="0" applyFont="1" applyFill="1" applyBorder="1" applyAlignment="1">
      <alignment horizontal="center" vertical="center" wrapText="1"/>
    </xf>
    <xf numFmtId="0" fontId="69" fillId="3" borderId="90" xfId="0" applyFont="1" applyFill="1" applyBorder="1" applyAlignment="1">
      <alignment horizontal="center" vertical="center" wrapText="1"/>
    </xf>
    <xf numFmtId="0" fontId="65" fillId="5" borderId="162" xfId="0" applyFont="1" applyFill="1" applyBorder="1" applyAlignment="1">
      <alignment horizontal="center" vertical="center" wrapText="1"/>
    </xf>
    <xf numFmtId="0" fontId="65" fillId="5" borderId="167" xfId="0" applyFont="1" applyFill="1" applyBorder="1" applyAlignment="1">
      <alignment horizontal="center" vertical="center" wrapText="1"/>
    </xf>
    <xf numFmtId="0" fontId="69" fillId="3" borderId="171" xfId="0" applyFont="1" applyFill="1" applyBorder="1" applyAlignment="1">
      <alignment horizontal="center" vertical="center" wrapText="1"/>
    </xf>
    <xf numFmtId="0" fontId="69" fillId="3" borderId="173" xfId="0" applyFont="1" applyFill="1" applyBorder="1" applyAlignment="1">
      <alignment horizontal="center" vertical="center" wrapText="1"/>
    </xf>
    <xf numFmtId="0" fontId="65" fillId="5" borderId="170" xfId="0" applyFont="1" applyFill="1" applyBorder="1" applyAlignment="1">
      <alignment horizontal="center" vertical="center" wrapText="1"/>
    </xf>
    <xf numFmtId="0" fontId="65" fillId="5" borderId="172" xfId="0" applyFont="1" applyFill="1" applyBorder="1" applyAlignment="1">
      <alignment horizontal="center" vertical="center" wrapText="1"/>
    </xf>
    <xf numFmtId="0" fontId="65" fillId="5" borderId="143" xfId="0" applyFont="1" applyFill="1" applyBorder="1" applyAlignment="1">
      <alignment horizontal="center" vertical="center" wrapText="1"/>
    </xf>
    <xf numFmtId="0" fontId="69" fillId="3" borderId="146" xfId="0" applyFont="1" applyFill="1" applyBorder="1" applyAlignment="1">
      <alignment horizontal="center" vertical="center" wrapText="1"/>
    </xf>
    <xf numFmtId="0" fontId="69" fillId="29" borderId="18" xfId="0" applyFont="1" applyFill="1" applyBorder="1" applyAlignment="1">
      <alignment horizontal="center" vertical="center" wrapText="1"/>
    </xf>
    <xf numFmtId="0" fontId="69" fillId="6" borderId="147" xfId="0" applyFont="1" applyFill="1" applyBorder="1" applyAlignment="1">
      <alignment horizontal="center" vertical="center" wrapText="1"/>
    </xf>
    <xf numFmtId="0" fontId="69" fillId="9" borderId="144" xfId="0" applyFont="1" applyFill="1" applyBorder="1" applyAlignment="1">
      <alignment horizontal="center" vertical="center" wrapText="1"/>
    </xf>
    <xf numFmtId="0" fontId="65" fillId="31" borderId="161" xfId="0" applyFont="1" applyFill="1" applyBorder="1" applyAlignment="1">
      <alignment horizontal="center" vertical="center" wrapText="1"/>
    </xf>
    <xf numFmtId="0" fontId="69" fillId="9" borderId="143" xfId="0" applyFont="1" applyFill="1" applyBorder="1" applyAlignment="1">
      <alignment horizontal="center" vertical="center" wrapText="1"/>
    </xf>
    <xf numFmtId="0" fontId="69" fillId="6" borderId="146" xfId="0" applyFont="1" applyFill="1" applyBorder="1" applyAlignment="1">
      <alignment horizontal="center" vertical="center" wrapText="1"/>
    </xf>
    <xf numFmtId="0" fontId="69" fillId="3" borderId="147" xfId="0" applyFont="1" applyFill="1" applyBorder="1" applyAlignment="1">
      <alignment horizontal="center" vertical="center" wrapText="1"/>
    </xf>
    <xf numFmtId="0" fontId="65" fillId="5" borderId="144" xfId="0" applyFont="1" applyFill="1" applyBorder="1" applyAlignment="1">
      <alignment horizontal="center" vertical="center" wrapText="1"/>
    </xf>
    <xf numFmtId="0" fontId="58" fillId="17" borderId="116" xfId="0" applyFont="1" applyFill="1" applyBorder="1" applyAlignment="1">
      <alignment horizontal="center" vertical="center"/>
    </xf>
    <xf numFmtId="0" fontId="58" fillId="17" borderId="117" xfId="0" applyFont="1" applyFill="1" applyBorder="1" applyAlignment="1">
      <alignment horizontal="center" vertical="center"/>
    </xf>
    <xf numFmtId="0" fontId="58" fillId="17" borderId="115" xfId="0" applyFont="1" applyFill="1" applyBorder="1" applyAlignment="1">
      <alignment horizontal="center" vertical="center"/>
    </xf>
    <xf numFmtId="0" fontId="88" fillId="17" borderId="110" xfId="0" applyFont="1" applyFill="1" applyBorder="1" applyAlignment="1">
      <alignment horizontal="center" vertical="center"/>
    </xf>
    <xf numFmtId="0" fontId="88" fillId="17" borderId="57" xfId="0" applyFont="1" applyFill="1" applyBorder="1" applyAlignment="1">
      <alignment horizontal="center" vertical="center"/>
    </xf>
    <xf numFmtId="0" fontId="88" fillId="17" borderId="106" xfId="0" applyFont="1" applyFill="1" applyBorder="1" applyAlignment="1">
      <alignment horizontal="center" vertical="center"/>
    </xf>
    <xf numFmtId="0" fontId="65" fillId="5" borderId="166" xfId="0" applyFont="1" applyFill="1" applyBorder="1" applyAlignment="1">
      <alignment horizontal="center" vertical="center" wrapText="1"/>
    </xf>
    <xf numFmtId="0" fontId="65" fillId="5" borderId="92" xfId="0" applyFont="1" applyFill="1" applyBorder="1" applyAlignment="1">
      <alignment horizontal="center" vertical="center" wrapText="1"/>
    </xf>
    <xf numFmtId="0" fontId="65" fillId="27" borderId="28" xfId="0" applyFont="1" applyFill="1" applyBorder="1" applyAlignment="1">
      <alignment horizontal="center" vertical="center" wrapText="1"/>
    </xf>
    <xf numFmtId="0" fontId="65" fillId="27" borderId="24" xfId="0" applyFont="1" applyFill="1" applyBorder="1" applyAlignment="1">
      <alignment horizontal="center" vertical="center" wrapText="1"/>
    </xf>
    <xf numFmtId="0" fontId="65" fillId="28" borderId="153" xfId="0" applyFont="1" applyFill="1" applyBorder="1" applyAlignment="1">
      <alignment horizontal="center" vertical="center" wrapText="1"/>
    </xf>
    <xf numFmtId="0" fontId="65" fillId="28" borderId="25" xfId="0" applyFont="1" applyFill="1" applyBorder="1" applyAlignment="1">
      <alignment horizontal="center" vertical="center" wrapText="1"/>
    </xf>
    <xf numFmtId="0" fontId="65" fillId="22" borderId="151" xfId="0" applyFont="1" applyFill="1" applyBorder="1" applyAlignment="1">
      <alignment horizontal="center" vertical="center" wrapText="1"/>
    </xf>
    <xf numFmtId="0" fontId="65" fillId="22" borderId="93" xfId="0" applyFont="1" applyFill="1" applyBorder="1" applyAlignment="1">
      <alignment horizontal="center" vertical="center" wrapText="1"/>
    </xf>
    <xf numFmtId="0" fontId="65" fillId="8" borderId="13" xfId="0" applyFont="1" applyFill="1" applyBorder="1" applyAlignment="1">
      <alignment horizontal="center" vertical="center" wrapText="1"/>
    </xf>
    <xf numFmtId="0" fontId="65" fillId="8" borderId="9" xfId="0" applyFont="1" applyFill="1" applyBorder="1" applyAlignment="1">
      <alignment horizontal="center" vertical="center" wrapText="1"/>
    </xf>
    <xf numFmtId="0" fontId="65" fillId="8" borderId="89" xfId="0" applyFont="1" applyFill="1" applyBorder="1" applyAlignment="1">
      <alignment vertical="center" wrapText="1" readingOrder="2"/>
    </xf>
    <xf numFmtId="0" fontId="65" fillId="8" borderId="226" xfId="0" applyFont="1" applyFill="1" applyBorder="1" applyAlignment="1">
      <alignment vertical="center" wrapText="1" readingOrder="2"/>
    </xf>
    <xf numFmtId="0" fontId="65" fillId="8" borderId="53" xfId="0" applyFont="1" applyFill="1" applyBorder="1" applyAlignment="1">
      <alignment horizontal="left" vertical="center" wrapText="1" readingOrder="2"/>
    </xf>
    <xf numFmtId="0" fontId="65" fillId="8" borderId="227" xfId="0" applyFont="1" applyFill="1" applyBorder="1" applyAlignment="1">
      <alignment horizontal="left" vertical="center" wrapText="1" readingOrder="2"/>
    </xf>
    <xf numFmtId="0" fontId="65" fillId="9" borderId="216" xfId="0" applyFont="1" applyFill="1" applyBorder="1" applyAlignment="1">
      <alignment vertical="center" readingOrder="2"/>
    </xf>
    <xf numFmtId="0" fontId="65" fillId="9" borderId="217" xfId="0" applyFont="1" applyFill="1" applyBorder="1" applyAlignment="1">
      <alignment vertical="center" readingOrder="2"/>
    </xf>
    <xf numFmtId="0" fontId="65" fillId="9" borderId="95" xfId="0" applyFont="1" applyFill="1" applyBorder="1" applyAlignment="1">
      <alignment horizontal="left" vertical="center" readingOrder="2"/>
    </xf>
    <xf numFmtId="0" fontId="65" fillId="9" borderId="218" xfId="0" applyFont="1" applyFill="1" applyBorder="1" applyAlignment="1">
      <alignment horizontal="left" vertical="center" readingOrder="2"/>
    </xf>
    <xf numFmtId="0" fontId="65" fillId="9" borderId="224" xfId="0" applyFont="1" applyFill="1" applyBorder="1" applyAlignment="1">
      <alignment horizontal="left" vertical="center" readingOrder="2"/>
    </xf>
    <xf numFmtId="0" fontId="65" fillId="9" borderId="225" xfId="0" applyFont="1" applyFill="1" applyBorder="1" applyAlignment="1">
      <alignment horizontal="left" vertical="center" readingOrder="2"/>
    </xf>
    <xf numFmtId="0" fontId="65" fillId="9" borderId="95" xfId="0" applyFont="1" applyFill="1" applyBorder="1" applyAlignment="1">
      <alignment vertical="center" readingOrder="2"/>
    </xf>
    <xf numFmtId="0" fontId="65" fillId="9" borderId="218" xfId="0" applyFont="1" applyFill="1" applyBorder="1" applyAlignment="1">
      <alignment vertical="center" readingOrder="2"/>
    </xf>
    <xf numFmtId="0" fontId="65" fillId="27" borderId="127" xfId="0" applyFont="1" applyFill="1" applyBorder="1" applyAlignment="1">
      <alignment horizontal="center" vertical="center" wrapText="1" readingOrder="2"/>
    </xf>
    <xf numFmtId="0" fontId="65" fillId="27" borderId="214" xfId="0" applyFont="1" applyFill="1" applyBorder="1" applyAlignment="1">
      <alignment horizontal="center" vertical="center" wrapText="1" readingOrder="2"/>
    </xf>
    <xf numFmtId="0" fontId="65" fillId="28" borderId="220" xfId="0" applyFont="1" applyFill="1" applyBorder="1" applyAlignment="1">
      <alignment horizontal="center" vertical="center" wrapText="1" readingOrder="2"/>
    </xf>
    <xf numFmtId="0" fontId="65" fillId="28" borderId="221" xfId="0" applyFont="1" applyFill="1" applyBorder="1" applyAlignment="1">
      <alignment horizontal="center" vertical="center" wrapText="1" readingOrder="2"/>
    </xf>
    <xf numFmtId="0" fontId="65" fillId="30" borderId="95" xfId="0" applyFont="1" applyFill="1" applyBorder="1" applyAlignment="1">
      <alignment horizontal="center" vertical="center" wrapText="1" readingOrder="2"/>
    </xf>
    <xf numFmtId="0" fontId="65" fillId="30" borderId="218" xfId="0" applyFont="1" applyFill="1" applyBorder="1" applyAlignment="1">
      <alignment horizontal="center" vertical="center" wrapText="1" readingOrder="2"/>
    </xf>
    <xf numFmtId="0" fontId="65" fillId="35" borderId="127" xfId="0" applyFont="1" applyFill="1" applyBorder="1" applyAlignment="1">
      <alignment horizontal="center" vertical="center" wrapText="1" readingOrder="2"/>
    </xf>
    <xf numFmtId="0" fontId="65" fillId="35" borderId="214" xfId="0" applyFont="1" applyFill="1" applyBorder="1" applyAlignment="1">
      <alignment horizontal="center" vertical="center" wrapText="1" readingOrder="2"/>
    </xf>
    <xf numFmtId="0" fontId="65" fillId="36" borderId="220" xfId="0" applyFont="1" applyFill="1" applyBorder="1" applyAlignment="1">
      <alignment horizontal="center" vertical="center" wrapText="1" readingOrder="2"/>
    </xf>
    <xf numFmtId="0" fontId="65" fillId="36" borderId="221" xfId="0" applyFont="1" applyFill="1" applyBorder="1" applyAlignment="1">
      <alignment horizontal="center" vertical="center" wrapText="1" readingOrder="2"/>
    </xf>
    <xf numFmtId="0" fontId="64" fillId="0" borderId="8" xfId="0" applyFont="1" applyBorder="1" applyAlignment="1">
      <alignment horizontal="center" vertical="center" wrapText="1" readingOrder="2"/>
    </xf>
    <xf numFmtId="0" fontId="64" fillId="0" borderId="7" xfId="0" applyFont="1" applyBorder="1" applyAlignment="1">
      <alignment horizontal="center" vertical="center" wrapText="1" readingOrder="2"/>
    </xf>
    <xf numFmtId="0" fontId="64" fillId="0" borderId="26" xfId="0" applyFont="1" applyBorder="1" applyAlignment="1">
      <alignment horizontal="center" vertical="center" wrapText="1" readingOrder="2"/>
    </xf>
    <xf numFmtId="0" fontId="65" fillId="39" borderId="89" xfId="0" applyFont="1" applyFill="1" applyBorder="1" applyAlignment="1">
      <alignment vertical="center" wrapText="1" readingOrder="2"/>
    </xf>
    <xf numFmtId="0" fontId="65" fillId="39" borderId="217" xfId="0" applyFont="1" applyFill="1" applyBorder="1" applyAlignment="1">
      <alignment vertical="center" wrapText="1" readingOrder="2"/>
    </xf>
    <xf numFmtId="0" fontId="65" fillId="39" borderId="53" xfId="0" applyFont="1" applyFill="1" applyBorder="1" applyAlignment="1">
      <alignment horizontal="left" vertical="center" wrapText="1" readingOrder="2"/>
    </xf>
    <xf numFmtId="0" fontId="65" fillId="39" borderId="225" xfId="0" applyFont="1" applyFill="1" applyBorder="1" applyAlignment="1">
      <alignment horizontal="left" vertical="center" wrapText="1" readingOrder="2"/>
    </xf>
    <xf numFmtId="0" fontId="66" fillId="0" borderId="184" xfId="0" applyFont="1" applyBorder="1" applyAlignment="1">
      <alignment vertical="center" textRotation="90"/>
    </xf>
    <xf numFmtId="0" fontId="66" fillId="0" borderId="15" xfId="0" applyFont="1" applyBorder="1" applyAlignment="1">
      <alignment vertical="center" textRotation="90"/>
    </xf>
    <xf numFmtId="0" fontId="66" fillId="0" borderId="103" xfId="0" applyFont="1" applyBorder="1" applyAlignment="1">
      <alignment vertical="center" textRotation="180"/>
    </xf>
    <xf numFmtId="0" fontId="66" fillId="0" borderId="8" xfId="0" applyFont="1" applyBorder="1" applyAlignment="1">
      <alignment vertical="center" textRotation="180"/>
    </xf>
    <xf numFmtId="0" fontId="66" fillId="0" borderId="158" xfId="0" applyFont="1" applyBorder="1" applyAlignment="1">
      <alignment horizontal="center" vertical="center" textRotation="90"/>
    </xf>
    <xf numFmtId="0" fontId="66" fillId="0" borderId="0" xfId="0" applyFont="1" applyAlignment="1">
      <alignment horizontal="center" vertical="center" textRotation="90"/>
    </xf>
    <xf numFmtId="0" fontId="66" fillId="0" borderId="74" xfId="0" applyFont="1" applyBorder="1" applyAlignment="1">
      <alignment horizontal="center" vertical="center" textRotation="90"/>
    </xf>
    <xf numFmtId="0" fontId="66" fillId="0" borderId="159" xfId="0" applyFont="1" applyBorder="1" applyAlignment="1">
      <alignment horizontal="center" vertical="center" textRotation="180"/>
    </xf>
    <xf numFmtId="0" fontId="66" fillId="0" borderId="8" xfId="0" applyFont="1" applyBorder="1" applyAlignment="1">
      <alignment horizontal="center" vertical="center" textRotation="180"/>
    </xf>
    <xf numFmtId="0" fontId="66" fillId="0" borderId="75" xfId="0" applyFont="1" applyBorder="1" applyAlignment="1">
      <alignment horizontal="center" vertical="center" textRotation="180"/>
    </xf>
    <xf numFmtId="0" fontId="64" fillId="20" borderId="142" xfId="0" applyFont="1" applyFill="1" applyBorder="1" applyAlignment="1">
      <alignment horizontal="center" vertical="center" wrapText="1" readingOrder="2"/>
    </xf>
    <xf numFmtId="0" fontId="64" fillId="20" borderId="68" xfId="0" applyFont="1" applyFill="1" applyBorder="1" applyAlignment="1">
      <alignment horizontal="center" vertical="center" wrapText="1" readingOrder="2"/>
    </xf>
    <xf numFmtId="0" fontId="64" fillId="20" borderId="144" xfId="0" applyFont="1" applyFill="1" applyBorder="1" applyAlignment="1">
      <alignment horizontal="center" vertical="center" wrapText="1" readingOrder="2"/>
    </xf>
    <xf numFmtId="0" fontId="87" fillId="8" borderId="180" xfId="0" applyFont="1" applyFill="1" applyBorder="1" applyAlignment="1">
      <alignment horizontal="center" vertical="center"/>
    </xf>
    <xf numFmtId="0" fontId="87" fillId="8" borderId="148" xfId="0" applyFont="1" applyFill="1" applyBorder="1" applyAlignment="1">
      <alignment horizontal="center" vertical="center"/>
    </xf>
    <xf numFmtId="0" fontId="87" fillId="8" borderId="160" xfId="0" applyFont="1" applyFill="1" applyBorder="1" applyAlignment="1">
      <alignment horizontal="center" vertical="center"/>
    </xf>
    <xf numFmtId="0" fontId="58" fillId="41" borderId="182" xfId="0" applyFont="1" applyFill="1" applyBorder="1" applyAlignment="1">
      <alignment horizontal="center" vertical="center" wrapText="1"/>
    </xf>
    <xf numFmtId="0" fontId="58" fillId="41" borderId="20" xfId="0" applyFont="1" applyFill="1" applyBorder="1" applyAlignment="1">
      <alignment horizontal="center" vertical="center" wrapText="1"/>
    </xf>
    <xf numFmtId="0" fontId="58" fillId="41" borderId="82" xfId="0" applyFont="1" applyFill="1" applyBorder="1" applyAlignment="1">
      <alignment horizontal="center" vertical="center" wrapText="1"/>
    </xf>
    <xf numFmtId="0" fontId="58" fillId="41" borderId="8" xfId="0" applyFont="1" applyFill="1" applyBorder="1" applyAlignment="1">
      <alignment horizontal="center" vertical="center" wrapText="1"/>
    </xf>
    <xf numFmtId="0" fontId="58" fillId="41" borderId="83" xfId="0" applyFont="1" applyFill="1" applyBorder="1" applyAlignment="1">
      <alignment horizontal="center" vertical="center" wrapText="1"/>
    </xf>
    <xf numFmtId="0" fontId="58" fillId="41" borderId="7" xfId="0" applyFont="1" applyFill="1" applyBorder="1" applyAlignment="1">
      <alignment horizontal="center" vertical="center" wrapText="1"/>
    </xf>
    <xf numFmtId="0" fontId="67" fillId="41" borderId="16" xfId="0" applyFont="1" applyFill="1" applyBorder="1" applyAlignment="1">
      <alignment horizontal="center" vertical="center"/>
    </xf>
    <xf numFmtId="0" fontId="67" fillId="41" borderId="19" xfId="0" applyFont="1" applyFill="1" applyBorder="1" applyAlignment="1">
      <alignment horizontal="center" vertical="center"/>
    </xf>
    <xf numFmtId="0" fontId="67" fillId="41" borderId="15" xfId="0" applyFont="1" applyFill="1" applyBorder="1" applyAlignment="1">
      <alignment horizontal="center" vertical="center"/>
    </xf>
    <xf numFmtId="0" fontId="67" fillId="41" borderId="27" xfId="0" applyFont="1" applyFill="1" applyBorder="1" applyAlignment="1">
      <alignment horizontal="center" vertical="center"/>
    </xf>
    <xf numFmtId="0" fontId="67" fillId="41" borderId="14" xfId="0" applyFont="1" applyFill="1" applyBorder="1" applyAlignment="1">
      <alignment horizontal="center" vertical="center"/>
    </xf>
    <xf numFmtId="0" fontId="67" fillId="41" borderId="3" xfId="0" applyFont="1" applyFill="1" applyBorder="1" applyAlignment="1">
      <alignment horizontal="center" vertical="center"/>
    </xf>
    <xf numFmtId="0" fontId="67" fillId="41" borderId="100" xfId="0" applyFont="1" applyFill="1" applyBorder="1" applyAlignment="1">
      <alignment horizontal="center" vertical="center"/>
    </xf>
    <xf numFmtId="0" fontId="67" fillId="41" borderId="40" xfId="0" applyFont="1" applyFill="1" applyBorder="1" applyAlignment="1">
      <alignment horizontal="center" vertical="center"/>
    </xf>
    <xf numFmtId="0" fontId="67" fillId="41" borderId="62" xfId="0" applyFont="1" applyFill="1" applyBorder="1" applyAlignment="1">
      <alignment horizontal="center" vertical="center"/>
    </xf>
    <xf numFmtId="0" fontId="58" fillId="41" borderId="101" xfId="0" applyFont="1" applyFill="1" applyBorder="1" applyAlignment="1">
      <alignment horizontal="center" vertical="center" wrapText="1"/>
    </xf>
    <xf numFmtId="0" fontId="58" fillId="41" borderId="102" xfId="0" applyFont="1" applyFill="1" applyBorder="1" applyAlignment="1">
      <alignment horizontal="center" vertical="center" wrapText="1"/>
    </xf>
    <xf numFmtId="0" fontId="58" fillId="41" borderId="147" xfId="0" applyFont="1" applyFill="1" applyBorder="1" applyAlignment="1">
      <alignment horizontal="center" vertical="center" wrapText="1"/>
    </xf>
    <xf numFmtId="0" fontId="90" fillId="17" borderId="135" xfId="0" applyFont="1" applyFill="1" applyBorder="1" applyAlignment="1">
      <alignment horizontal="center" vertical="center" textRotation="180" readingOrder="2"/>
    </xf>
    <xf numFmtId="0" fontId="90" fillId="17" borderId="136" xfId="0" applyFont="1" applyFill="1" applyBorder="1" applyAlignment="1">
      <alignment horizontal="center" vertical="center" textRotation="180" readingOrder="2"/>
    </xf>
    <xf numFmtId="0" fontId="90" fillId="17" borderId="137" xfId="0" applyFont="1" applyFill="1" applyBorder="1" applyAlignment="1">
      <alignment horizontal="center" vertical="center" textRotation="180" readingOrder="2"/>
    </xf>
    <xf numFmtId="0" fontId="64" fillId="20" borderId="94" xfId="0" applyFont="1" applyFill="1" applyBorder="1" applyAlignment="1">
      <alignment horizontal="center" vertical="center" wrapText="1" readingOrder="2"/>
    </xf>
    <xf numFmtId="0" fontId="64" fillId="20" borderId="92" xfId="0" applyFont="1" applyFill="1" applyBorder="1" applyAlignment="1">
      <alignment horizontal="center" vertical="center" wrapText="1" readingOrder="2"/>
    </xf>
    <xf numFmtId="0" fontId="89" fillId="41" borderId="15" xfId="0" applyFont="1" applyFill="1" applyBorder="1" applyAlignment="1">
      <alignment horizontal="center" vertical="center"/>
    </xf>
    <xf numFmtId="0" fontId="89" fillId="41" borderId="0" xfId="0" applyFont="1" applyFill="1" applyAlignment="1">
      <alignment horizontal="center" vertical="center"/>
    </xf>
    <xf numFmtId="0" fontId="89" fillId="41" borderId="8" xfId="0" applyFont="1" applyFill="1" applyBorder="1" applyAlignment="1">
      <alignment horizontal="center" vertical="center"/>
    </xf>
    <xf numFmtId="0" fontId="89" fillId="41" borderId="14" xfId="0" applyFont="1" applyFill="1" applyBorder="1" applyAlignment="1">
      <alignment horizontal="center" vertical="center"/>
    </xf>
    <xf numFmtId="0" fontId="89" fillId="41" borderId="1" xfId="0" applyFont="1" applyFill="1" applyBorder="1" applyAlignment="1">
      <alignment horizontal="center" vertical="center"/>
    </xf>
    <xf numFmtId="0" fontId="89" fillId="41" borderId="7" xfId="0" applyFont="1" applyFill="1" applyBorder="1" applyAlignment="1">
      <alignment horizontal="center" vertical="center"/>
    </xf>
    <xf numFmtId="0" fontId="67" fillId="4" borderId="13" xfId="0" applyFont="1" applyFill="1" applyBorder="1" applyAlignment="1">
      <alignment horizontal="center" vertical="center"/>
    </xf>
    <xf numFmtId="0" fontId="91" fillId="4" borderId="13" xfId="0" applyFont="1" applyFill="1" applyBorder="1" applyAlignment="1">
      <alignment horizontal="center" vertical="center"/>
    </xf>
    <xf numFmtId="0" fontId="91" fillId="4" borderId="0" xfId="0" applyFont="1" applyFill="1" applyAlignment="1">
      <alignment horizontal="center" vertical="center"/>
    </xf>
    <xf numFmtId="0" fontId="91" fillId="4" borderId="1" xfId="0" applyFont="1" applyFill="1" applyBorder="1" applyAlignment="1">
      <alignment horizontal="center" vertical="center"/>
    </xf>
    <xf numFmtId="0" fontId="90" fillId="41" borderId="133" xfId="0" applyFont="1" applyFill="1" applyBorder="1" applyAlignment="1">
      <alignment horizontal="center" vertical="center" wrapText="1"/>
    </xf>
    <xf numFmtId="0" fontId="90" fillId="41" borderId="69" xfId="0" applyFont="1" applyFill="1" applyBorder="1" applyAlignment="1">
      <alignment horizontal="center" vertical="center" wrapText="1"/>
    </xf>
    <xf numFmtId="0" fontId="90" fillId="41" borderId="40" xfId="0" applyFont="1" applyFill="1" applyBorder="1" applyAlignment="1">
      <alignment horizontal="center" vertical="center" wrapText="1"/>
    </xf>
    <xf numFmtId="0" fontId="90" fillId="41" borderId="70" xfId="0" applyFont="1" applyFill="1" applyBorder="1" applyAlignment="1">
      <alignment horizontal="center" vertical="center" wrapText="1"/>
    </xf>
    <xf numFmtId="0" fontId="90" fillId="41" borderId="55" xfId="0" applyFont="1" applyFill="1" applyBorder="1" applyAlignment="1">
      <alignment horizontal="center" vertical="center" wrapText="1"/>
    </xf>
    <xf numFmtId="0" fontId="90" fillId="41" borderId="90" xfId="0" applyFont="1" applyFill="1" applyBorder="1" applyAlignment="1">
      <alignment horizontal="center" vertical="center" wrapText="1"/>
    </xf>
    <xf numFmtId="0" fontId="67" fillId="17" borderId="136" xfId="0" applyFont="1" applyFill="1" applyBorder="1" applyAlignment="1">
      <alignment horizontal="center" vertical="top" readingOrder="2"/>
    </xf>
    <xf numFmtId="0" fontId="67" fillId="17" borderId="137" xfId="0" applyFont="1" applyFill="1" applyBorder="1" applyAlignment="1">
      <alignment horizontal="center" vertical="top" readingOrder="2"/>
    </xf>
    <xf numFmtId="0" fontId="58" fillId="4" borderId="139" xfId="1" applyFont="1" applyFill="1" applyBorder="1" applyAlignment="1">
      <alignment horizontal="center" vertical="center"/>
    </xf>
    <xf numFmtId="0" fontId="58" fillId="4" borderId="99" xfId="1" applyFont="1" applyFill="1" applyBorder="1" applyAlignment="1">
      <alignment horizontal="center" vertical="center"/>
    </xf>
    <xf numFmtId="0" fontId="58" fillId="4" borderId="138" xfId="1" applyFont="1" applyFill="1" applyBorder="1" applyAlignment="1">
      <alignment horizontal="center" vertical="center"/>
    </xf>
    <xf numFmtId="0" fontId="58" fillId="4" borderId="3" xfId="1" applyFont="1" applyFill="1" applyBorder="1" applyAlignment="1">
      <alignment horizontal="center" vertical="center"/>
    </xf>
    <xf numFmtId="0" fontId="65" fillId="0" borderId="15" xfId="0" applyFont="1" applyBorder="1" applyAlignment="1">
      <alignment horizontal="center" vertical="center"/>
    </xf>
    <xf numFmtId="0" fontId="65" fillId="0" borderId="0" xfId="0" applyFont="1" applyAlignment="1">
      <alignment horizontal="center" vertical="center"/>
    </xf>
    <xf numFmtId="0" fontId="65" fillId="0" borderId="8" xfId="0" applyFont="1" applyBorder="1" applyAlignment="1">
      <alignment horizontal="center" vertical="center"/>
    </xf>
    <xf numFmtId="164" fontId="66" fillId="0" borderId="15" xfId="0" applyNumberFormat="1" applyFont="1" applyBorder="1" applyAlignment="1">
      <alignment horizontal="center" vertical="center"/>
    </xf>
    <xf numFmtId="164" fontId="66" fillId="0" borderId="0" xfId="0" applyNumberFormat="1" applyFont="1" applyAlignment="1">
      <alignment horizontal="center" vertical="center"/>
    </xf>
    <xf numFmtId="164" fontId="66" fillId="0" borderId="8" xfId="0" applyNumberFormat="1" applyFont="1" applyBorder="1" applyAlignment="1">
      <alignment horizontal="center" vertical="center"/>
    </xf>
    <xf numFmtId="0" fontId="67" fillId="38" borderId="0" xfId="0" applyFont="1" applyFill="1" applyAlignment="1">
      <alignment horizontal="center" vertical="center" wrapText="1"/>
    </xf>
    <xf numFmtId="0" fontId="67" fillId="38" borderId="1" xfId="0" applyFont="1" applyFill="1" applyBorder="1" applyAlignment="1">
      <alignment horizontal="center" vertical="center" wrapText="1"/>
    </xf>
    <xf numFmtId="0" fontId="90" fillId="17" borderId="57" xfId="0" applyFont="1" applyFill="1" applyBorder="1" applyAlignment="1">
      <alignment horizontal="center" vertical="top" textRotation="180" readingOrder="2"/>
    </xf>
    <xf numFmtId="0" fontId="90" fillId="17" borderId="106" xfId="0" applyFont="1" applyFill="1" applyBorder="1" applyAlignment="1">
      <alignment horizontal="center" vertical="top" textRotation="180" readingOrder="2"/>
    </xf>
    <xf numFmtId="0" fontId="67" fillId="42" borderId="46" xfId="1" applyFont="1" applyFill="1" applyBorder="1" applyAlignment="1">
      <alignment horizontal="center" vertical="center"/>
    </xf>
    <xf numFmtId="0" fontId="67" fillId="42" borderId="47" xfId="1" applyFont="1" applyFill="1" applyBorder="1" applyAlignment="1">
      <alignment horizontal="center" vertical="center"/>
    </xf>
    <xf numFmtId="0" fontId="67" fillId="42" borderId="63" xfId="1" applyFont="1" applyFill="1" applyBorder="1" applyAlignment="1">
      <alignment horizontal="center" vertical="center"/>
    </xf>
    <xf numFmtId="0" fontId="90" fillId="17" borderId="57" xfId="0" applyFont="1" applyFill="1" applyBorder="1" applyAlignment="1">
      <alignment horizontal="center" vertical="top" textRotation="90" readingOrder="2"/>
    </xf>
    <xf numFmtId="0" fontId="90" fillId="17" borderId="106" xfId="0" applyFont="1" applyFill="1" applyBorder="1" applyAlignment="1">
      <alignment horizontal="center" vertical="top" textRotation="90" readingOrder="2"/>
    </xf>
    <xf numFmtId="0" fontId="87" fillId="0" borderId="14" xfId="0" applyFont="1" applyBorder="1" applyAlignment="1">
      <alignment vertical="center"/>
    </xf>
    <xf numFmtId="0" fontId="87" fillId="0" borderId="1" xfId="0" applyFont="1" applyBorder="1" applyAlignment="1">
      <alignment vertical="center"/>
    </xf>
    <xf numFmtId="0" fontId="87" fillId="0" borderId="7" xfId="0" applyFont="1" applyBorder="1" applyAlignment="1">
      <alignment vertical="center"/>
    </xf>
    <xf numFmtId="0" fontId="89" fillId="38" borderId="45" xfId="1" applyFont="1" applyFill="1" applyBorder="1" applyAlignment="1">
      <alignment horizontal="center" vertical="center"/>
    </xf>
    <xf numFmtId="0" fontId="89" fillId="38" borderId="42" xfId="1" applyFont="1" applyFill="1" applyBorder="1" applyAlignment="1">
      <alignment horizontal="center" vertical="center"/>
    </xf>
    <xf numFmtId="0" fontId="89" fillId="38" borderId="122" xfId="1" applyFont="1" applyFill="1" applyBorder="1" applyAlignment="1">
      <alignment horizontal="center" vertical="center"/>
    </xf>
    <xf numFmtId="0" fontId="89" fillId="41" borderId="100" xfId="1" applyFont="1" applyFill="1" applyBorder="1" applyAlignment="1">
      <alignment horizontal="center" vertical="center"/>
    </xf>
    <xf numFmtId="0" fontId="89" fillId="41" borderId="12" xfId="1" applyFont="1" applyFill="1" applyBorder="1" applyAlignment="1">
      <alignment horizontal="center" vertical="center"/>
    </xf>
    <xf numFmtId="0" fontId="89" fillId="41" borderId="40" xfId="1" applyFont="1" applyFill="1" applyBorder="1" applyAlignment="1">
      <alignment horizontal="center" vertical="center"/>
    </xf>
    <xf numFmtId="0" fontId="89" fillId="41" borderId="0" xfId="1" applyFont="1" applyFill="1" applyBorder="1" applyAlignment="1">
      <alignment horizontal="center" vertical="center"/>
    </xf>
    <xf numFmtId="0" fontId="89" fillId="41" borderId="62" xfId="1" applyFont="1" applyFill="1" applyBorder="1" applyAlignment="1">
      <alignment horizontal="center" vertical="center"/>
    </xf>
    <xf numFmtId="0" fontId="89" fillId="41" borderId="1" xfId="1" applyFont="1" applyFill="1" applyBorder="1" applyAlignment="1">
      <alignment horizontal="center" vertical="center"/>
    </xf>
    <xf numFmtId="0" fontId="90" fillId="17" borderId="110" xfId="0" applyFont="1" applyFill="1" applyBorder="1" applyAlignment="1">
      <alignment horizontal="center" textRotation="180" readingOrder="2"/>
    </xf>
    <xf numFmtId="0" fontId="90" fillId="17" borderId="57" xfId="0" applyFont="1" applyFill="1" applyBorder="1" applyAlignment="1">
      <alignment horizontal="center" textRotation="180" readingOrder="2"/>
    </xf>
    <xf numFmtId="0" fontId="67" fillId="10" borderId="48" xfId="1" applyFont="1" applyFill="1" applyBorder="1" applyAlignment="1">
      <alignment horizontal="center" vertical="center"/>
    </xf>
    <xf numFmtId="0" fontId="67" fillId="10" borderId="44" xfId="1" applyFont="1" applyFill="1" applyBorder="1" applyAlignment="1">
      <alignment horizontal="center" vertical="center"/>
    </xf>
    <xf numFmtId="0" fontId="67" fillId="10" borderId="123" xfId="1" applyFont="1" applyFill="1" applyBorder="1" applyAlignment="1">
      <alignment horizontal="center" vertical="center"/>
    </xf>
    <xf numFmtId="0" fontId="67" fillId="23" borderId="12" xfId="0" applyFont="1" applyFill="1" applyBorder="1" applyAlignment="1">
      <alignment horizontal="center" vertical="center"/>
    </xf>
    <xf numFmtId="0" fontId="67" fillId="23" borderId="19" xfId="0" applyFont="1" applyFill="1" applyBorder="1" applyAlignment="1">
      <alignment horizontal="center" vertical="center"/>
    </xf>
    <xf numFmtId="0" fontId="67" fillId="23" borderId="0" xfId="0" applyFont="1" applyFill="1" applyAlignment="1">
      <alignment horizontal="center" vertical="center"/>
    </xf>
    <xf numFmtId="0" fontId="67" fillId="23" borderId="27" xfId="0" applyFont="1" applyFill="1" applyBorder="1" applyAlignment="1">
      <alignment horizontal="center" vertical="center"/>
    </xf>
    <xf numFmtId="0" fontId="67" fillId="23" borderId="1" xfId="0" applyFont="1" applyFill="1" applyBorder="1" applyAlignment="1">
      <alignment horizontal="center" vertical="center"/>
    </xf>
    <xf numFmtId="0" fontId="67" fillId="23" borderId="3" xfId="0" applyFont="1" applyFill="1" applyBorder="1" applyAlignment="1">
      <alignment horizontal="center" vertical="center"/>
    </xf>
    <xf numFmtId="0" fontId="67" fillId="17" borderId="110" xfId="0" applyFont="1" applyFill="1" applyBorder="1" applyAlignment="1">
      <alignment horizontal="center" vertical="center" textRotation="90" readingOrder="2"/>
    </xf>
    <xf numFmtId="0" fontId="67" fillId="17" borderId="57" xfId="0" applyFont="1" applyFill="1" applyBorder="1" applyAlignment="1">
      <alignment horizontal="center" vertical="center" textRotation="90" readingOrder="2"/>
    </xf>
    <xf numFmtId="0" fontId="67" fillId="17" borderId="106" xfId="0" applyFont="1" applyFill="1" applyBorder="1" applyAlignment="1">
      <alignment horizontal="center" vertical="center" textRotation="90" readingOrder="2"/>
    </xf>
    <xf numFmtId="0" fontId="67" fillId="10" borderId="12" xfId="1" applyFont="1" applyFill="1" applyBorder="1" applyAlignment="1">
      <alignment horizontal="center" vertical="center" wrapText="1"/>
    </xf>
    <xf numFmtId="0" fontId="67" fillId="10" borderId="128" xfId="1" applyFont="1" applyFill="1" applyBorder="1" applyAlignment="1">
      <alignment horizontal="center" vertical="center" wrapText="1"/>
    </xf>
    <xf numFmtId="0" fontId="67" fillId="10" borderId="0" xfId="1" applyFont="1" applyFill="1" applyBorder="1" applyAlignment="1">
      <alignment horizontal="center" vertical="center" wrapText="1"/>
    </xf>
    <xf numFmtId="0" fontId="67" fillId="10" borderId="61" xfId="1" applyFont="1" applyFill="1" applyBorder="1" applyAlignment="1">
      <alignment horizontal="center" vertical="center" wrapText="1"/>
    </xf>
    <xf numFmtId="0" fontId="67" fillId="10" borderId="1" xfId="1" applyFont="1" applyFill="1" applyBorder="1" applyAlignment="1">
      <alignment horizontal="center" vertical="center" wrapText="1"/>
    </xf>
    <xf numFmtId="0" fontId="67" fillId="10" borderId="129" xfId="1" applyFont="1" applyFill="1" applyBorder="1" applyAlignment="1">
      <alignment horizontal="center" vertical="center" wrapText="1"/>
    </xf>
    <xf numFmtId="0" fontId="67" fillId="38" borderId="17" xfId="0" applyFont="1" applyFill="1" applyBorder="1" applyAlignment="1">
      <alignment horizontal="center" vertical="center"/>
    </xf>
    <xf numFmtId="0" fontId="67" fillId="38" borderId="38" xfId="0" applyFont="1" applyFill="1" applyBorder="1" applyAlignment="1">
      <alignment horizontal="center" vertical="center"/>
    </xf>
    <xf numFmtId="0" fontId="67" fillId="38" borderId="25" xfId="0" applyFont="1" applyFill="1" applyBorder="1" applyAlignment="1">
      <alignment horizontal="center" vertical="center"/>
    </xf>
    <xf numFmtId="0" fontId="67" fillId="23" borderId="100" xfId="0" applyFont="1" applyFill="1" applyBorder="1" applyAlignment="1">
      <alignment horizontal="center" vertical="center"/>
    </xf>
    <xf numFmtId="0" fontId="67" fillId="23" borderId="40" xfId="0" applyFont="1" applyFill="1" applyBorder="1" applyAlignment="1">
      <alignment horizontal="center" vertical="center"/>
    </xf>
    <xf numFmtId="0" fontId="67" fillId="23" borderId="11" xfId="0" applyFont="1" applyFill="1" applyBorder="1" applyAlignment="1">
      <alignment horizontal="center" vertical="center"/>
    </xf>
    <xf numFmtId="0" fontId="67" fillId="23" borderId="9" xfId="0" applyFont="1" applyFill="1" applyBorder="1" applyAlignment="1">
      <alignment horizontal="center" vertical="center"/>
    </xf>
    <xf numFmtId="0" fontId="67" fillId="23" borderId="24" xfId="0" applyFont="1" applyFill="1" applyBorder="1" applyAlignment="1">
      <alignment horizontal="center" vertical="center"/>
    </xf>
    <xf numFmtId="0" fontId="65" fillId="0" borderId="16" xfId="0" applyFont="1" applyBorder="1" applyAlignment="1">
      <alignment horizontal="center" vertical="center"/>
    </xf>
    <xf numFmtId="0" fontId="65" fillId="0" borderId="12" xfId="0" applyFont="1" applyBorder="1" applyAlignment="1">
      <alignment horizontal="center" vertical="center"/>
    </xf>
    <xf numFmtId="0" fontId="65" fillId="0" borderId="6" xfId="0" applyFont="1" applyBorder="1" applyAlignment="1">
      <alignment horizontal="center" vertical="center"/>
    </xf>
    <xf numFmtId="0" fontId="67" fillId="10" borderId="12" xfId="1" applyFont="1" applyFill="1" applyBorder="1" applyAlignment="1">
      <alignment horizontal="center" vertical="center"/>
    </xf>
    <xf numFmtId="0" fontId="67" fillId="10" borderId="19" xfId="1" applyFont="1" applyFill="1" applyBorder="1" applyAlignment="1">
      <alignment horizontal="center" vertical="center"/>
    </xf>
    <xf numFmtId="0" fontId="67" fillId="10" borderId="0" xfId="1" applyFont="1" applyFill="1" applyBorder="1" applyAlignment="1">
      <alignment horizontal="center" vertical="center"/>
    </xf>
    <xf numFmtId="0" fontId="67" fillId="10" borderId="27" xfId="1" applyFont="1" applyFill="1" applyBorder="1" applyAlignment="1">
      <alignment horizontal="center" vertical="center"/>
    </xf>
    <xf numFmtId="0" fontId="67" fillId="10" borderId="9" xfId="1" applyFont="1" applyFill="1" applyBorder="1" applyAlignment="1">
      <alignment horizontal="center" vertical="center"/>
    </xf>
    <xf numFmtId="0" fontId="67" fillId="10" borderId="24" xfId="1" applyFont="1" applyFill="1" applyBorder="1" applyAlignment="1">
      <alignment horizontal="center" vertical="center"/>
    </xf>
    <xf numFmtId="0" fontId="89" fillId="38" borderId="12" xfId="1" applyFont="1" applyFill="1" applyBorder="1" applyAlignment="1">
      <alignment horizontal="center" vertical="center"/>
    </xf>
    <xf numFmtId="0" fontId="89" fillId="38" borderId="0" xfId="1" applyFont="1" applyFill="1" applyBorder="1" applyAlignment="1">
      <alignment horizontal="center" vertical="center"/>
    </xf>
    <xf numFmtId="0" fontId="89" fillId="38" borderId="9" xfId="1" applyFont="1" applyFill="1" applyBorder="1" applyAlignment="1">
      <alignment horizontal="center" vertical="center"/>
    </xf>
    <xf numFmtId="0" fontId="89" fillId="38" borderId="44" xfId="1" applyFont="1" applyFill="1" applyBorder="1" applyAlignment="1">
      <alignment horizontal="center" vertical="center"/>
    </xf>
    <xf numFmtId="0" fontId="89" fillId="38" borderId="17" xfId="1" applyFont="1" applyFill="1" applyBorder="1" applyAlignment="1">
      <alignment horizontal="center" vertical="center" wrapText="1"/>
    </xf>
    <xf numFmtId="0" fontId="89" fillId="38" borderId="38" xfId="1" applyFont="1" applyFill="1" applyBorder="1" applyAlignment="1">
      <alignment horizontal="center" vertical="center" wrapText="1"/>
    </xf>
    <xf numFmtId="0" fontId="89" fillId="38" borderId="25" xfId="1" applyFont="1" applyFill="1" applyBorder="1" applyAlignment="1">
      <alignment horizontal="center" vertical="center" wrapText="1"/>
    </xf>
    <xf numFmtId="0" fontId="67" fillId="10" borderId="1" xfId="1" applyFont="1" applyFill="1" applyBorder="1" applyAlignment="1">
      <alignment horizontal="center" vertical="center"/>
    </xf>
    <xf numFmtId="0" fontId="67" fillId="10" borderId="3" xfId="1" applyFont="1" applyFill="1" applyBorder="1" applyAlignment="1">
      <alignment horizontal="center" vertical="center"/>
    </xf>
    <xf numFmtId="0" fontId="89" fillId="38" borderId="40" xfId="1" applyFont="1" applyFill="1" applyBorder="1" applyAlignment="1">
      <alignment horizontal="center" vertical="center"/>
    </xf>
    <xf numFmtId="0" fontId="89" fillId="38" borderId="62" xfId="1" applyFont="1" applyFill="1" applyBorder="1" applyAlignment="1">
      <alignment horizontal="center" vertical="center"/>
    </xf>
    <xf numFmtId="0" fontId="89" fillId="38" borderId="1" xfId="1" applyFont="1" applyFill="1" applyBorder="1" applyAlignment="1">
      <alignment horizontal="center" vertical="center"/>
    </xf>
    <xf numFmtId="0" fontId="89" fillId="38" borderId="38" xfId="1" applyFont="1" applyFill="1" applyBorder="1" applyAlignment="1">
      <alignment horizontal="center" vertical="center"/>
    </xf>
    <xf numFmtId="0" fontId="89" fillId="38" borderId="18" xfId="1" applyFont="1" applyFill="1" applyBorder="1" applyAlignment="1">
      <alignment horizontal="center" vertical="center"/>
    </xf>
    <xf numFmtId="0" fontId="89" fillId="42" borderId="100" xfId="1" applyFont="1" applyFill="1" applyBorder="1" applyAlignment="1">
      <alignment horizontal="center" vertical="center" wrapText="1"/>
    </xf>
    <xf numFmtId="0" fontId="89" fillId="42" borderId="19" xfId="1" applyFont="1" applyFill="1" applyBorder="1" applyAlignment="1">
      <alignment horizontal="center" vertical="center" wrapText="1"/>
    </xf>
    <xf numFmtId="0" fontId="89" fillId="42" borderId="40" xfId="1" applyFont="1" applyFill="1" applyBorder="1" applyAlignment="1">
      <alignment horizontal="center" vertical="center" wrapText="1"/>
    </xf>
    <xf numFmtId="0" fontId="89" fillId="42" borderId="27" xfId="1" applyFont="1" applyFill="1" applyBorder="1" applyAlignment="1">
      <alignment horizontal="center" vertical="center" wrapText="1"/>
    </xf>
    <xf numFmtId="0" fontId="89" fillId="42" borderId="62" xfId="1" applyFont="1" applyFill="1" applyBorder="1" applyAlignment="1">
      <alignment horizontal="center" vertical="center" wrapText="1"/>
    </xf>
    <xf numFmtId="0" fontId="89" fillId="42" borderId="3" xfId="1" applyFont="1" applyFill="1" applyBorder="1" applyAlignment="1">
      <alignment horizontal="center" vertical="center" wrapText="1"/>
    </xf>
    <xf numFmtId="0" fontId="87" fillId="0" borderId="177" xfId="0" applyFont="1" applyBorder="1" applyAlignment="1">
      <alignment vertical="center"/>
    </xf>
    <xf numFmtId="0" fontId="87" fillId="0" borderId="9" xfId="0" applyFont="1" applyBorder="1" applyAlignment="1">
      <alignment vertical="center"/>
    </xf>
    <xf numFmtId="0" fontId="87" fillId="0" borderId="26" xfId="0" applyFont="1" applyBorder="1" applyAlignment="1">
      <alignment vertical="center"/>
    </xf>
    <xf numFmtId="0" fontId="89" fillId="38" borderId="24" xfId="1" applyFont="1" applyFill="1" applyBorder="1" applyAlignment="1">
      <alignment horizontal="center" vertical="center"/>
    </xf>
    <xf numFmtId="0" fontId="89" fillId="38" borderId="140" xfId="1" applyFont="1" applyFill="1" applyBorder="1" applyAlignment="1">
      <alignment horizontal="center" vertical="center"/>
    </xf>
    <xf numFmtId="0" fontId="89" fillId="38" borderId="22" xfId="1" applyFont="1" applyFill="1" applyBorder="1" applyAlignment="1">
      <alignment horizontal="center" vertical="center"/>
    </xf>
    <xf numFmtId="0" fontId="89" fillId="38" borderId="23" xfId="1" applyFont="1" applyFill="1" applyBorder="1" applyAlignment="1">
      <alignment horizontal="center" vertical="center"/>
    </xf>
    <xf numFmtId="0" fontId="66" fillId="0" borderId="177" xfId="0" applyFont="1" applyBorder="1" applyAlignment="1">
      <alignment horizontal="center" vertical="center"/>
    </xf>
    <xf numFmtId="0" fontId="66" fillId="0" borderId="9" xfId="0" applyFont="1" applyBorder="1" applyAlignment="1">
      <alignment horizontal="center" vertical="center"/>
    </xf>
    <xf numFmtId="0" fontId="67" fillId="43" borderId="27" xfId="1" applyFont="1" applyFill="1" applyBorder="1" applyAlignment="1">
      <alignment horizontal="center" vertical="center" wrapText="1"/>
    </xf>
    <xf numFmtId="0" fontId="67" fillId="43" borderId="3" xfId="1" applyFont="1" applyFill="1" applyBorder="1" applyAlignment="1">
      <alignment horizontal="center" vertical="center" wrapText="1"/>
    </xf>
    <xf numFmtId="0" fontId="67" fillId="43" borderId="157" xfId="1" applyFont="1" applyFill="1" applyBorder="1" applyAlignment="1">
      <alignment horizontal="center" vertical="center"/>
    </xf>
    <xf numFmtId="0" fontId="67" fillId="43" borderId="54" xfId="1" applyFont="1" applyFill="1" applyBorder="1" applyAlignment="1">
      <alignment horizontal="center" vertical="center"/>
    </xf>
    <xf numFmtId="0" fontId="67" fillId="43" borderId="127" xfId="1" applyFont="1" applyFill="1" applyBorder="1" applyAlignment="1">
      <alignment horizontal="center" vertical="center"/>
    </xf>
    <xf numFmtId="0" fontId="89" fillId="43" borderId="38" xfId="1" applyFont="1" applyFill="1" applyBorder="1" applyAlignment="1">
      <alignment horizontal="center" vertical="center" wrapText="1"/>
    </xf>
    <xf numFmtId="0" fontId="89" fillId="43" borderId="18" xfId="1" applyFont="1" applyFill="1" applyBorder="1" applyAlignment="1">
      <alignment horizontal="center" vertical="center" wrapText="1"/>
    </xf>
    <xf numFmtId="0" fontId="89" fillId="38" borderId="40" xfId="1" applyFont="1" applyFill="1" applyBorder="1" applyAlignment="1">
      <alignment horizontal="center" vertical="center" wrapText="1"/>
    </xf>
    <xf numFmtId="0" fontId="89" fillId="38" borderId="0" xfId="1" applyFont="1" applyFill="1" applyBorder="1" applyAlignment="1">
      <alignment horizontal="center" vertical="center" wrapText="1"/>
    </xf>
    <xf numFmtId="0" fontId="89" fillId="38" borderId="27" xfId="1" applyFont="1" applyFill="1" applyBorder="1" applyAlignment="1">
      <alignment horizontal="center" vertical="center" wrapText="1"/>
    </xf>
    <xf numFmtId="0" fontId="89" fillId="38" borderId="62" xfId="1" applyFont="1" applyFill="1" applyBorder="1" applyAlignment="1">
      <alignment horizontal="center" vertical="center" wrapText="1"/>
    </xf>
    <xf numFmtId="0" fontId="89" fillId="38" borderId="1" xfId="1" applyFont="1" applyFill="1" applyBorder="1" applyAlignment="1">
      <alignment horizontal="center" vertical="center" wrapText="1"/>
    </xf>
    <xf numFmtId="0" fontId="89" fillId="38" borderId="3" xfId="1" applyFont="1" applyFill="1" applyBorder="1" applyAlignment="1">
      <alignment horizontal="center" vertical="center" wrapText="1"/>
    </xf>
    <xf numFmtId="0" fontId="67" fillId="10" borderId="128" xfId="1" applyFont="1" applyFill="1" applyBorder="1" applyAlignment="1">
      <alignment horizontal="center" vertical="center"/>
    </xf>
    <xf numFmtId="0" fontId="67" fillId="10" borderId="61" xfId="1" applyFont="1" applyFill="1" applyBorder="1" applyAlignment="1">
      <alignment horizontal="center" vertical="center"/>
    </xf>
    <xf numFmtId="0" fontId="67" fillId="10" borderId="126" xfId="1" applyFont="1" applyFill="1" applyBorder="1" applyAlignment="1">
      <alignment horizontal="center" vertical="center"/>
    </xf>
    <xf numFmtId="0" fontId="67" fillId="38" borderId="64" xfId="0" applyFont="1" applyFill="1" applyBorder="1" applyAlignment="1">
      <alignment horizontal="center" vertical="center" wrapText="1"/>
    </xf>
    <xf numFmtId="0" fontId="67" fillId="38" borderId="97" xfId="0" applyFont="1" applyFill="1" applyBorder="1" applyAlignment="1">
      <alignment horizontal="center" vertical="center" wrapText="1"/>
    </xf>
    <xf numFmtId="0" fontId="67" fillId="38" borderId="11" xfId="0" applyFont="1" applyFill="1" applyBorder="1" applyAlignment="1">
      <alignment horizontal="center" vertical="center" wrapText="1"/>
    </xf>
    <xf numFmtId="0" fontId="67" fillId="38" borderId="9" xfId="0" applyFont="1" applyFill="1" applyBorder="1" applyAlignment="1">
      <alignment horizontal="center" vertical="center" wrapText="1"/>
    </xf>
    <xf numFmtId="0" fontId="89" fillId="38" borderId="25" xfId="1" applyFont="1" applyFill="1" applyBorder="1" applyAlignment="1">
      <alignment horizontal="center" vertical="center"/>
    </xf>
    <xf numFmtId="0" fontId="67" fillId="17" borderId="57" xfId="0" applyFont="1" applyFill="1" applyBorder="1" applyAlignment="1">
      <alignment horizontal="center" vertical="top" textRotation="180" readingOrder="2"/>
    </xf>
    <xf numFmtId="0" fontId="67" fillId="17" borderId="106" xfId="0" applyFont="1" applyFill="1" applyBorder="1" applyAlignment="1">
      <alignment horizontal="center" vertical="top" textRotation="180" readingOrder="2"/>
    </xf>
    <xf numFmtId="0" fontId="67" fillId="10" borderId="83" xfId="1" applyFont="1" applyFill="1" applyBorder="1" applyAlignment="1">
      <alignment horizontal="center" vertical="center"/>
    </xf>
    <xf numFmtId="0" fontId="67" fillId="10" borderId="52" xfId="1" applyFont="1" applyFill="1" applyBorder="1" applyAlignment="1">
      <alignment horizontal="center" vertical="center"/>
    </xf>
    <xf numFmtId="0" fontId="67" fillId="10" borderId="42" xfId="1" applyFont="1" applyFill="1" applyBorder="1" applyAlignment="1">
      <alignment horizontal="center" vertical="center"/>
    </xf>
    <xf numFmtId="0" fontId="67" fillId="10" borderId="5" xfId="1" applyFont="1" applyFill="1" applyBorder="1" applyAlignment="1">
      <alignment horizontal="center" vertical="center"/>
    </xf>
    <xf numFmtId="0" fontId="67" fillId="10" borderId="81" xfId="1" applyFont="1" applyFill="1" applyBorder="1" applyAlignment="1">
      <alignment horizontal="center" vertical="center"/>
    </xf>
    <xf numFmtId="0" fontId="90" fillId="17" borderId="110" xfId="0" applyFont="1" applyFill="1" applyBorder="1" applyAlignment="1">
      <alignment horizontal="center" textRotation="90" readingOrder="2"/>
    </xf>
    <xf numFmtId="0" fontId="90" fillId="17" borderId="57" xfId="0" applyFont="1" applyFill="1" applyBorder="1" applyAlignment="1">
      <alignment horizontal="center" textRotation="90" readingOrder="2"/>
    </xf>
    <xf numFmtId="0" fontId="67" fillId="38" borderId="12" xfId="0" applyFont="1" applyFill="1" applyBorder="1" applyAlignment="1">
      <alignment horizontal="center" vertical="center"/>
    </xf>
    <xf numFmtId="0" fontId="67" fillId="38" borderId="0" xfId="0" applyFont="1" applyFill="1" applyAlignment="1">
      <alignment horizontal="center" vertical="center"/>
    </xf>
    <xf numFmtId="0" fontId="67" fillId="38" borderId="9" xfId="0" applyFont="1" applyFill="1" applyBorder="1" applyAlignment="1">
      <alignment horizontal="center" vertical="center"/>
    </xf>
    <xf numFmtId="0" fontId="65" fillId="0" borderId="179" xfId="0" applyFont="1" applyBorder="1" applyAlignment="1">
      <alignment horizontal="center" vertical="center"/>
    </xf>
    <xf numFmtId="0" fontId="65" fillId="0" borderId="13" xfId="0" applyFont="1" applyBorder="1" applyAlignment="1">
      <alignment horizontal="center" vertical="center"/>
    </xf>
    <xf numFmtId="0" fontId="65" fillId="0" borderId="20" xfId="0" applyFont="1" applyBorder="1" applyAlignment="1">
      <alignment horizontal="center" vertical="center"/>
    </xf>
    <xf numFmtId="0" fontId="67" fillId="43" borderId="0" xfId="1" applyFont="1" applyFill="1" applyBorder="1" applyAlignment="1">
      <alignment horizontal="center" vertical="center"/>
    </xf>
    <xf numFmtId="0" fontId="67" fillId="43" borderId="1" xfId="1" applyFont="1" applyFill="1" applyBorder="1" applyAlignment="1">
      <alignment horizontal="center" vertical="center"/>
    </xf>
    <xf numFmtId="0" fontId="67" fillId="38" borderId="0" xfId="1" applyFont="1" applyFill="1" applyBorder="1" applyAlignment="1">
      <alignment horizontal="center" vertical="center"/>
    </xf>
    <xf numFmtId="0" fontId="67" fillId="38" borderId="1" xfId="1" applyFont="1" applyFill="1" applyBorder="1" applyAlignment="1">
      <alignment horizontal="center" vertical="center"/>
    </xf>
    <xf numFmtId="0" fontId="75" fillId="16" borderId="55" xfId="1" applyFont="1" applyFill="1" applyBorder="1" applyAlignment="1">
      <alignment horizontal="center" vertical="center"/>
    </xf>
    <xf numFmtId="0" fontId="75" fillId="16" borderId="4" xfId="1" applyFont="1" applyFill="1" applyBorder="1" applyAlignment="1">
      <alignment horizontal="center" vertical="center"/>
    </xf>
    <xf numFmtId="0" fontId="79" fillId="38" borderId="1" xfId="0" applyFont="1" applyFill="1" applyBorder="1" applyAlignment="1">
      <alignment horizontal="center"/>
    </xf>
    <xf numFmtId="0" fontId="92" fillId="43" borderId="38" xfId="0" applyFont="1" applyFill="1" applyBorder="1" applyAlignment="1">
      <alignment horizontal="center" vertical="center" wrapText="1"/>
    </xf>
    <xf numFmtId="0" fontId="92" fillId="43" borderId="18" xfId="0" applyFont="1" applyFill="1" applyBorder="1" applyAlignment="1">
      <alignment horizontal="center" vertical="center" wrapText="1"/>
    </xf>
    <xf numFmtId="0" fontId="67" fillId="8" borderId="38" xfId="0" applyFont="1" applyFill="1" applyBorder="1" applyAlignment="1">
      <alignment horizontal="center" vertical="center" wrapText="1"/>
    </xf>
    <xf numFmtId="0" fontId="67" fillId="8" borderId="18" xfId="0" applyFont="1" applyFill="1" applyBorder="1" applyAlignment="1">
      <alignment horizontal="center" vertical="center" wrapText="1"/>
    </xf>
    <xf numFmtId="0" fontId="67" fillId="17" borderId="57" xfId="0" applyFont="1" applyFill="1" applyBorder="1" applyAlignment="1">
      <alignment horizontal="center" vertical="center" textRotation="90" wrapText="1" readingOrder="2"/>
    </xf>
    <xf numFmtId="0" fontId="67" fillId="17" borderId="106" xfId="0" applyFont="1" applyFill="1" applyBorder="1" applyAlignment="1">
      <alignment horizontal="center" vertical="center" textRotation="90" wrapText="1" readingOrder="2"/>
    </xf>
    <xf numFmtId="0" fontId="93" fillId="43" borderId="28" xfId="1" applyFont="1" applyFill="1" applyBorder="1" applyAlignment="1">
      <alignment horizontal="center" vertical="center" wrapText="1"/>
    </xf>
    <xf numFmtId="0" fontId="93" fillId="43" borderId="27" xfId="1" applyFont="1" applyFill="1" applyBorder="1" applyAlignment="1">
      <alignment horizontal="center" vertical="center" wrapText="1"/>
    </xf>
    <xf numFmtId="0" fontId="93" fillId="43" borderId="3" xfId="1" applyFont="1" applyFill="1" applyBorder="1" applyAlignment="1">
      <alignment horizontal="center" vertical="center" wrapText="1"/>
    </xf>
    <xf numFmtId="0" fontId="67" fillId="43" borderId="40" xfId="1" applyFont="1" applyFill="1" applyBorder="1" applyAlignment="1">
      <alignment horizontal="center" vertical="center" wrapText="1"/>
    </xf>
    <xf numFmtId="0" fontId="67" fillId="43" borderId="62" xfId="1" applyFont="1" applyFill="1" applyBorder="1" applyAlignment="1">
      <alignment horizontal="center" vertical="center" wrapText="1"/>
    </xf>
    <xf numFmtId="0" fontId="67" fillId="43" borderId="130" xfId="1" applyFont="1" applyFill="1" applyBorder="1" applyAlignment="1">
      <alignment horizontal="center" vertical="center" wrapText="1"/>
    </xf>
    <xf numFmtId="0" fontId="67" fillId="43" borderId="131" xfId="1" applyFont="1" applyFill="1" applyBorder="1" applyAlignment="1">
      <alignment horizontal="center" vertical="center" wrapText="1"/>
    </xf>
    <xf numFmtId="0" fontId="58" fillId="43" borderId="35" xfId="1" applyFont="1" applyFill="1" applyBorder="1" applyAlignment="1">
      <alignment horizontal="center" vertical="center"/>
    </xf>
    <xf numFmtId="0" fontId="67" fillId="38" borderId="1" xfId="0" applyFont="1" applyFill="1" applyBorder="1" applyAlignment="1">
      <alignment horizontal="center" vertical="center"/>
    </xf>
    <xf numFmtId="0" fontId="67" fillId="16" borderId="38" xfId="0" applyFont="1" applyFill="1" applyBorder="1" applyAlignment="1">
      <alignment horizontal="center" vertical="center" wrapText="1"/>
    </xf>
    <xf numFmtId="0" fontId="67" fillId="16" borderId="18" xfId="0" applyFont="1" applyFill="1" applyBorder="1" applyAlignment="1">
      <alignment horizontal="center" vertical="center" wrapText="1"/>
    </xf>
    <xf numFmtId="0" fontId="58" fillId="16" borderId="40" xfId="0" applyFont="1" applyFill="1" applyBorder="1" applyAlignment="1">
      <alignment horizontal="center" vertical="center" wrapText="1"/>
    </xf>
    <xf numFmtId="0" fontId="58" fillId="16" borderId="27" xfId="0" applyFont="1" applyFill="1" applyBorder="1" applyAlignment="1">
      <alignment horizontal="center" vertical="center" wrapText="1"/>
    </xf>
    <xf numFmtId="0" fontId="58" fillId="16" borderId="62" xfId="0" applyFont="1" applyFill="1" applyBorder="1" applyAlignment="1">
      <alignment horizontal="center" vertical="center" wrapText="1"/>
    </xf>
    <xf numFmtId="0" fontId="58" fillId="16" borderId="3" xfId="0" applyFont="1" applyFill="1" applyBorder="1" applyAlignment="1">
      <alignment horizontal="center" vertical="center" wrapText="1"/>
    </xf>
    <xf numFmtId="0" fontId="92" fillId="16" borderId="38" xfId="0" applyFont="1" applyFill="1" applyBorder="1" applyAlignment="1">
      <alignment horizontal="center" vertical="center" wrapText="1"/>
    </xf>
    <xf numFmtId="0" fontId="92" fillId="16" borderId="18" xfId="0" applyFont="1" applyFill="1" applyBorder="1" applyAlignment="1">
      <alignment horizontal="center" vertical="center" wrapText="1"/>
    </xf>
    <xf numFmtId="0" fontId="89" fillId="16" borderId="40" xfId="1" applyFont="1" applyFill="1" applyBorder="1" applyAlignment="1">
      <alignment horizontal="center" vertical="center" wrapText="1"/>
    </xf>
    <xf numFmtId="0" fontId="89" fillId="16" borderId="27" xfId="1" applyFont="1" applyFill="1" applyBorder="1" applyAlignment="1">
      <alignment horizontal="center" vertical="center" wrapText="1"/>
    </xf>
    <xf numFmtId="0" fontId="89" fillId="16" borderId="62" xfId="1" applyFont="1" applyFill="1" applyBorder="1" applyAlignment="1">
      <alignment horizontal="center" vertical="center" wrapText="1"/>
    </xf>
    <xf numFmtId="0" fontId="89" fillId="16" borderId="3" xfId="1" applyFont="1" applyFill="1" applyBorder="1" applyAlignment="1">
      <alignment horizontal="center" vertical="center" wrapText="1"/>
    </xf>
    <xf numFmtId="0" fontId="89" fillId="38" borderId="18" xfId="1" applyFont="1" applyFill="1" applyBorder="1" applyAlignment="1">
      <alignment horizontal="center" vertical="center" wrapText="1"/>
    </xf>
    <xf numFmtId="0" fontId="67" fillId="31" borderId="12" xfId="0" applyFont="1" applyFill="1" applyBorder="1" applyAlignment="1">
      <alignment horizontal="center" vertical="center"/>
    </xf>
    <xf numFmtId="0" fontId="67" fillId="31" borderId="128" xfId="0" applyFont="1" applyFill="1" applyBorder="1" applyAlignment="1">
      <alignment horizontal="center" vertical="center"/>
    </xf>
    <xf numFmtId="0" fontId="67" fillId="31" borderId="0" xfId="0" applyFont="1" applyFill="1" applyAlignment="1">
      <alignment horizontal="center" vertical="center"/>
    </xf>
    <xf numFmtId="0" fontId="67" fillId="31" borderId="61" xfId="0" applyFont="1" applyFill="1" applyBorder="1" applyAlignment="1">
      <alignment horizontal="center" vertical="center"/>
    </xf>
    <xf numFmtId="0" fontId="67" fillId="31" borderId="1" xfId="0" applyFont="1" applyFill="1" applyBorder="1" applyAlignment="1">
      <alignment horizontal="center" vertical="center"/>
    </xf>
    <xf numFmtId="0" fontId="67" fillId="31" borderId="129" xfId="0" applyFont="1" applyFill="1" applyBorder="1" applyAlignment="1">
      <alignment horizontal="center" vertical="center"/>
    </xf>
    <xf numFmtId="0" fontId="89" fillId="38" borderId="51" xfId="1" applyFont="1" applyFill="1" applyBorder="1" applyAlignment="1">
      <alignment horizontal="center" vertical="center"/>
    </xf>
    <xf numFmtId="0" fontId="89" fillId="38" borderId="47" xfId="1" applyFont="1" applyFill="1" applyBorder="1" applyAlignment="1">
      <alignment horizontal="center" vertical="center"/>
    </xf>
    <xf numFmtId="0" fontId="67" fillId="31" borderId="1" xfId="1" applyFont="1" applyFill="1" applyBorder="1" applyAlignment="1">
      <alignment horizontal="center" vertical="center"/>
    </xf>
    <xf numFmtId="0" fontId="67" fillId="17" borderId="110" xfId="0" applyFont="1" applyFill="1" applyBorder="1" applyAlignment="1">
      <alignment horizontal="center" textRotation="180" readingOrder="2"/>
    </xf>
    <xf numFmtId="0" fontId="67" fillId="17" borderId="57" xfId="0" applyFont="1" applyFill="1" applyBorder="1" applyAlignment="1">
      <alignment horizontal="center" textRotation="180" readingOrder="2"/>
    </xf>
    <xf numFmtId="0" fontId="89" fillId="42" borderId="12" xfId="1" applyFont="1" applyFill="1" applyBorder="1" applyAlignment="1">
      <alignment horizontal="center" vertical="center" wrapText="1"/>
    </xf>
    <xf numFmtId="0" fontId="89" fillId="42" borderId="41" xfId="1" applyFont="1" applyFill="1" applyBorder="1" applyAlignment="1">
      <alignment horizontal="center" vertical="center" wrapText="1"/>
    </xf>
    <xf numFmtId="0" fontId="89" fillId="42" borderId="4" xfId="1" applyFont="1" applyFill="1" applyBorder="1" applyAlignment="1">
      <alignment horizontal="center" vertical="center" wrapText="1"/>
    </xf>
    <xf numFmtId="0" fontId="67" fillId="31" borderId="12" xfId="1" applyFont="1" applyFill="1" applyBorder="1" applyAlignment="1">
      <alignment horizontal="center" vertical="center"/>
    </xf>
    <xf numFmtId="0" fontId="67" fillId="31" borderId="0" xfId="1" applyFont="1" applyFill="1" applyBorder="1" applyAlignment="1">
      <alignment horizontal="center" vertical="center"/>
    </xf>
    <xf numFmtId="0" fontId="67" fillId="38" borderId="17" xfId="0" applyFont="1" applyFill="1" applyBorder="1" applyAlignment="1">
      <alignment horizontal="center" vertical="center" wrapText="1"/>
    </xf>
    <xf numFmtId="0" fontId="67" fillId="38" borderId="38" xfId="0" applyFont="1" applyFill="1" applyBorder="1" applyAlignment="1">
      <alignment horizontal="center" vertical="center" wrapText="1"/>
    </xf>
    <xf numFmtId="0" fontId="67" fillId="38" borderId="18" xfId="0" applyFont="1" applyFill="1" applyBorder="1" applyAlignment="1">
      <alignment horizontal="center" vertical="center" wrapText="1"/>
    </xf>
    <xf numFmtId="0" fontId="67" fillId="31" borderId="100" xfId="0" applyFont="1" applyFill="1" applyBorder="1" applyAlignment="1">
      <alignment horizontal="center" vertical="center"/>
    </xf>
    <xf numFmtId="0" fontId="67" fillId="31" borderId="40" xfId="0" applyFont="1" applyFill="1" applyBorder="1" applyAlignment="1">
      <alignment horizontal="center" vertical="center"/>
    </xf>
    <xf numFmtId="0" fontId="67" fillId="31" borderId="62" xfId="0" applyFont="1" applyFill="1" applyBorder="1" applyAlignment="1">
      <alignment horizontal="center" vertical="center"/>
    </xf>
    <xf numFmtId="0" fontId="67" fillId="17" borderId="110" xfId="0" applyFont="1" applyFill="1" applyBorder="1" applyAlignment="1">
      <alignment horizontal="center" readingOrder="2"/>
    </xf>
    <xf numFmtId="0" fontId="67" fillId="17" borderId="57" xfId="0" applyFont="1" applyFill="1" applyBorder="1" applyAlignment="1">
      <alignment horizontal="center" readingOrder="2"/>
    </xf>
    <xf numFmtId="0" fontId="67" fillId="17" borderId="134" xfId="0" applyFont="1" applyFill="1" applyBorder="1" applyAlignment="1">
      <alignment horizontal="center" readingOrder="2"/>
    </xf>
    <xf numFmtId="0" fontId="67" fillId="42" borderId="12" xfId="1" applyFont="1" applyFill="1" applyBorder="1" applyAlignment="1">
      <alignment horizontal="center" vertical="center" wrapText="1"/>
    </xf>
    <xf numFmtId="0" fontId="67" fillId="42" borderId="19" xfId="1" applyFont="1" applyFill="1" applyBorder="1" applyAlignment="1">
      <alignment horizontal="center" vertical="center" wrapText="1"/>
    </xf>
    <xf numFmtId="0" fontId="67" fillId="42" borderId="41" xfId="1" applyFont="1" applyFill="1" applyBorder="1" applyAlignment="1">
      <alignment horizontal="center" vertical="center" wrapText="1"/>
    </xf>
    <xf numFmtId="0" fontId="67" fillId="42" borderId="4" xfId="1" applyFont="1" applyFill="1" applyBorder="1" applyAlignment="1">
      <alignment horizontal="center" vertical="center" wrapText="1"/>
    </xf>
    <xf numFmtId="0" fontId="89" fillId="31" borderId="12" xfId="1" applyFont="1" applyFill="1" applyBorder="1" applyAlignment="1">
      <alignment horizontal="center" vertical="center"/>
    </xf>
    <xf numFmtId="0" fontId="89" fillId="42" borderId="17" xfId="1" applyFont="1" applyFill="1" applyBorder="1" applyAlignment="1">
      <alignment horizontal="center" vertical="center" wrapText="1"/>
    </xf>
    <xf numFmtId="0" fontId="89" fillId="42" borderId="2" xfId="1" applyFont="1" applyFill="1" applyBorder="1" applyAlignment="1">
      <alignment horizontal="center" vertical="center" wrapText="1"/>
    </xf>
    <xf numFmtId="0" fontId="67" fillId="9" borderId="0" xfId="1" applyFont="1" applyFill="1" applyBorder="1" applyAlignment="1">
      <alignment horizontal="center" vertical="center"/>
    </xf>
    <xf numFmtId="0" fontId="67" fillId="9" borderId="1" xfId="1" applyFont="1" applyFill="1" applyBorder="1" applyAlignment="1">
      <alignment horizontal="center" vertical="center"/>
    </xf>
    <xf numFmtId="0" fontId="89" fillId="8" borderId="51" xfId="1" applyFont="1" applyFill="1" applyBorder="1" applyAlignment="1">
      <alignment horizontal="center" vertical="center"/>
    </xf>
    <xf numFmtId="0" fontId="89" fillId="8" borderId="47" xfId="1" applyFont="1" applyFill="1" applyBorder="1" applyAlignment="1">
      <alignment horizontal="center" vertical="center"/>
    </xf>
    <xf numFmtId="0" fontId="89" fillId="8" borderId="50" xfId="1" applyFont="1" applyFill="1" applyBorder="1" applyAlignment="1">
      <alignment horizontal="center" vertical="center"/>
    </xf>
    <xf numFmtId="0" fontId="67" fillId="8" borderId="64" xfId="0" applyFont="1" applyFill="1" applyBorder="1" applyAlignment="1">
      <alignment horizontal="center" vertical="center"/>
    </xf>
    <xf numFmtId="0" fontId="67" fillId="8" borderId="97" xfId="0" applyFont="1" applyFill="1" applyBorder="1" applyAlignment="1">
      <alignment horizontal="center" vertical="center"/>
    </xf>
    <xf numFmtId="0" fontId="67" fillId="8" borderId="99" xfId="0" applyFont="1" applyFill="1" applyBorder="1" applyAlignment="1">
      <alignment horizontal="center" vertical="center"/>
    </xf>
    <xf numFmtId="0" fontId="67" fillId="8" borderId="62" xfId="0" applyFont="1" applyFill="1" applyBorder="1" applyAlignment="1">
      <alignment horizontal="center" vertical="center"/>
    </xf>
    <xf numFmtId="0" fontId="67" fillId="8" borderId="1" xfId="0" applyFont="1" applyFill="1" applyBorder="1" applyAlignment="1">
      <alignment horizontal="center" vertical="center"/>
    </xf>
    <xf numFmtId="0" fontId="67" fillId="8" borderId="3" xfId="0" applyFont="1" applyFill="1" applyBorder="1" applyAlignment="1">
      <alignment horizontal="center" vertical="center"/>
    </xf>
    <xf numFmtId="0" fontId="67" fillId="9" borderId="0" xfId="0" applyFont="1" applyFill="1" applyAlignment="1">
      <alignment vertical="center"/>
    </xf>
    <xf numFmtId="0" fontId="67" fillId="9" borderId="61" xfId="0" applyFont="1" applyFill="1" applyBorder="1" applyAlignment="1">
      <alignment vertical="center"/>
    </xf>
    <xf numFmtId="0" fontId="67" fillId="9" borderId="1" xfId="0" applyFont="1" applyFill="1" applyBorder="1" applyAlignment="1">
      <alignment vertical="center"/>
    </xf>
    <xf numFmtId="0" fontId="67" fillId="9" borderId="129" xfId="0" applyFont="1" applyFill="1" applyBorder="1" applyAlignment="1">
      <alignment vertical="center"/>
    </xf>
    <xf numFmtId="0" fontId="89" fillId="9" borderId="1" xfId="1" applyFont="1" applyFill="1" applyBorder="1" applyAlignment="1">
      <alignment horizontal="center" vertical="center"/>
    </xf>
    <xf numFmtId="0" fontId="67" fillId="9" borderId="1" xfId="0" applyFont="1" applyFill="1" applyBorder="1" applyAlignment="1">
      <alignment horizontal="center" vertical="center" wrapText="1"/>
    </xf>
    <xf numFmtId="0" fontId="67" fillId="8" borderId="100" xfId="0" applyFont="1" applyFill="1" applyBorder="1" applyAlignment="1">
      <alignment horizontal="center" vertical="center" wrapText="1"/>
    </xf>
    <xf numFmtId="0" fontId="67" fillId="8" borderId="19" xfId="0" applyFont="1" applyFill="1" applyBorder="1" applyAlignment="1">
      <alignment horizontal="center" vertical="center" wrapText="1"/>
    </xf>
    <xf numFmtId="0" fontId="67" fillId="8" borderId="55" xfId="0" applyFont="1" applyFill="1" applyBorder="1" applyAlignment="1">
      <alignment horizontal="center" vertical="center" wrapText="1"/>
    </xf>
    <xf numFmtId="0" fontId="67" fillId="8" borderId="4" xfId="0" applyFont="1" applyFill="1" applyBorder="1" applyAlignment="1">
      <alignment horizontal="center" vertical="center" wrapText="1"/>
    </xf>
    <xf numFmtId="0" fontId="93" fillId="42" borderId="17" xfId="0" applyFont="1" applyFill="1" applyBorder="1" applyAlignment="1">
      <alignment horizontal="center" vertical="center" wrapText="1"/>
    </xf>
    <xf numFmtId="0" fontId="93" fillId="42" borderId="2" xfId="0" applyFont="1" applyFill="1" applyBorder="1" applyAlignment="1">
      <alignment horizontal="center" vertical="center" wrapText="1"/>
    </xf>
    <xf numFmtId="0" fontId="67" fillId="9" borderId="12" xfId="0" applyFont="1" applyFill="1" applyBorder="1" applyAlignment="1">
      <alignment vertical="center"/>
    </xf>
    <xf numFmtId="0" fontId="67" fillId="9" borderId="12" xfId="0" applyFont="1" applyFill="1" applyBorder="1" applyAlignment="1">
      <alignment horizontal="center" vertical="center"/>
    </xf>
    <xf numFmtId="0" fontId="67" fillId="9" borderId="0" xfId="0" applyFont="1" applyFill="1" applyAlignment="1">
      <alignment horizontal="center" vertical="center"/>
    </xf>
    <xf numFmtId="0" fontId="67" fillId="9" borderId="1" xfId="0" applyFont="1" applyFill="1" applyBorder="1" applyAlignment="1">
      <alignment horizontal="center" vertical="center"/>
    </xf>
    <xf numFmtId="0" fontId="67" fillId="42" borderId="79" xfId="0" applyFont="1" applyFill="1" applyBorder="1" applyAlignment="1">
      <alignment horizontal="center" vertical="center"/>
    </xf>
    <xf numFmtId="0" fontId="67" fillId="42" borderId="123" xfId="0" applyFont="1" applyFill="1" applyBorder="1" applyAlignment="1">
      <alignment horizontal="center" vertical="center"/>
    </xf>
    <xf numFmtId="0" fontId="67" fillId="42" borderId="44" xfId="1" applyFont="1" applyFill="1" applyBorder="1" applyAlignment="1">
      <alignment horizontal="center" vertical="center"/>
    </xf>
    <xf numFmtId="0" fontId="67" fillId="42" borderId="43" xfId="1" applyFont="1" applyFill="1" applyBorder="1" applyAlignment="1">
      <alignment horizontal="center" vertical="center"/>
    </xf>
    <xf numFmtId="0" fontId="67" fillId="9" borderId="12" xfId="1" applyFont="1" applyFill="1" applyBorder="1" applyAlignment="1">
      <alignment horizontal="center" vertical="center"/>
    </xf>
    <xf numFmtId="0" fontId="89" fillId="9" borderId="12" xfId="1" applyFont="1" applyFill="1" applyBorder="1" applyAlignment="1">
      <alignment horizontal="center" vertical="center"/>
    </xf>
    <xf numFmtId="0" fontId="94" fillId="9" borderId="0" xfId="1" applyFont="1" applyFill="1" applyBorder="1" applyAlignment="1">
      <alignment horizontal="center" vertical="center" wrapText="1"/>
    </xf>
    <xf numFmtId="0" fontId="94" fillId="9" borderId="12" xfId="1" applyFont="1" applyFill="1" applyBorder="1" applyAlignment="1">
      <alignment horizontal="center" vertical="center" wrapText="1"/>
    </xf>
    <xf numFmtId="0" fontId="94" fillId="9" borderId="1" xfId="1" applyFont="1" applyFill="1" applyBorder="1" applyAlignment="1">
      <alignment horizontal="center" vertical="center" wrapText="1"/>
    </xf>
    <xf numFmtId="0" fontId="67" fillId="17" borderId="120" xfId="0" applyFont="1" applyFill="1" applyBorder="1" applyAlignment="1">
      <alignment horizontal="center" vertical="center" textRotation="180"/>
    </xf>
    <xf numFmtId="0" fontId="67" fillId="17" borderId="109" xfId="0" applyFont="1" applyFill="1" applyBorder="1" applyAlignment="1">
      <alignment horizontal="center" vertical="center" textRotation="180"/>
    </xf>
    <xf numFmtId="0" fontId="58" fillId="42" borderId="17" xfId="0" applyFont="1" applyFill="1" applyBorder="1" applyAlignment="1">
      <alignment horizontal="center" vertical="center" wrapText="1"/>
    </xf>
    <xf numFmtId="0" fontId="58" fillId="42" borderId="2" xfId="0" applyFont="1" applyFill="1" applyBorder="1" applyAlignment="1">
      <alignment horizontal="center" vertical="center" wrapText="1"/>
    </xf>
    <xf numFmtId="0" fontId="67" fillId="9" borderId="9" xfId="0" applyFont="1" applyFill="1" applyBorder="1" applyAlignment="1">
      <alignment vertical="center"/>
    </xf>
    <xf numFmtId="0" fontId="67" fillId="9" borderId="9" xfId="1" applyFont="1" applyFill="1" applyBorder="1" applyAlignment="1">
      <alignment horizontal="center" vertical="center"/>
    </xf>
    <xf numFmtId="0" fontId="89" fillId="9" borderId="9" xfId="1" applyFont="1" applyFill="1" applyBorder="1" applyAlignment="1">
      <alignment horizontal="center" vertical="center"/>
    </xf>
    <xf numFmtId="0" fontId="67" fillId="9" borderId="9" xfId="0" applyFont="1" applyFill="1" applyBorder="1" applyAlignment="1">
      <alignment vertical="center" wrapText="1"/>
    </xf>
    <xf numFmtId="0" fontId="67" fillId="17" borderId="109" xfId="0" applyFont="1" applyFill="1" applyBorder="1" applyAlignment="1">
      <alignment horizontal="center" vertical="center" textRotation="90"/>
    </xf>
    <xf numFmtId="0" fontId="67" fillId="17" borderId="114" xfId="0" applyFont="1" applyFill="1" applyBorder="1" applyAlignment="1">
      <alignment horizontal="center" vertical="center" textRotation="90"/>
    </xf>
    <xf numFmtId="0" fontId="67" fillId="8" borderId="11" xfId="0" applyFont="1" applyFill="1" applyBorder="1" applyAlignment="1">
      <alignment horizontal="center" vertical="center"/>
    </xf>
    <xf numFmtId="0" fontId="67" fillId="8" borderId="9" xfId="0" applyFont="1" applyFill="1" applyBorder="1" applyAlignment="1">
      <alignment horizontal="center" vertical="center"/>
    </xf>
    <xf numFmtId="0" fontId="67" fillId="8" borderId="24" xfId="0" applyFont="1" applyFill="1" applyBorder="1" applyAlignment="1">
      <alignment horizontal="center" vertical="center"/>
    </xf>
    <xf numFmtId="0" fontId="67" fillId="9" borderId="126" xfId="0" applyFont="1" applyFill="1" applyBorder="1" applyAlignment="1">
      <alignment vertical="center"/>
    </xf>
    <xf numFmtId="0" fontId="67" fillId="9" borderId="9" xfId="0" applyFont="1" applyFill="1" applyBorder="1" applyAlignment="1">
      <alignment horizontal="center" vertical="center"/>
    </xf>
    <xf numFmtId="0" fontId="67" fillId="17" borderId="119" xfId="0" applyFont="1" applyFill="1" applyBorder="1" applyAlignment="1">
      <alignment horizontal="center" vertical="center" textRotation="90"/>
    </xf>
    <xf numFmtId="0" fontId="67" fillId="17" borderId="126" xfId="0" applyFont="1" applyFill="1" applyBorder="1" applyAlignment="1">
      <alignment horizontal="center" vertical="center" textRotation="90"/>
    </xf>
    <xf numFmtId="0" fontId="65" fillId="30" borderId="32" xfId="0" applyFont="1" applyFill="1" applyBorder="1" applyAlignment="1">
      <alignment horizontal="center" vertical="center" wrapText="1"/>
    </xf>
    <xf numFmtId="0" fontId="65" fillId="30" borderId="33" xfId="0" applyFont="1" applyFill="1" applyBorder="1" applyAlignment="1">
      <alignment horizontal="center" vertical="center" wrapText="1"/>
    </xf>
    <xf numFmtId="0" fontId="65" fillId="8" borderId="69" xfId="0" applyFont="1" applyFill="1" applyBorder="1" applyAlignment="1">
      <alignment horizontal="center" vertical="center" wrapText="1"/>
    </xf>
    <xf numFmtId="0" fontId="65" fillId="8" borderId="71" xfId="0" applyFont="1" applyFill="1" applyBorder="1" applyAlignment="1">
      <alignment horizontal="center" vertical="center" wrapText="1"/>
    </xf>
    <xf numFmtId="0" fontId="65" fillId="22" borderId="28" xfId="0" applyFont="1" applyFill="1" applyBorder="1" applyAlignment="1">
      <alignment horizontal="center" vertical="center" wrapText="1"/>
    </xf>
    <xf numFmtId="0" fontId="65" fillId="22" borderId="24" xfId="0" applyFont="1" applyFill="1" applyBorder="1" applyAlignment="1">
      <alignment horizontal="center" vertical="center" wrapText="1"/>
    </xf>
    <xf numFmtId="0" fontId="65" fillId="27" borderId="151" xfId="0" applyFont="1" applyFill="1" applyBorder="1" applyAlignment="1">
      <alignment horizontal="center" vertical="center" wrapText="1"/>
    </xf>
    <xf numFmtId="0" fontId="65" fillId="27" borderId="93" xfId="0" applyFont="1" applyFill="1" applyBorder="1" applyAlignment="1">
      <alignment horizontal="center" vertical="center" wrapText="1"/>
    </xf>
    <xf numFmtId="0" fontId="65" fillId="5" borderId="20" xfId="0" applyFont="1" applyFill="1" applyBorder="1" applyAlignment="1">
      <alignment horizontal="center" vertical="center" wrapText="1"/>
    </xf>
    <xf numFmtId="0" fontId="65" fillId="5" borderId="26" xfId="0" applyFont="1" applyFill="1" applyBorder="1" applyAlignment="1">
      <alignment horizontal="center" vertical="center" wrapText="1"/>
    </xf>
    <xf numFmtId="0" fontId="94" fillId="9" borderId="9" xfId="1" applyFont="1" applyFill="1" applyBorder="1" applyAlignment="1">
      <alignment horizontal="center" vertical="center" wrapText="1"/>
    </xf>
    <xf numFmtId="0" fontId="65" fillId="8" borderId="217" xfId="0" applyFont="1" applyFill="1" applyBorder="1" applyAlignment="1">
      <alignment vertical="center" wrapText="1" readingOrder="2"/>
    </xf>
    <xf numFmtId="0" fontId="65" fillId="8" borderId="225" xfId="0" applyFont="1" applyFill="1" applyBorder="1" applyAlignment="1">
      <alignment horizontal="left" vertical="center" wrapText="1" readingOrder="2"/>
    </xf>
    <xf numFmtId="0" fontId="65" fillId="40" borderId="89" xfId="0" applyFont="1" applyFill="1" applyBorder="1" applyAlignment="1">
      <alignment vertical="center" wrapText="1" readingOrder="2"/>
    </xf>
    <xf numFmtId="0" fontId="65" fillId="40" borderId="217" xfId="0" applyFont="1" applyFill="1" applyBorder="1" applyAlignment="1">
      <alignment vertical="center" wrapText="1" readingOrder="2"/>
    </xf>
    <xf numFmtId="0" fontId="65" fillId="40" borderId="53" xfId="0" applyFont="1" applyFill="1" applyBorder="1" applyAlignment="1">
      <alignment horizontal="left" vertical="center" wrapText="1" readingOrder="2"/>
    </xf>
    <xf numFmtId="0" fontId="65" fillId="40" borderId="225" xfId="0" applyFont="1" applyFill="1" applyBorder="1" applyAlignment="1">
      <alignment horizontal="left" vertical="center" wrapText="1" readingOrder="2"/>
    </xf>
    <xf numFmtId="0" fontId="67" fillId="17" borderId="110" xfId="0" applyFont="1" applyFill="1" applyBorder="1" applyAlignment="1">
      <alignment horizontal="center" vertical="center" textRotation="180" wrapText="1" readingOrder="2"/>
    </xf>
    <xf numFmtId="0" fontId="67" fillId="17" borderId="57" xfId="0" applyFont="1" applyFill="1" applyBorder="1" applyAlignment="1">
      <alignment horizontal="center" vertical="center" textRotation="180" wrapText="1" readingOrder="2"/>
    </xf>
    <xf numFmtId="0" fontId="67" fillId="17" borderId="106" xfId="0" applyFont="1" applyFill="1" applyBorder="1" applyAlignment="1">
      <alignment horizontal="center" vertical="center" textRotation="180" wrapText="1" readingOrder="2"/>
    </xf>
    <xf numFmtId="0" fontId="89" fillId="38" borderId="13" xfId="1" applyFont="1" applyFill="1" applyBorder="1" applyAlignment="1">
      <alignment horizontal="center" vertical="center"/>
    </xf>
    <xf numFmtId="0" fontId="67" fillId="43" borderId="35" xfId="1" applyFont="1" applyFill="1" applyBorder="1" applyAlignment="1">
      <alignment horizontal="center" vertical="center"/>
    </xf>
    <xf numFmtId="0" fontId="18" fillId="0" borderId="184" xfId="0" applyFont="1" applyBorder="1" applyAlignment="1">
      <alignment vertical="center" textRotation="90"/>
    </xf>
    <xf numFmtId="0" fontId="18" fillId="0" borderId="15" xfId="0" applyFont="1" applyBorder="1" applyAlignment="1">
      <alignment vertical="center" textRotation="90"/>
    </xf>
    <xf numFmtId="0" fontId="18" fillId="0" borderId="103" xfId="0" applyFont="1" applyBorder="1" applyAlignment="1">
      <alignment vertical="center" textRotation="180"/>
    </xf>
    <xf numFmtId="0" fontId="18" fillId="0" borderId="8" xfId="0" applyFont="1" applyBorder="1" applyAlignment="1">
      <alignment vertical="center" textRotation="180"/>
    </xf>
    <xf numFmtId="0" fontId="22" fillId="17" borderId="57" xfId="0" applyFont="1" applyFill="1" applyBorder="1" applyAlignment="1">
      <alignment horizontal="center" vertical="center" textRotation="180"/>
    </xf>
    <xf numFmtId="0" fontId="22" fillId="17" borderId="106" xfId="0" applyFont="1" applyFill="1" applyBorder="1" applyAlignment="1">
      <alignment horizontal="center" vertical="center" textRotation="180"/>
    </xf>
    <xf numFmtId="0" fontId="32" fillId="6" borderId="76"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14" borderId="171" xfId="0" applyFont="1" applyFill="1" applyBorder="1" applyAlignment="1">
      <alignment horizontal="center" vertical="center" wrapText="1"/>
    </xf>
    <xf numFmtId="0" fontId="32" fillId="14" borderId="147" xfId="0" applyFont="1" applyFill="1" applyBorder="1" applyAlignment="1">
      <alignment horizontal="center" vertical="center" wrapText="1"/>
    </xf>
    <xf numFmtId="0" fontId="31" fillId="5" borderId="170" xfId="0" applyFont="1" applyFill="1" applyBorder="1" applyAlignment="1">
      <alignment horizontal="center" vertical="center" wrapText="1"/>
    </xf>
    <xf numFmtId="0" fontId="31" fillId="5" borderId="144" xfId="0" applyFont="1" applyFill="1" applyBorder="1" applyAlignment="1">
      <alignment horizontal="center" vertical="center" wrapText="1"/>
    </xf>
    <xf numFmtId="0" fontId="31" fillId="5" borderId="165" xfId="0" applyFont="1" applyFill="1" applyBorder="1" applyAlignment="1">
      <alignment horizontal="center" vertical="center" wrapText="1"/>
    </xf>
    <xf numFmtId="0" fontId="31" fillId="5" borderId="88" xfId="0" applyFont="1" applyFill="1" applyBorder="1" applyAlignment="1">
      <alignment horizontal="center" vertical="center" wrapText="1"/>
    </xf>
    <xf numFmtId="0" fontId="32" fillId="14" borderId="168" xfId="0" applyFont="1" applyFill="1" applyBorder="1" applyAlignment="1">
      <alignment horizontal="center" vertical="center" wrapText="1"/>
    </xf>
    <xf numFmtId="0" fontId="32" fillId="14" borderId="80"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7" borderId="171" xfId="0" applyFont="1" applyFill="1" applyBorder="1" applyAlignment="1">
      <alignment horizontal="center" vertical="center" wrapText="1"/>
    </xf>
    <xf numFmtId="0" fontId="32" fillId="7" borderId="173" xfId="0" applyFont="1" applyFill="1" applyBorder="1" applyAlignment="1">
      <alignment horizontal="center" vertical="center" wrapText="1"/>
    </xf>
    <xf numFmtId="0" fontId="32" fillId="9" borderId="170" xfId="0" applyFont="1" applyFill="1" applyBorder="1" applyAlignment="1">
      <alignment horizontal="center" vertical="center" wrapText="1"/>
    </xf>
    <xf numFmtId="0" fontId="32" fillId="9" borderId="172" xfId="0" applyFont="1" applyFill="1" applyBorder="1" applyAlignment="1">
      <alignment horizontal="center" vertical="center" wrapText="1"/>
    </xf>
    <xf numFmtId="0" fontId="31" fillId="2" borderId="164" xfId="0" applyFont="1" applyFill="1" applyBorder="1" applyAlignment="1">
      <alignment horizontal="center" vertical="center" wrapText="1"/>
    </xf>
    <xf numFmtId="0" fontId="31" fillId="2" borderId="163" xfId="0" applyFont="1" applyFill="1" applyBorder="1" applyAlignment="1">
      <alignment horizontal="center" vertical="center" wrapText="1"/>
    </xf>
    <xf numFmtId="0" fontId="32" fillId="9" borderId="165" xfId="0" applyFont="1" applyFill="1" applyBorder="1" applyAlignment="1">
      <alignment horizontal="center" vertical="center" wrapText="1"/>
    </xf>
    <xf numFmtId="0" fontId="32" fillId="9" borderId="88" xfId="0" applyFont="1" applyFill="1" applyBorder="1" applyAlignment="1">
      <alignment horizontal="center" vertical="center" wrapText="1"/>
    </xf>
    <xf numFmtId="0" fontId="32" fillId="7" borderId="168" xfId="0" applyFont="1" applyFill="1" applyBorder="1" applyAlignment="1">
      <alignment horizontal="center" vertical="center" wrapText="1"/>
    </xf>
    <xf numFmtId="0" fontId="32" fillId="7" borderId="80" xfId="0" applyFont="1" applyFill="1" applyBorder="1" applyAlignment="1">
      <alignment horizontal="center" vertical="center" wrapText="1"/>
    </xf>
    <xf numFmtId="0" fontId="32" fillId="14" borderId="173" xfId="0" applyFont="1" applyFill="1" applyBorder="1" applyAlignment="1">
      <alignment horizontal="center" vertical="center" wrapText="1"/>
    </xf>
    <xf numFmtId="0" fontId="31" fillId="5" borderId="172" xfId="0" applyFont="1" applyFill="1" applyBorder="1" applyAlignment="1">
      <alignment horizontal="center" vertical="center" wrapText="1"/>
    </xf>
    <xf numFmtId="0" fontId="31" fillId="2" borderId="161" xfId="0" applyFont="1" applyFill="1" applyBorder="1" applyAlignment="1">
      <alignment horizontal="center" vertical="center" wrapText="1"/>
    </xf>
    <xf numFmtId="0" fontId="32" fillId="9" borderId="143" xfId="0" applyFont="1" applyFill="1" applyBorder="1" applyAlignment="1">
      <alignment horizontal="center" vertical="center" wrapText="1"/>
    </xf>
    <xf numFmtId="0" fontId="32" fillId="7" borderId="146" xfId="0" applyFont="1" applyFill="1" applyBorder="1" applyAlignment="1">
      <alignment horizontal="center" vertical="center" wrapText="1"/>
    </xf>
    <xf numFmtId="0" fontId="31" fillId="14" borderId="175" xfId="0" applyFont="1" applyFill="1" applyBorder="1" applyAlignment="1">
      <alignment horizontal="left" vertical="center" wrapText="1"/>
    </xf>
    <xf numFmtId="0" fontId="31" fillId="14" borderId="176" xfId="0" applyFont="1" applyFill="1" applyBorder="1" applyAlignment="1">
      <alignment horizontal="left" vertical="center" wrapText="1"/>
    </xf>
    <xf numFmtId="0" fontId="31" fillId="22" borderId="65" xfId="0" applyFont="1" applyFill="1" applyBorder="1" applyAlignment="1">
      <alignment horizontal="center" vertical="center" wrapText="1"/>
    </xf>
    <xf numFmtId="0" fontId="31" fillId="22" borderId="87" xfId="0" applyFont="1" applyFill="1" applyBorder="1" applyAlignment="1">
      <alignment horizontal="center" vertical="center" wrapText="1"/>
    </xf>
    <xf numFmtId="0" fontId="19" fillId="17" borderId="110" xfId="0" applyFont="1" applyFill="1" applyBorder="1" applyAlignment="1">
      <alignment horizontal="center" vertical="center"/>
    </xf>
    <xf numFmtId="0" fontId="19" fillId="17" borderId="57" xfId="0" applyFont="1" applyFill="1" applyBorder="1" applyAlignment="1">
      <alignment horizontal="center" vertical="center"/>
    </xf>
    <xf numFmtId="0" fontId="19" fillId="17" borderId="106" xfId="0" applyFont="1" applyFill="1" applyBorder="1" applyAlignment="1">
      <alignment horizontal="center" vertical="center"/>
    </xf>
    <xf numFmtId="0" fontId="6" fillId="17" borderId="115" xfId="0" applyFont="1" applyFill="1" applyBorder="1" applyAlignment="1">
      <alignment horizontal="center" vertical="center"/>
    </xf>
    <xf numFmtId="0" fontId="6" fillId="17" borderId="116" xfId="0" applyFont="1" applyFill="1" applyBorder="1" applyAlignment="1">
      <alignment horizontal="center" vertical="center"/>
    </xf>
    <xf numFmtId="0" fontId="6" fillId="17" borderId="117" xfId="0" applyFont="1" applyFill="1" applyBorder="1" applyAlignment="1">
      <alignment horizontal="center" vertical="center"/>
    </xf>
    <xf numFmtId="0" fontId="22" fillId="17" borderId="180" xfId="0" applyFont="1" applyFill="1" applyBorder="1" applyAlignment="1">
      <alignment horizontal="center" vertical="center" textRotation="180"/>
    </xf>
    <xf numFmtId="0" fontId="22" fillId="17" borderId="148" xfId="0" applyFont="1" applyFill="1" applyBorder="1" applyAlignment="1">
      <alignment horizontal="center" vertical="center" textRotation="180"/>
    </xf>
    <xf numFmtId="0" fontId="22" fillId="17" borderId="181" xfId="0" applyFont="1" applyFill="1" applyBorder="1" applyAlignment="1">
      <alignment horizontal="center" vertical="center" textRotation="180"/>
    </xf>
    <xf numFmtId="0" fontId="22" fillId="17" borderId="113" xfId="0" applyFont="1" applyFill="1" applyBorder="1" applyAlignment="1">
      <alignment horizontal="center" vertical="center" textRotation="90"/>
    </xf>
    <xf numFmtId="0" fontId="22" fillId="17" borderId="111" xfId="0" applyFont="1" applyFill="1" applyBorder="1" applyAlignment="1">
      <alignment horizontal="center" vertical="center" textRotation="90"/>
    </xf>
    <xf numFmtId="0" fontId="22" fillId="17" borderId="112" xfId="0" applyFont="1" applyFill="1" applyBorder="1" applyAlignment="1">
      <alignment horizontal="center" vertical="center" textRotation="90"/>
    </xf>
    <xf numFmtId="0" fontId="22" fillId="17" borderId="110" xfId="0" applyFont="1" applyFill="1" applyBorder="1" applyAlignment="1">
      <alignment horizontal="center" vertical="center" textRotation="90"/>
    </xf>
    <xf numFmtId="0" fontId="22" fillId="17" borderId="57" xfId="0" applyFont="1" applyFill="1" applyBorder="1" applyAlignment="1">
      <alignment horizontal="center" vertical="center" textRotation="90"/>
    </xf>
    <xf numFmtId="0" fontId="22" fillId="17" borderId="106" xfId="0" applyFont="1" applyFill="1" applyBorder="1" applyAlignment="1">
      <alignment horizontal="center" vertical="center" textRotation="90"/>
    </xf>
    <xf numFmtId="0" fontId="22" fillId="17" borderId="59" xfId="0" applyFont="1" applyFill="1" applyBorder="1" applyAlignment="1">
      <alignment horizontal="center" vertical="center" textRotation="180"/>
    </xf>
    <xf numFmtId="0" fontId="22" fillId="17" borderId="60" xfId="0" applyFont="1" applyFill="1" applyBorder="1" applyAlignment="1">
      <alignment horizontal="center" vertical="center" textRotation="180"/>
    </xf>
    <xf numFmtId="0" fontId="22" fillId="17" borderId="108" xfId="0" applyFont="1" applyFill="1" applyBorder="1" applyAlignment="1">
      <alignment horizontal="center" vertical="center" textRotation="180"/>
    </xf>
    <xf numFmtId="0" fontId="22" fillId="17" borderId="107" xfId="0" applyFont="1" applyFill="1" applyBorder="1" applyAlignment="1">
      <alignment horizontal="center" vertical="center" textRotation="180"/>
    </xf>
    <xf numFmtId="0" fontId="24" fillId="8" borderId="51" xfId="1" applyFont="1" applyFill="1" applyBorder="1" applyAlignment="1">
      <alignment horizontal="center" vertical="center"/>
    </xf>
    <xf numFmtId="0" fontId="24" fillId="8" borderId="47" xfId="1" applyFont="1" applyFill="1" applyBorder="1" applyAlignment="1">
      <alignment horizontal="center" vertical="center"/>
    </xf>
    <xf numFmtId="0" fontId="24" fillId="8" borderId="50" xfId="1" applyFont="1" applyFill="1" applyBorder="1" applyAlignment="1">
      <alignment horizontal="center" vertical="center"/>
    </xf>
    <xf numFmtId="0" fontId="22" fillId="8" borderId="64" xfId="0" applyFont="1" applyFill="1" applyBorder="1" applyAlignment="1">
      <alignment horizontal="center" vertical="center"/>
    </xf>
    <xf numFmtId="0" fontId="22" fillId="8" borderId="97" xfId="0" applyFont="1" applyFill="1" applyBorder="1" applyAlignment="1">
      <alignment horizontal="center" vertical="center"/>
    </xf>
    <xf numFmtId="0" fontId="22" fillId="8" borderId="99" xfId="0" applyFont="1" applyFill="1" applyBorder="1" applyAlignment="1">
      <alignment horizontal="center" vertical="center"/>
    </xf>
    <xf numFmtId="0" fontId="22" fillId="8" borderId="62" xfId="0" applyFont="1" applyFill="1" applyBorder="1" applyAlignment="1">
      <alignment horizontal="center" vertical="center"/>
    </xf>
    <xf numFmtId="0" fontId="22" fillId="8" borderId="1" xfId="0" applyFont="1" applyFill="1" applyBorder="1" applyAlignment="1">
      <alignment horizontal="center" vertical="center"/>
    </xf>
    <xf numFmtId="0" fontId="22" fillId="8" borderId="3" xfId="0" applyFont="1" applyFill="1" applyBorder="1" applyAlignment="1">
      <alignment horizontal="center" vertical="center"/>
    </xf>
    <xf numFmtId="0" fontId="22" fillId="17" borderId="119" xfId="0" applyFont="1" applyFill="1" applyBorder="1" applyAlignment="1">
      <alignment horizontal="center" vertical="center" textRotation="90"/>
    </xf>
    <xf numFmtId="0" fontId="22" fillId="17" borderId="61" xfId="0" applyFont="1" applyFill="1" applyBorder="1" applyAlignment="1">
      <alignment horizontal="center" vertical="center" textRotation="90"/>
    </xf>
    <xf numFmtId="0" fontId="22" fillId="17" borderId="126" xfId="0" applyFont="1" applyFill="1" applyBorder="1" applyAlignment="1">
      <alignment horizontal="center" vertical="center" textRotation="90"/>
    </xf>
    <xf numFmtId="0" fontId="22" fillId="17" borderId="118" xfId="0" applyFont="1" applyFill="1" applyBorder="1" applyAlignment="1">
      <alignment horizontal="center" vertical="center" textRotation="90"/>
    </xf>
    <xf numFmtId="0" fontId="22" fillId="17" borderId="114" xfId="0" applyFont="1" applyFill="1" applyBorder="1" applyAlignment="1">
      <alignment horizontal="center" vertical="center" textRotation="90"/>
    </xf>
    <xf numFmtId="0" fontId="22" fillId="17" borderId="109" xfId="0" applyFont="1" applyFill="1" applyBorder="1" applyAlignment="1">
      <alignment horizontal="center" vertical="center" textRotation="90"/>
    </xf>
    <xf numFmtId="164" fontId="18" fillId="0" borderId="15" xfId="0" applyNumberFormat="1" applyFont="1" applyBorder="1" applyAlignment="1">
      <alignment horizontal="center" vertical="center"/>
    </xf>
    <xf numFmtId="164" fontId="18" fillId="0" borderId="0" xfId="0" applyNumberFormat="1" applyFont="1" applyAlignment="1">
      <alignment horizontal="center" vertical="center"/>
    </xf>
    <xf numFmtId="164" fontId="18" fillId="0" borderId="8" xfId="0" applyNumberFormat="1" applyFont="1" applyBorder="1" applyAlignment="1">
      <alignment horizontal="center" vertical="center"/>
    </xf>
    <xf numFmtId="0" fontId="22" fillId="17" borderId="110" xfId="0" applyFont="1" applyFill="1" applyBorder="1" applyAlignment="1">
      <alignment horizontal="center" vertical="center" textRotation="180"/>
    </xf>
    <xf numFmtId="0" fontId="22" fillId="17" borderId="109" xfId="0" applyFont="1" applyFill="1" applyBorder="1" applyAlignment="1">
      <alignment horizontal="center" vertical="center" textRotation="180"/>
    </xf>
    <xf numFmtId="0" fontId="4" fillId="9" borderId="12" xfId="1" applyFont="1" applyFill="1" applyBorder="1" applyAlignment="1">
      <alignment horizontal="center" vertical="center" wrapText="1"/>
    </xf>
    <xf numFmtId="0" fontId="4" fillId="9" borderId="0" xfId="1" applyFont="1" applyFill="1" applyBorder="1" applyAlignment="1">
      <alignment horizontal="center" vertical="center" wrapText="1"/>
    </xf>
    <xf numFmtId="0" fontId="4" fillId="9" borderId="9" xfId="1" applyFont="1" applyFill="1" applyBorder="1" applyAlignment="1">
      <alignment horizontal="center" vertical="center" wrapText="1"/>
    </xf>
    <xf numFmtId="0" fontId="24" fillId="9" borderId="9" xfId="1" applyFont="1" applyFill="1" applyBorder="1" applyAlignment="1">
      <alignment horizontal="center" vertical="center"/>
    </xf>
    <xf numFmtId="0" fontId="22" fillId="9" borderId="9" xfId="0" applyFont="1" applyFill="1" applyBorder="1" applyAlignment="1">
      <alignment vertical="center" wrapText="1"/>
    </xf>
    <xf numFmtId="0" fontId="22" fillId="9" borderId="12" xfId="0" applyFont="1" applyFill="1" applyBorder="1" applyAlignment="1">
      <alignment vertical="center"/>
    </xf>
    <xf numFmtId="0" fontId="22" fillId="9" borderId="12" xfId="0" applyFont="1" applyFill="1" applyBorder="1" applyAlignment="1">
      <alignment horizontal="center" vertical="center"/>
    </xf>
    <xf numFmtId="0" fontId="22" fillId="9" borderId="0" xfId="0" applyFont="1" applyFill="1" applyAlignment="1">
      <alignment horizontal="center" vertical="center"/>
    </xf>
    <xf numFmtId="0" fontId="22" fillId="9" borderId="1" xfId="0" applyFont="1" applyFill="1" applyBorder="1" applyAlignment="1">
      <alignment horizontal="center" vertical="center"/>
    </xf>
    <xf numFmtId="0" fontId="22" fillId="15" borderId="79" xfId="0" applyFont="1" applyFill="1" applyBorder="1" applyAlignment="1">
      <alignment horizontal="center" vertical="center"/>
    </xf>
    <xf numFmtId="0" fontId="22" fillId="15" borderId="123" xfId="0" applyFont="1" applyFill="1" applyBorder="1" applyAlignment="1">
      <alignment horizontal="center" vertical="center"/>
    </xf>
    <xf numFmtId="0" fontId="22" fillId="9" borderId="0" xfId="0" applyFont="1" applyFill="1" applyAlignment="1">
      <alignment vertical="center"/>
    </xf>
    <xf numFmtId="0" fontId="22" fillId="9" borderId="61" xfId="0" applyFont="1" applyFill="1" applyBorder="1" applyAlignment="1">
      <alignment vertical="center"/>
    </xf>
    <xf numFmtId="0" fontId="22" fillId="9" borderId="1" xfId="0" applyFont="1" applyFill="1" applyBorder="1" applyAlignment="1">
      <alignment vertical="center"/>
    </xf>
    <xf numFmtId="0" fontId="22" fillId="9" borderId="129" xfId="0" applyFont="1" applyFill="1" applyBorder="1" applyAlignment="1">
      <alignment vertical="center"/>
    </xf>
    <xf numFmtId="0" fontId="22" fillId="2" borderId="27" xfId="1" applyFont="1" applyFill="1" applyBorder="1" applyAlignment="1">
      <alignment horizontal="center" vertical="center" wrapText="1"/>
    </xf>
    <xf numFmtId="0" fontId="22" fillId="2" borderId="3" xfId="1" applyFont="1" applyFill="1" applyBorder="1" applyAlignment="1">
      <alignment horizontal="center" vertical="center" wrapText="1"/>
    </xf>
    <xf numFmtId="0" fontId="22" fillId="2" borderId="157" xfId="1" applyFont="1" applyFill="1" applyBorder="1" applyAlignment="1">
      <alignment horizontal="center" vertical="center"/>
    </xf>
    <xf numFmtId="0" fontId="22" fillId="2" borderId="54" xfId="1" applyFont="1" applyFill="1" applyBorder="1" applyAlignment="1">
      <alignment horizontal="center" vertical="center"/>
    </xf>
    <xf numFmtId="0" fontId="22" fillId="2" borderId="127" xfId="1" applyFont="1" applyFill="1" applyBorder="1" applyAlignment="1">
      <alignment horizontal="center" vertical="center"/>
    </xf>
    <xf numFmtId="0" fontId="24" fillId="2" borderId="38" xfId="1" applyFont="1" applyFill="1" applyBorder="1" applyAlignment="1">
      <alignment horizontal="center" vertical="center" wrapText="1"/>
    </xf>
    <xf numFmtId="0" fontId="24" fillId="2" borderId="18" xfId="1" applyFont="1" applyFill="1" applyBorder="1" applyAlignment="1">
      <alignment horizontal="center" vertical="center" wrapText="1"/>
    </xf>
    <xf numFmtId="0" fontId="24" fillId="3" borderId="40" xfId="1" applyFont="1" applyFill="1" applyBorder="1" applyAlignment="1">
      <alignment horizontal="center" vertical="center" wrapText="1"/>
    </xf>
    <xf numFmtId="0" fontId="24" fillId="3" borderId="0" xfId="1" applyFont="1" applyFill="1" applyBorder="1" applyAlignment="1">
      <alignment horizontal="center" vertical="center" wrapText="1"/>
    </xf>
    <xf numFmtId="0" fontId="24" fillId="3" borderId="27" xfId="1" applyFont="1" applyFill="1" applyBorder="1" applyAlignment="1">
      <alignment horizontal="center" vertical="center" wrapText="1"/>
    </xf>
    <xf numFmtId="0" fontId="24" fillId="3" borderId="62" xfId="1" applyFont="1" applyFill="1" applyBorder="1" applyAlignment="1">
      <alignment horizontal="center" vertical="center" wrapText="1"/>
    </xf>
    <xf numFmtId="0" fontId="24" fillId="3" borderId="1" xfId="1" applyFont="1" applyFill="1" applyBorder="1" applyAlignment="1">
      <alignment horizontal="center" vertical="center" wrapText="1"/>
    </xf>
    <xf numFmtId="0" fontId="24" fillId="3" borderId="3" xfId="1" applyFont="1" applyFill="1" applyBorder="1" applyAlignment="1">
      <alignment horizontal="center" vertical="center" wrapText="1"/>
    </xf>
    <xf numFmtId="0" fontId="16" fillId="2" borderId="28" xfId="1" applyFont="1" applyFill="1" applyBorder="1" applyAlignment="1">
      <alignment horizontal="center" vertical="center" wrapText="1"/>
    </xf>
    <xf numFmtId="0" fontId="16" fillId="2" borderId="27" xfId="1" applyFont="1" applyFill="1" applyBorder="1" applyAlignment="1">
      <alignment horizontal="center" vertical="center" wrapText="1"/>
    </xf>
    <xf numFmtId="0" fontId="16" fillId="2" borderId="3" xfId="1" applyFont="1" applyFill="1" applyBorder="1" applyAlignment="1">
      <alignment horizontal="center" vertical="center" wrapText="1"/>
    </xf>
    <xf numFmtId="0" fontId="22" fillId="6" borderId="12" xfId="1" applyFont="1" applyFill="1" applyBorder="1" applyAlignment="1">
      <alignment horizontal="center" vertical="center" wrapText="1"/>
    </xf>
    <xf numFmtId="0" fontId="22" fillId="6" borderId="19" xfId="1" applyFont="1" applyFill="1" applyBorder="1" applyAlignment="1">
      <alignment horizontal="center" vertical="center" wrapText="1"/>
    </xf>
    <xf numFmtId="0" fontId="22" fillId="6" borderId="41" xfId="1" applyFont="1" applyFill="1" applyBorder="1" applyAlignment="1">
      <alignment horizontal="center" vertical="center" wrapText="1"/>
    </xf>
    <xf numFmtId="0" fontId="22" fillId="6" borderId="4" xfId="1" applyFont="1" applyFill="1" applyBorder="1" applyAlignment="1">
      <alignment horizontal="center" vertical="center" wrapText="1"/>
    </xf>
    <xf numFmtId="0" fontId="22" fillId="14" borderId="12" xfId="1" applyFont="1" applyFill="1" applyBorder="1" applyAlignment="1">
      <alignment horizontal="center" vertical="center"/>
    </xf>
    <xf numFmtId="0" fontId="22" fillId="14" borderId="0" xfId="1" applyFont="1" applyFill="1" applyBorder="1" applyAlignment="1">
      <alignment horizontal="center" vertical="center"/>
    </xf>
    <xf numFmtId="0" fontId="22" fillId="14" borderId="1" xfId="1" applyFont="1" applyFill="1" applyBorder="1" applyAlignment="1">
      <alignment horizontal="center" vertical="center"/>
    </xf>
    <xf numFmtId="0" fontId="22" fillId="9" borderId="9" xfId="0" applyFont="1" applyFill="1" applyBorder="1" applyAlignment="1">
      <alignment vertical="center"/>
    </xf>
    <xf numFmtId="0" fontId="31" fillId="0" borderId="16" xfId="0" applyFont="1" applyBorder="1" applyAlignment="1">
      <alignment horizontal="center" vertical="center"/>
    </xf>
    <xf numFmtId="0" fontId="31" fillId="0" borderId="12" xfId="0" applyFont="1" applyBorder="1" applyAlignment="1">
      <alignment horizontal="center" vertical="center"/>
    </xf>
    <xf numFmtId="0" fontId="31" fillId="0" borderId="6" xfId="0" applyFont="1" applyBorder="1" applyAlignment="1">
      <alignment horizontal="center" vertical="center"/>
    </xf>
    <xf numFmtId="0" fontId="22" fillId="9" borderId="0" xfId="1" applyFont="1" applyFill="1" applyBorder="1" applyAlignment="1">
      <alignment horizontal="center" vertical="center"/>
    </xf>
    <xf numFmtId="0" fontId="22" fillId="9" borderId="1" xfId="1" applyFont="1" applyFill="1" applyBorder="1" applyAlignment="1">
      <alignment horizontal="center" vertical="center"/>
    </xf>
    <xf numFmtId="0" fontId="3" fillId="0" borderId="14" xfId="0" applyFont="1" applyBorder="1" applyAlignment="1">
      <alignment vertical="center"/>
    </xf>
    <xf numFmtId="0" fontId="3" fillId="0" borderId="1" xfId="0" applyFont="1" applyBorder="1" applyAlignment="1">
      <alignment vertical="center"/>
    </xf>
    <xf numFmtId="0" fontId="3" fillId="0" borderId="7" xfId="0" applyFont="1" applyBorder="1" applyAlignment="1">
      <alignment vertical="center"/>
    </xf>
    <xf numFmtId="0" fontId="24" fillId="9" borderId="1" xfId="1" applyFont="1" applyFill="1" applyBorder="1" applyAlignment="1">
      <alignment horizontal="center" vertical="center"/>
    </xf>
    <xf numFmtId="0" fontId="22" fillId="9" borderId="1" xfId="0" applyFont="1" applyFill="1" applyBorder="1" applyAlignment="1">
      <alignment horizontal="center" vertical="center" wrapText="1"/>
    </xf>
    <xf numFmtId="0" fontId="22" fillId="8" borderId="100" xfId="0" applyFont="1" applyFill="1" applyBorder="1" applyAlignment="1">
      <alignment horizontal="center" vertical="center" wrapText="1"/>
    </xf>
    <xf numFmtId="0" fontId="22" fillId="8" borderId="19" xfId="0" applyFont="1" applyFill="1" applyBorder="1" applyAlignment="1">
      <alignment horizontal="center" vertical="center" wrapText="1"/>
    </xf>
    <xf numFmtId="0" fontId="22" fillId="8" borderId="55"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2" fillId="15" borderId="17" xfId="0" applyFont="1" applyFill="1" applyBorder="1" applyAlignment="1">
      <alignment horizontal="center" vertical="center" wrapText="1"/>
    </xf>
    <xf numFmtId="0" fontId="22" fillId="15" borderId="2" xfId="0" applyFont="1" applyFill="1" applyBorder="1" applyAlignment="1">
      <alignment horizontal="center" vertical="center" wrapText="1"/>
    </xf>
    <xf numFmtId="0" fontId="3" fillId="0" borderId="177" xfId="0" applyFont="1" applyBorder="1" applyAlignment="1">
      <alignment vertical="center"/>
    </xf>
    <xf numFmtId="0" fontId="3" fillId="0" borderId="9" xfId="0" applyFont="1" applyBorder="1" applyAlignment="1">
      <alignment vertical="center"/>
    </xf>
    <xf numFmtId="0" fontId="3" fillId="0" borderId="26" xfId="0" applyFont="1" applyBorder="1" applyAlignment="1">
      <alignment vertical="center"/>
    </xf>
    <xf numFmtId="0" fontId="22" fillId="9" borderId="9" xfId="0" applyFont="1" applyFill="1" applyBorder="1" applyAlignment="1">
      <alignment horizontal="center" vertical="center"/>
    </xf>
    <xf numFmtId="0" fontId="22" fillId="9" borderId="9" xfId="1" applyFont="1" applyFill="1" applyBorder="1" applyAlignment="1">
      <alignment horizontal="center" vertical="center"/>
    </xf>
    <xf numFmtId="0" fontId="22" fillId="8" borderId="11" xfId="0" applyFont="1" applyFill="1" applyBorder="1" applyAlignment="1">
      <alignment horizontal="center" vertical="center"/>
    </xf>
    <xf numFmtId="0" fontId="22" fillId="8" borderId="9" xfId="0" applyFont="1" applyFill="1" applyBorder="1" applyAlignment="1">
      <alignment horizontal="center" vertical="center"/>
    </xf>
    <xf numFmtId="0" fontId="22" fillId="8" borderId="24" xfId="0" applyFont="1" applyFill="1" applyBorder="1" applyAlignment="1">
      <alignment horizontal="center" vertical="center"/>
    </xf>
    <xf numFmtId="0" fontId="22" fillId="9" borderId="126" xfId="0" applyFont="1" applyFill="1" applyBorder="1" applyAlignment="1">
      <alignment vertical="center"/>
    </xf>
    <xf numFmtId="0" fontId="22" fillId="15" borderId="44" xfId="1" applyFont="1" applyFill="1" applyBorder="1" applyAlignment="1">
      <alignment horizontal="center" vertical="center"/>
    </xf>
    <xf numFmtId="0" fontId="22" fillId="15" borderId="43" xfId="1" applyFont="1" applyFill="1" applyBorder="1" applyAlignment="1">
      <alignment horizontal="center" vertical="center"/>
    </xf>
    <xf numFmtId="0" fontId="22" fillId="9" borderId="12" xfId="1" applyFont="1" applyFill="1" applyBorder="1" applyAlignment="1">
      <alignment horizontal="center" vertical="center"/>
    </xf>
    <xf numFmtId="0" fontId="24" fillId="9" borderId="12" xfId="1" applyFont="1" applyFill="1" applyBorder="1" applyAlignment="1">
      <alignment horizontal="center" vertical="center"/>
    </xf>
    <xf numFmtId="0" fontId="22" fillId="17" borderId="120" xfId="0" applyFont="1" applyFill="1" applyBorder="1" applyAlignment="1">
      <alignment horizontal="center" vertical="center" textRotation="180"/>
    </xf>
    <xf numFmtId="0" fontId="4" fillId="9" borderId="1" xfId="1"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38"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4" fillId="3" borderId="51" xfId="1" applyFont="1" applyFill="1" applyBorder="1" applyAlignment="1">
      <alignment horizontal="center" vertical="center"/>
    </xf>
    <xf numFmtId="0" fontId="24" fillId="3" borderId="47" xfId="1" applyFont="1" applyFill="1" applyBorder="1" applyAlignment="1">
      <alignment horizontal="center" vertical="center"/>
    </xf>
    <xf numFmtId="0" fontId="22" fillId="17" borderId="110" xfId="0" applyFont="1" applyFill="1" applyBorder="1" applyAlignment="1">
      <alignment horizontal="center" textRotation="180" readingOrder="2"/>
    </xf>
    <xf numFmtId="0" fontId="22" fillId="17" borderId="57" xfId="0" applyFont="1" applyFill="1" applyBorder="1" applyAlignment="1">
      <alignment horizontal="center" textRotation="180" readingOrder="2"/>
    </xf>
    <xf numFmtId="0" fontId="24" fillId="3" borderId="13" xfId="1" applyFont="1" applyFill="1" applyBorder="1" applyAlignment="1">
      <alignment horizontal="center" vertical="center"/>
    </xf>
    <xf numFmtId="0" fontId="24" fillId="3" borderId="0" xfId="1" applyFont="1" applyFill="1" applyBorder="1" applyAlignment="1">
      <alignment horizontal="center" vertical="center"/>
    </xf>
    <xf numFmtId="0" fontId="24" fillId="3" borderId="1" xfId="1" applyFont="1" applyFill="1" applyBorder="1" applyAlignment="1">
      <alignment horizontal="center" vertical="center"/>
    </xf>
    <xf numFmtId="0" fontId="24" fillId="6" borderId="12" xfId="1" applyFont="1" applyFill="1" applyBorder="1" applyAlignment="1">
      <alignment horizontal="center" vertical="center" wrapText="1"/>
    </xf>
    <xf numFmtId="0" fontId="24" fillId="6" borderId="19" xfId="1" applyFont="1" applyFill="1" applyBorder="1" applyAlignment="1">
      <alignment horizontal="center" vertical="center" wrapText="1"/>
    </xf>
    <xf numFmtId="0" fontId="24" fillId="6" borderId="41" xfId="1" applyFont="1" applyFill="1" applyBorder="1" applyAlignment="1">
      <alignment horizontal="center" vertical="center" wrapText="1"/>
    </xf>
    <xf numFmtId="0" fontId="24" fillId="6" borderId="4" xfId="1" applyFont="1" applyFill="1" applyBorder="1" applyAlignment="1">
      <alignment horizontal="center" vertical="center" wrapText="1"/>
    </xf>
    <xf numFmtId="0" fontId="22" fillId="17" borderId="110" xfId="0" applyFont="1" applyFill="1" applyBorder="1" applyAlignment="1">
      <alignment horizontal="center" vertical="center" textRotation="180" wrapText="1" readingOrder="2"/>
    </xf>
    <xf numFmtId="0" fontId="22" fillId="17" borderId="57" xfId="0" applyFont="1" applyFill="1" applyBorder="1" applyAlignment="1">
      <alignment horizontal="center" vertical="center" textRotation="180" wrapText="1" readingOrder="2"/>
    </xf>
    <xf numFmtId="0" fontId="22" fillId="17" borderId="106" xfId="0" applyFont="1" applyFill="1" applyBorder="1" applyAlignment="1">
      <alignment horizontal="center" vertical="center" textRotation="180" wrapText="1" readingOrder="2"/>
    </xf>
    <xf numFmtId="0" fontId="31" fillId="0" borderId="179" xfId="0" applyFont="1" applyBorder="1" applyAlignment="1">
      <alignment horizontal="center" vertical="center"/>
    </xf>
    <xf numFmtId="0" fontId="31" fillId="0" borderId="13" xfId="0" applyFont="1" applyBorder="1" applyAlignment="1">
      <alignment horizontal="center" vertical="center"/>
    </xf>
    <xf numFmtId="0" fontId="31" fillId="0" borderId="20" xfId="0" applyFont="1" applyBorder="1" applyAlignment="1">
      <alignment horizontal="center" vertical="center"/>
    </xf>
    <xf numFmtId="0" fontId="22" fillId="2" borderId="0" xfId="1" applyFont="1" applyFill="1" applyBorder="1" applyAlignment="1">
      <alignment horizontal="center" vertical="center"/>
    </xf>
    <xf numFmtId="0" fontId="22" fillId="2" borderId="1" xfId="1" applyFont="1" applyFill="1" applyBorder="1" applyAlignment="1">
      <alignment horizontal="center" vertical="center"/>
    </xf>
    <xf numFmtId="0" fontId="22" fillId="3" borderId="0" xfId="1" applyFont="1" applyFill="1" applyBorder="1" applyAlignment="1">
      <alignment horizontal="center" vertical="center"/>
    </xf>
    <xf numFmtId="0" fontId="22" fillId="3" borderId="1" xfId="1" applyFont="1" applyFill="1" applyBorder="1" applyAlignment="1">
      <alignment horizontal="center" vertical="center"/>
    </xf>
    <xf numFmtId="0" fontId="42" fillId="16" borderId="55" xfId="1" applyFont="1" applyFill="1" applyBorder="1" applyAlignment="1">
      <alignment horizontal="center" vertical="center"/>
    </xf>
    <xf numFmtId="0" fontId="42" fillId="16" borderId="4" xfId="1" applyFont="1" applyFill="1" applyBorder="1" applyAlignment="1">
      <alignment horizontal="center" vertical="center"/>
    </xf>
    <xf numFmtId="0" fontId="22" fillId="16" borderId="38" xfId="0" applyFont="1" applyFill="1" applyBorder="1" applyAlignment="1">
      <alignment horizontal="center" vertical="center" wrapText="1"/>
    </xf>
    <xf numFmtId="0" fontId="22" fillId="16" borderId="18" xfId="0" applyFont="1" applyFill="1" applyBorder="1" applyAlignment="1">
      <alignment horizontal="center" vertical="center" wrapText="1"/>
    </xf>
    <xf numFmtId="0" fontId="31" fillId="0" borderId="15" xfId="0" applyFont="1" applyBorder="1" applyAlignment="1">
      <alignment horizontal="center" vertical="center"/>
    </xf>
    <xf numFmtId="0" fontId="31" fillId="0" borderId="0" xfId="0" applyFont="1" applyAlignment="1">
      <alignment horizontal="center" vertical="center"/>
    </xf>
    <xf numFmtId="0" fontId="31" fillId="0" borderId="8" xfId="0" applyFont="1" applyBorder="1" applyAlignment="1">
      <alignment horizontal="center" vertical="center"/>
    </xf>
    <xf numFmtId="0" fontId="24" fillId="14" borderId="12" xfId="1" applyFont="1" applyFill="1" applyBorder="1" applyAlignment="1">
      <alignment horizontal="center" vertical="center"/>
    </xf>
    <xf numFmtId="0" fontId="24" fillId="6" borderId="17" xfId="1" applyFont="1" applyFill="1" applyBorder="1" applyAlignment="1">
      <alignment horizontal="center" vertical="center" wrapText="1"/>
    </xf>
    <xf numFmtId="0" fontId="24" fillId="6" borderId="2" xfId="1" applyFont="1" applyFill="1" applyBorder="1" applyAlignment="1">
      <alignment horizontal="center" vertical="center" wrapText="1"/>
    </xf>
    <xf numFmtId="0" fontId="22" fillId="12" borderId="12" xfId="1" applyFont="1" applyFill="1" applyBorder="1" applyAlignment="1">
      <alignment horizontal="center" vertical="center"/>
    </xf>
    <xf numFmtId="0" fontId="22" fillId="12" borderId="19" xfId="1" applyFont="1" applyFill="1" applyBorder="1" applyAlignment="1">
      <alignment horizontal="center" vertical="center"/>
    </xf>
    <xf numFmtId="0" fontId="22" fillId="12" borderId="0" xfId="1" applyFont="1" applyFill="1" applyBorder="1" applyAlignment="1">
      <alignment horizontal="center" vertical="center"/>
    </xf>
    <xf numFmtId="0" fontId="22" fillId="12" borderId="27" xfId="1" applyFont="1" applyFill="1" applyBorder="1" applyAlignment="1">
      <alignment horizontal="center" vertical="center"/>
    </xf>
    <xf numFmtId="0" fontId="22" fillId="12" borderId="9" xfId="1" applyFont="1" applyFill="1" applyBorder="1" applyAlignment="1">
      <alignment horizontal="center" vertical="center"/>
    </xf>
    <xf numFmtId="0" fontId="22" fillId="12" borderId="24" xfId="1" applyFont="1" applyFill="1" applyBorder="1" applyAlignment="1">
      <alignment horizontal="center" vertical="center"/>
    </xf>
    <xf numFmtId="0" fontId="24" fillId="3" borderId="12" xfId="1" applyFont="1" applyFill="1" applyBorder="1" applyAlignment="1">
      <alignment horizontal="center" vertical="center"/>
    </xf>
    <xf numFmtId="0" fontId="24" fillId="3" borderId="9" xfId="1" applyFont="1" applyFill="1" applyBorder="1" applyAlignment="1">
      <alignment horizontal="center" vertical="center"/>
    </xf>
    <xf numFmtId="0" fontId="24" fillId="3" borderId="17" xfId="1" applyFont="1" applyFill="1" applyBorder="1" applyAlignment="1">
      <alignment horizontal="center" vertical="center" wrapText="1"/>
    </xf>
    <xf numFmtId="0" fontId="24" fillId="3" borderId="38" xfId="1" applyFont="1" applyFill="1" applyBorder="1" applyAlignment="1">
      <alignment horizontal="center" vertical="center" wrapText="1"/>
    </xf>
    <xf numFmtId="0" fontId="24" fillId="3" borderId="25" xfId="1"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0" xfId="0" applyFont="1" applyFill="1" applyAlignment="1">
      <alignment horizontal="center" vertical="center"/>
    </xf>
    <xf numFmtId="0" fontId="22" fillId="3" borderId="9" xfId="0" applyFont="1" applyFill="1" applyBorder="1" applyAlignment="1">
      <alignment horizontal="center" vertical="center"/>
    </xf>
    <xf numFmtId="0" fontId="16" fillId="13" borderId="38" xfId="0" applyFont="1" applyFill="1" applyBorder="1" applyAlignment="1">
      <alignment horizontal="center" vertical="center" wrapText="1"/>
    </xf>
    <xf numFmtId="0" fontId="16" fillId="13" borderId="18" xfId="0" applyFont="1" applyFill="1" applyBorder="1" applyAlignment="1">
      <alignment horizontal="center" vertical="center" wrapText="1"/>
    </xf>
    <xf numFmtId="0" fontId="22" fillId="8" borderId="38" xfId="0" applyFont="1" applyFill="1" applyBorder="1" applyAlignment="1">
      <alignment horizontal="center" vertical="center" wrapText="1"/>
    </xf>
    <xf numFmtId="0" fontId="22" fillId="8" borderId="18" xfId="0" applyFont="1" applyFill="1" applyBorder="1" applyAlignment="1">
      <alignment horizontal="center" vertical="center" wrapText="1"/>
    </xf>
    <xf numFmtId="0" fontId="24" fillId="16" borderId="40" xfId="1" applyFont="1" applyFill="1" applyBorder="1" applyAlignment="1">
      <alignment horizontal="center" vertical="center" wrapText="1"/>
    </xf>
    <xf numFmtId="0" fontId="24" fillId="16" borderId="27" xfId="1" applyFont="1" applyFill="1" applyBorder="1" applyAlignment="1">
      <alignment horizontal="center" vertical="center" wrapText="1"/>
    </xf>
    <xf numFmtId="0" fontId="24" fillId="16" borderId="62" xfId="1" applyFont="1" applyFill="1" applyBorder="1" applyAlignment="1">
      <alignment horizontal="center" vertical="center" wrapText="1"/>
    </xf>
    <xf numFmtId="0" fontId="24" fillId="16" borderId="3" xfId="1" applyFont="1" applyFill="1" applyBorder="1" applyAlignment="1">
      <alignment horizontal="center" vertical="center" wrapText="1"/>
    </xf>
    <xf numFmtId="0" fontId="24" fillId="3" borderId="18" xfId="1" applyFont="1" applyFill="1" applyBorder="1" applyAlignment="1">
      <alignment horizontal="center" vertical="center" wrapText="1"/>
    </xf>
    <xf numFmtId="0" fontId="22" fillId="4" borderId="35" xfId="1" applyFont="1" applyFill="1" applyBorder="1" applyAlignment="1">
      <alignment horizontal="center" vertical="center"/>
    </xf>
    <xf numFmtId="0" fontId="5" fillId="2" borderId="35" xfId="1" applyFont="1" applyFill="1" applyBorder="1" applyAlignment="1">
      <alignment horizontal="center" vertical="center"/>
    </xf>
    <xf numFmtId="0" fontId="22" fillId="3" borderId="1" xfId="0" applyFont="1" applyFill="1" applyBorder="1" applyAlignment="1">
      <alignment horizontal="center" vertical="center"/>
    </xf>
    <xf numFmtId="0" fontId="23" fillId="3" borderId="1" xfId="0" applyFont="1" applyFill="1" applyBorder="1" applyAlignment="1">
      <alignment horizontal="center"/>
    </xf>
    <xf numFmtId="0" fontId="22" fillId="12" borderId="81" xfId="1" applyFont="1" applyFill="1" applyBorder="1" applyAlignment="1">
      <alignment horizontal="center" vertical="center"/>
    </xf>
    <xf numFmtId="0" fontId="22" fillId="12" borderId="128" xfId="1" applyFont="1" applyFill="1" applyBorder="1" applyAlignment="1">
      <alignment horizontal="center" vertical="center"/>
    </xf>
    <xf numFmtId="0" fontId="24" fillId="3" borderId="44" xfId="1" applyFont="1" applyFill="1" applyBorder="1" applyAlignment="1">
      <alignment horizontal="center" vertical="center"/>
    </xf>
    <xf numFmtId="0" fontId="22" fillId="3" borderId="64" xfId="0" applyFont="1" applyFill="1" applyBorder="1" applyAlignment="1">
      <alignment horizontal="center" vertical="center" wrapText="1"/>
    </xf>
    <xf numFmtId="0" fontId="22" fillId="3" borderId="97"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4" fillId="3" borderId="24" xfId="1" applyFont="1" applyFill="1" applyBorder="1" applyAlignment="1">
      <alignment horizontal="center" vertical="center"/>
    </xf>
    <xf numFmtId="0" fontId="18" fillId="0" borderId="177" xfId="0" applyFont="1" applyBorder="1" applyAlignment="1">
      <alignment horizontal="center" vertical="center"/>
    </xf>
    <xf numFmtId="0" fontId="18" fillId="0" borderId="9" xfId="0" applyFont="1" applyBorder="1" applyAlignment="1">
      <alignment horizontal="center" vertical="center"/>
    </xf>
    <xf numFmtId="0" fontId="5" fillId="17" borderId="110" xfId="0" applyFont="1" applyFill="1" applyBorder="1" applyAlignment="1">
      <alignment horizontal="center" textRotation="90" readingOrder="2"/>
    </xf>
    <xf numFmtId="0" fontId="5" fillId="17" borderId="57" xfId="0" applyFont="1" applyFill="1" applyBorder="1" applyAlignment="1">
      <alignment horizontal="center" textRotation="90" readingOrder="2"/>
    </xf>
    <xf numFmtId="0" fontId="5" fillId="17" borderId="110" xfId="0" applyFont="1" applyFill="1" applyBorder="1" applyAlignment="1">
      <alignment horizontal="center" textRotation="180" readingOrder="2"/>
    </xf>
    <xf numFmtId="0" fontId="5" fillId="17" borderId="57" xfId="0" applyFont="1" applyFill="1" applyBorder="1" applyAlignment="1">
      <alignment horizontal="center" textRotation="180" readingOrder="2"/>
    </xf>
    <xf numFmtId="0" fontId="22" fillId="13" borderId="100" xfId="0" applyFont="1" applyFill="1" applyBorder="1" applyAlignment="1">
      <alignment horizontal="center" vertical="center"/>
    </xf>
    <xf numFmtId="0" fontId="22" fillId="13" borderId="12" xfId="0" applyFont="1" applyFill="1" applyBorder="1" applyAlignment="1">
      <alignment horizontal="center" vertical="center"/>
    </xf>
    <xf numFmtId="0" fontId="22" fillId="13" borderId="19" xfId="0" applyFont="1" applyFill="1" applyBorder="1" applyAlignment="1">
      <alignment horizontal="center" vertical="center"/>
    </xf>
    <xf numFmtId="0" fontId="22" fillId="13" borderId="40" xfId="0" applyFont="1" applyFill="1" applyBorder="1" applyAlignment="1">
      <alignment horizontal="center" vertical="center"/>
    </xf>
    <xf numFmtId="0" fontId="22" fillId="13" borderId="0" xfId="0" applyFont="1" applyFill="1" applyAlignment="1">
      <alignment horizontal="center" vertical="center"/>
    </xf>
    <xf numFmtId="0" fontId="22" fillId="13" borderId="27" xfId="0" applyFont="1" applyFill="1" applyBorder="1" applyAlignment="1">
      <alignment horizontal="center" vertical="center"/>
    </xf>
    <xf numFmtId="0" fontId="22" fillId="13" borderId="11" xfId="0" applyFont="1" applyFill="1" applyBorder="1" applyAlignment="1">
      <alignment horizontal="center" vertical="center"/>
    </xf>
    <xf numFmtId="0" fontId="22" fillId="13" borderId="9" xfId="0" applyFont="1" applyFill="1" applyBorder="1" applyAlignment="1">
      <alignment horizontal="center" vertical="center"/>
    </xf>
    <xf numFmtId="0" fontId="22" fillId="13" borderId="24" xfId="0" applyFont="1" applyFill="1" applyBorder="1" applyAlignment="1">
      <alignment horizontal="center" vertical="center"/>
    </xf>
    <xf numFmtId="0" fontId="24" fillId="3" borderId="38" xfId="1" applyFont="1" applyFill="1" applyBorder="1" applyAlignment="1">
      <alignment horizontal="center" vertical="center"/>
    </xf>
    <xf numFmtId="0" fontId="24" fillId="3" borderId="25" xfId="1" applyFont="1" applyFill="1" applyBorder="1" applyAlignment="1">
      <alignment horizontal="center" vertical="center"/>
    </xf>
    <xf numFmtId="0" fontId="22" fillId="12" borderId="83" xfId="1" applyFont="1" applyFill="1" applyBorder="1" applyAlignment="1">
      <alignment horizontal="center" vertical="center"/>
    </xf>
    <xf numFmtId="0" fontId="22" fillId="12" borderId="1" xfId="1" applyFont="1" applyFill="1" applyBorder="1" applyAlignment="1">
      <alignment horizontal="center" vertical="center"/>
    </xf>
    <xf numFmtId="0" fontId="22" fillId="12" borderId="52" xfId="1" applyFont="1" applyFill="1" applyBorder="1" applyAlignment="1">
      <alignment horizontal="center" vertical="center"/>
    </xf>
    <xf numFmtId="0" fontId="22" fillId="12" borderId="42" xfId="1" applyFont="1" applyFill="1" applyBorder="1" applyAlignment="1">
      <alignment horizontal="center" vertical="center"/>
    </xf>
    <xf numFmtId="0" fontId="22" fillId="12" borderId="5" xfId="1" applyFont="1" applyFill="1" applyBorder="1" applyAlignment="1">
      <alignment horizontal="center" vertical="center"/>
    </xf>
    <xf numFmtId="0" fontId="24" fillId="3" borderId="140" xfId="1" applyFont="1" applyFill="1" applyBorder="1" applyAlignment="1">
      <alignment horizontal="center" vertical="center"/>
    </xf>
    <xf numFmtId="0" fontId="24" fillId="3" borderId="22" xfId="1" applyFont="1" applyFill="1" applyBorder="1" applyAlignment="1">
      <alignment horizontal="center" vertical="center"/>
    </xf>
    <xf numFmtId="0" fontId="24" fillId="3" borderId="23" xfId="1" applyFont="1" applyFill="1" applyBorder="1" applyAlignment="1">
      <alignment horizontal="center" vertical="center"/>
    </xf>
    <xf numFmtId="0" fontId="22" fillId="12" borderId="12" xfId="1" applyFont="1" applyFill="1" applyBorder="1" applyAlignment="1">
      <alignment horizontal="center" vertical="center" wrapText="1"/>
    </xf>
    <xf numFmtId="0" fontId="22" fillId="12" borderId="128" xfId="1" applyFont="1" applyFill="1" applyBorder="1" applyAlignment="1">
      <alignment horizontal="center" vertical="center" wrapText="1"/>
    </xf>
    <xf numFmtId="0" fontId="22" fillId="12" borderId="0" xfId="1" applyFont="1" applyFill="1" applyBorder="1" applyAlignment="1">
      <alignment horizontal="center" vertical="center" wrapText="1"/>
    </xf>
    <xf numFmtId="0" fontId="22" fillId="12" borderId="61" xfId="1" applyFont="1" applyFill="1" applyBorder="1" applyAlignment="1">
      <alignment horizontal="center" vertical="center" wrapText="1"/>
    </xf>
    <xf numFmtId="0" fontId="22" fillId="12" borderId="1" xfId="1" applyFont="1" applyFill="1" applyBorder="1" applyAlignment="1">
      <alignment horizontal="center" vertical="center" wrapText="1"/>
    </xf>
    <xf numFmtId="0" fontId="22" fillId="12" borderId="129" xfId="1" applyFont="1" applyFill="1" applyBorder="1" applyAlignment="1">
      <alignment horizontal="center" vertical="center" wrapText="1"/>
    </xf>
    <xf numFmtId="0" fontId="22" fillId="12" borderId="61" xfId="1" applyFont="1" applyFill="1" applyBorder="1" applyAlignment="1">
      <alignment horizontal="center" vertical="center"/>
    </xf>
    <xf numFmtId="0" fontId="22" fillId="12" borderId="126" xfId="1" applyFont="1" applyFill="1" applyBorder="1" applyAlignment="1">
      <alignment horizontal="center" vertical="center"/>
    </xf>
    <xf numFmtId="0" fontId="22" fillId="17" borderId="57" xfId="0" applyFont="1" applyFill="1" applyBorder="1" applyAlignment="1">
      <alignment horizontal="center" vertical="top" textRotation="180" readingOrder="2"/>
    </xf>
    <xf numFmtId="0" fontId="22" fillId="17" borderId="106" xfId="0" applyFont="1" applyFill="1" applyBorder="1" applyAlignment="1">
      <alignment horizontal="center" vertical="top" textRotation="180" readingOrder="2"/>
    </xf>
    <xf numFmtId="0" fontId="41" fillId="20" borderId="94" xfId="0" applyFont="1" applyFill="1" applyBorder="1" applyAlignment="1">
      <alignment horizontal="center" vertical="center" wrapText="1" readingOrder="2"/>
    </xf>
    <xf numFmtId="0" fontId="41" fillId="20" borderId="143" xfId="0" applyFont="1" applyFill="1" applyBorder="1" applyAlignment="1">
      <alignment horizontal="center" vertical="center" wrapText="1" readingOrder="2"/>
    </xf>
    <xf numFmtId="0" fontId="41" fillId="20" borderId="142" xfId="0" applyFont="1" applyFill="1" applyBorder="1" applyAlignment="1">
      <alignment horizontal="center" vertical="center" wrapText="1" readingOrder="2"/>
    </xf>
    <xf numFmtId="0" fontId="41" fillId="20" borderId="68" xfId="0" applyFont="1" applyFill="1" applyBorder="1" applyAlignment="1">
      <alignment horizontal="center" vertical="center" wrapText="1" readingOrder="2"/>
    </xf>
    <xf numFmtId="0" fontId="41" fillId="20" borderId="144" xfId="0" applyFont="1" applyFill="1" applyBorder="1" applyAlignment="1">
      <alignment horizontal="center" vertical="center" wrapText="1" readingOrder="2"/>
    </xf>
    <xf numFmtId="0" fontId="41" fillId="5" borderId="94" xfId="0" applyFont="1" applyFill="1" applyBorder="1" applyAlignment="1">
      <alignment horizontal="center" vertical="center" wrapText="1" readingOrder="2"/>
    </xf>
    <xf numFmtId="0" fontId="41" fillId="5" borderId="143" xfId="0" applyFont="1" applyFill="1" applyBorder="1" applyAlignment="1">
      <alignment horizontal="center" vertical="center" wrapText="1" readingOrder="2"/>
    </xf>
    <xf numFmtId="0" fontId="22" fillId="12" borderId="3" xfId="1" applyFont="1" applyFill="1" applyBorder="1" applyAlignment="1">
      <alignment horizontal="center" vertical="center"/>
    </xf>
    <xf numFmtId="0" fontId="24" fillId="3" borderId="18" xfId="1" applyFont="1" applyFill="1" applyBorder="1" applyAlignment="1">
      <alignment horizontal="center" vertical="center"/>
    </xf>
    <xf numFmtId="0" fontId="24" fillId="10" borderId="100" xfId="1" applyFont="1" applyFill="1" applyBorder="1" applyAlignment="1">
      <alignment horizontal="center" vertical="center"/>
    </xf>
    <xf numFmtId="0" fontId="24" fillId="10" borderId="12" xfId="1" applyFont="1" applyFill="1" applyBorder="1" applyAlignment="1">
      <alignment horizontal="center" vertical="center"/>
    </xf>
    <xf numFmtId="0" fontId="24" fillId="10" borderId="40" xfId="1" applyFont="1" applyFill="1" applyBorder="1" applyAlignment="1">
      <alignment horizontal="center" vertical="center"/>
    </xf>
    <xf numFmtId="0" fontId="24" fillId="10" borderId="0" xfId="1" applyFont="1" applyFill="1" applyBorder="1" applyAlignment="1">
      <alignment horizontal="center" vertical="center"/>
    </xf>
    <xf numFmtId="0" fontId="24" fillId="10" borderId="62" xfId="1" applyFont="1" applyFill="1" applyBorder="1" applyAlignment="1">
      <alignment horizontal="center" vertical="center"/>
    </xf>
    <xf numFmtId="0" fontId="24" fillId="10" borderId="1" xfId="1" applyFont="1" applyFill="1" applyBorder="1" applyAlignment="1">
      <alignment horizontal="center" vertical="center"/>
    </xf>
    <xf numFmtId="0" fontId="22" fillId="3" borderId="0" xfId="0" applyFont="1" applyFill="1" applyAlignment="1">
      <alignment horizontal="center" vertical="center" wrapText="1"/>
    </xf>
    <xf numFmtId="0" fontId="22" fillId="3" borderId="1" xfId="0" applyFont="1" applyFill="1" applyBorder="1" applyAlignment="1">
      <alignment horizontal="center" vertical="center" wrapText="1"/>
    </xf>
    <xf numFmtId="0" fontId="24" fillId="3" borderId="40" xfId="1" applyFont="1" applyFill="1" applyBorder="1" applyAlignment="1">
      <alignment horizontal="center" vertical="center"/>
    </xf>
    <xf numFmtId="0" fontId="24" fillId="3" borderId="62" xfId="1" applyFont="1" applyFill="1" applyBorder="1" applyAlignment="1">
      <alignment horizontal="center" vertical="center"/>
    </xf>
    <xf numFmtId="0" fontId="5" fillId="17" borderId="135" xfId="0" applyFont="1" applyFill="1" applyBorder="1" applyAlignment="1">
      <alignment horizontal="center" vertical="center" textRotation="180" readingOrder="2"/>
    </xf>
    <xf numFmtId="0" fontId="5" fillId="17" borderId="136" xfId="0" applyFont="1" applyFill="1" applyBorder="1" applyAlignment="1">
      <alignment horizontal="center" vertical="center" textRotation="180" readingOrder="2"/>
    </xf>
    <xf numFmtId="0" fontId="5" fillId="17" borderId="137" xfId="0" applyFont="1" applyFill="1" applyBorder="1" applyAlignment="1">
      <alignment horizontal="center" vertical="center" textRotation="180" readingOrder="2"/>
    </xf>
    <xf numFmtId="0" fontId="22" fillId="10" borderId="16" xfId="0" applyFont="1" applyFill="1" applyBorder="1" applyAlignment="1">
      <alignment horizontal="center" vertical="center"/>
    </xf>
    <xf numFmtId="0" fontId="22" fillId="10" borderId="19" xfId="0" applyFont="1" applyFill="1" applyBorder="1" applyAlignment="1">
      <alignment horizontal="center" vertical="center"/>
    </xf>
    <xf numFmtId="0" fontId="22" fillId="10" borderId="15" xfId="0" applyFont="1" applyFill="1" applyBorder="1" applyAlignment="1">
      <alignment horizontal="center" vertical="center"/>
    </xf>
    <xf numFmtId="0" fontId="22" fillId="10" borderId="27" xfId="0" applyFont="1" applyFill="1" applyBorder="1" applyAlignment="1">
      <alignment horizontal="center" vertical="center"/>
    </xf>
    <xf numFmtId="0" fontId="22" fillId="10" borderId="14"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100" xfId="0" applyFont="1" applyFill="1" applyBorder="1" applyAlignment="1">
      <alignment horizontal="center" vertical="center"/>
    </xf>
    <xf numFmtId="0" fontId="22" fillId="10" borderId="40" xfId="0" applyFont="1" applyFill="1" applyBorder="1" applyAlignment="1">
      <alignment horizontal="center" vertical="center"/>
    </xf>
    <xf numFmtId="0" fontId="22" fillId="10" borderId="62" xfId="0" applyFont="1" applyFill="1" applyBorder="1" applyAlignment="1">
      <alignment horizontal="center" vertical="center"/>
    </xf>
    <xf numFmtId="0" fontId="24" fillId="15" borderId="100" xfId="1" applyFont="1" applyFill="1" applyBorder="1" applyAlignment="1">
      <alignment horizontal="center" vertical="center" wrapText="1"/>
    </xf>
    <xf numFmtId="0" fontId="24" fillId="15" borderId="19" xfId="1" applyFont="1" applyFill="1" applyBorder="1" applyAlignment="1">
      <alignment horizontal="center" vertical="center" wrapText="1"/>
    </xf>
    <xf numFmtId="0" fontId="24" fillId="15" borderId="40" xfId="1" applyFont="1" applyFill="1" applyBorder="1" applyAlignment="1">
      <alignment horizontal="center" vertical="center" wrapText="1"/>
    </xf>
    <xf numFmtId="0" fontId="24" fillId="15" borderId="27" xfId="1" applyFont="1" applyFill="1" applyBorder="1" applyAlignment="1">
      <alignment horizontal="center" vertical="center" wrapText="1"/>
    </xf>
    <xf numFmtId="0" fontId="24" fillId="15" borderId="62" xfId="1" applyFont="1" applyFill="1" applyBorder="1" applyAlignment="1">
      <alignment horizontal="center" vertical="center" wrapText="1"/>
    </xf>
    <xf numFmtId="0" fontId="24" fillId="15" borderId="3" xfId="1" applyFont="1" applyFill="1" applyBorder="1" applyAlignment="1">
      <alignment horizontal="center" vertical="center" wrapText="1"/>
    </xf>
    <xf numFmtId="0" fontId="5" fillId="11" borderId="139" xfId="1" applyFont="1" applyFill="1" applyBorder="1" applyAlignment="1">
      <alignment horizontal="center" vertical="center"/>
    </xf>
    <xf numFmtId="0" fontId="5" fillId="11" borderId="99" xfId="1" applyFont="1" applyFill="1" applyBorder="1" applyAlignment="1">
      <alignment horizontal="center" vertical="center"/>
    </xf>
    <xf numFmtId="0" fontId="5" fillId="11" borderId="138" xfId="1" applyFont="1" applyFill="1" applyBorder="1" applyAlignment="1">
      <alignment horizontal="center" vertical="center"/>
    </xf>
    <xf numFmtId="0" fontId="5" fillId="11" borderId="3" xfId="1" applyFont="1" applyFill="1" applyBorder="1" applyAlignment="1">
      <alignment horizontal="center" vertical="center"/>
    </xf>
    <xf numFmtId="0" fontId="5" fillId="11" borderId="133" xfId="0" applyFont="1" applyFill="1" applyBorder="1" applyAlignment="1">
      <alignment horizontal="center" vertical="center" wrapText="1"/>
    </xf>
    <xf numFmtId="0" fontId="5" fillId="11" borderId="69" xfId="0" applyFont="1" applyFill="1" applyBorder="1" applyAlignment="1">
      <alignment horizontal="center" vertical="center" wrapText="1"/>
    </xf>
    <xf numFmtId="0" fontId="5" fillId="11" borderId="40" xfId="0" applyFont="1" applyFill="1" applyBorder="1" applyAlignment="1">
      <alignment horizontal="center" vertical="center" wrapText="1"/>
    </xf>
    <xf numFmtId="0" fontId="5" fillId="11" borderId="70" xfId="0" applyFont="1" applyFill="1" applyBorder="1" applyAlignment="1">
      <alignment horizontal="center" vertical="center" wrapText="1"/>
    </xf>
    <xf numFmtId="0" fontId="5" fillId="11" borderId="55" xfId="0" applyFont="1" applyFill="1" applyBorder="1" applyAlignment="1">
      <alignment horizontal="center" vertical="center" wrapText="1"/>
    </xf>
    <xf numFmtId="0" fontId="5" fillId="11" borderId="90" xfId="0" applyFont="1" applyFill="1" applyBorder="1" applyAlignment="1">
      <alignment horizontal="center" vertical="center" wrapText="1"/>
    </xf>
    <xf numFmtId="0" fontId="3" fillId="8" borderId="180" xfId="0" applyFont="1" applyFill="1" applyBorder="1" applyAlignment="1">
      <alignment horizontal="center" vertical="center"/>
    </xf>
    <xf numFmtId="0" fontId="3" fillId="8" borderId="148" xfId="0" applyFont="1" applyFill="1" applyBorder="1" applyAlignment="1">
      <alignment horizontal="center" vertical="center"/>
    </xf>
    <xf numFmtId="0" fontId="3" fillId="8" borderId="160" xfId="0" applyFont="1" applyFill="1" applyBorder="1" applyAlignment="1">
      <alignment horizontal="center" vertical="center"/>
    </xf>
    <xf numFmtId="0" fontId="6" fillId="10" borderId="182"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6" fillId="10" borderId="82"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83"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5" fillId="17" borderId="57" xfId="0" applyFont="1" applyFill="1" applyBorder="1" applyAlignment="1">
      <alignment horizontal="center" vertical="top" textRotation="90" readingOrder="2"/>
    </xf>
    <xf numFmtId="0" fontId="5" fillId="17" borderId="106" xfId="0" applyFont="1" applyFill="1" applyBorder="1" applyAlignment="1">
      <alignment horizontal="center" vertical="top" textRotation="90" readingOrder="2"/>
    </xf>
    <xf numFmtId="0" fontId="5" fillId="17" borderId="57" xfId="0" applyFont="1" applyFill="1" applyBorder="1" applyAlignment="1">
      <alignment horizontal="center" vertical="top" textRotation="180" readingOrder="2"/>
    </xf>
    <xf numFmtId="0" fontId="5" fillId="17" borderId="106" xfId="0" applyFont="1" applyFill="1" applyBorder="1" applyAlignment="1">
      <alignment horizontal="center" vertical="top" textRotation="180" readingOrder="2"/>
    </xf>
    <xf numFmtId="0" fontId="41" fillId="0" borderId="94" xfId="0" applyFont="1" applyBorder="1" applyAlignment="1">
      <alignment horizontal="center" vertical="center" wrapText="1" readingOrder="2"/>
    </xf>
    <xf numFmtId="0" fontId="41" fillId="0" borderId="143" xfId="0" applyFont="1" applyBorder="1" applyAlignment="1">
      <alignment horizontal="center" vertical="center" wrapText="1" readingOrder="2"/>
    </xf>
    <xf numFmtId="0" fontId="41" fillId="0" borderId="68" xfId="0" applyFont="1" applyBorder="1" applyAlignment="1">
      <alignment horizontal="center" vertical="center" wrapText="1" readingOrder="2"/>
    </xf>
    <xf numFmtId="0" fontId="41" fillId="0" borderId="144" xfId="0" applyFont="1" applyBorder="1" applyAlignment="1">
      <alignment horizontal="center" vertical="center" wrapText="1" readingOrder="2"/>
    </xf>
    <xf numFmtId="0" fontId="33" fillId="0" borderId="0" xfId="1" applyFont="1" applyFill="1" applyBorder="1" applyAlignment="1">
      <alignment horizontal="center" vertical="center"/>
    </xf>
    <xf numFmtId="0" fontId="33" fillId="0" borderId="70" xfId="1" applyFont="1" applyFill="1" applyBorder="1" applyAlignment="1">
      <alignment horizontal="center" vertical="center"/>
    </xf>
    <xf numFmtId="0" fontId="8" fillId="0" borderId="0" xfId="1" applyFont="1" applyFill="1" applyBorder="1" applyAlignment="1">
      <alignment horizontal="center" vertical="center"/>
    </xf>
    <xf numFmtId="0" fontId="8" fillId="0" borderId="70" xfId="1" applyFont="1" applyFill="1" applyBorder="1" applyAlignment="1">
      <alignment horizontal="center" vertical="center"/>
    </xf>
    <xf numFmtId="0" fontId="37" fillId="0" borderId="1" xfId="1" applyFont="1" applyFill="1" applyBorder="1" applyAlignment="1">
      <alignment horizontal="center" vertical="center"/>
    </xf>
    <xf numFmtId="0" fontId="37" fillId="0" borderId="84" xfId="1" applyFont="1" applyFill="1" applyBorder="1" applyAlignment="1">
      <alignment horizontal="center" vertical="center"/>
    </xf>
    <xf numFmtId="0" fontId="37" fillId="0" borderId="138" xfId="1" applyFont="1" applyFill="1" applyBorder="1" applyAlignment="1">
      <alignment horizontal="center" vertical="center"/>
    </xf>
    <xf numFmtId="0" fontId="41" fillId="5" borderId="68" xfId="0" applyFont="1" applyFill="1" applyBorder="1" applyAlignment="1">
      <alignment horizontal="center" vertical="center" wrapText="1" readingOrder="2"/>
    </xf>
    <xf numFmtId="0" fontId="41" fillId="5" borderId="144" xfId="0" applyFont="1" applyFill="1" applyBorder="1" applyAlignment="1">
      <alignment horizontal="center" vertical="center" wrapText="1" readingOrder="2"/>
    </xf>
    <xf numFmtId="0" fontId="41" fillId="0" borderId="8" xfId="0" applyFont="1" applyBorder="1" applyAlignment="1">
      <alignment horizontal="center" vertical="center" wrapText="1" readingOrder="2"/>
    </xf>
    <xf numFmtId="0" fontId="41" fillId="0" borderId="7" xfId="0" applyFont="1" applyBorder="1" applyAlignment="1">
      <alignment horizontal="center" vertical="center" wrapText="1" readingOrder="2"/>
    </xf>
    <xf numFmtId="0" fontId="31" fillId="5" borderId="143" xfId="0" applyFont="1" applyFill="1" applyBorder="1" applyAlignment="1">
      <alignment horizontal="center" vertical="center" wrapText="1"/>
    </xf>
    <xf numFmtId="0" fontId="32" fillId="14" borderId="146" xfId="0" applyFont="1" applyFill="1" applyBorder="1" applyAlignment="1">
      <alignment horizontal="center" vertical="center" wrapText="1"/>
    </xf>
    <xf numFmtId="0" fontId="32" fillId="7" borderId="147" xfId="0" applyFont="1" applyFill="1" applyBorder="1" applyAlignment="1">
      <alignment horizontal="center" vertical="center" wrapText="1"/>
    </xf>
    <xf numFmtId="0" fontId="32" fillId="9" borderId="144" xfId="0" applyFont="1" applyFill="1" applyBorder="1" applyAlignment="1">
      <alignment horizontal="center" vertical="center" wrapText="1"/>
    </xf>
    <xf numFmtId="0" fontId="34" fillId="0" borderId="82" xfId="1" applyFont="1" applyFill="1" applyBorder="1" applyAlignment="1">
      <alignment horizontal="center" vertical="center"/>
    </xf>
    <xf numFmtId="0" fontId="34" fillId="0" borderId="0" xfId="1" applyFont="1" applyFill="1" applyBorder="1" applyAlignment="1">
      <alignment horizontal="center" vertical="center"/>
    </xf>
    <xf numFmtId="0" fontId="34" fillId="0" borderId="61" xfId="1" applyFont="1" applyFill="1" applyBorder="1" applyAlignment="1">
      <alignment horizontal="center" vertical="center"/>
    </xf>
    <xf numFmtId="0" fontId="40" fillId="0" borderId="82" xfId="1" applyFont="1" applyFill="1" applyBorder="1" applyAlignment="1">
      <alignment horizontal="center" vertical="center"/>
    </xf>
    <xf numFmtId="0" fontId="40" fillId="0" borderId="0" xfId="1" applyFont="1" applyFill="1" applyBorder="1" applyAlignment="1">
      <alignment horizontal="center" vertical="center"/>
    </xf>
    <xf numFmtId="0" fontId="40" fillId="0" borderId="61" xfId="1" applyFont="1" applyFill="1" applyBorder="1" applyAlignment="1">
      <alignment horizontal="center" vertical="center"/>
    </xf>
    <xf numFmtId="0" fontId="38" fillId="0" borderId="83" xfId="1" applyFont="1" applyFill="1" applyBorder="1" applyAlignment="1">
      <alignment horizontal="center" vertical="center"/>
    </xf>
    <xf numFmtId="0" fontId="38" fillId="0" borderId="1" xfId="1" applyFont="1" applyFill="1" applyBorder="1" applyAlignment="1">
      <alignment horizontal="center" vertical="center"/>
    </xf>
    <xf numFmtId="0" fontId="38" fillId="0" borderId="129" xfId="1" applyFont="1" applyFill="1" applyBorder="1" applyAlignment="1">
      <alignment horizontal="center" vertical="center"/>
    </xf>
    <xf numFmtId="0" fontId="41" fillId="0" borderId="166" xfId="0" applyFont="1" applyBorder="1" applyAlignment="1">
      <alignment horizontal="center" vertical="center" wrapText="1" readingOrder="2"/>
    </xf>
    <xf numFmtId="0" fontId="22" fillId="17" borderId="58" xfId="0" applyFont="1" applyFill="1" applyBorder="1" applyAlignment="1">
      <alignment horizontal="center" vertical="center" textRotation="90"/>
    </xf>
    <xf numFmtId="0" fontId="22" fillId="17" borderId="58" xfId="0" applyFont="1" applyFill="1" applyBorder="1" applyAlignment="1">
      <alignment horizontal="center" vertical="center" textRotation="180"/>
    </xf>
    <xf numFmtId="0" fontId="34" fillId="0" borderId="49" xfId="0" applyFont="1" applyBorder="1" applyAlignment="1">
      <alignment horizontal="center" vertical="center"/>
    </xf>
    <xf numFmtId="0" fontId="34" fillId="0" borderId="70" xfId="0" applyFont="1" applyBorder="1" applyAlignment="1">
      <alignment horizontal="center" vertical="center"/>
    </xf>
    <xf numFmtId="0" fontId="40" fillId="0" borderId="49" xfId="0" applyFont="1" applyBorder="1" applyAlignment="1">
      <alignment horizontal="center" vertical="center"/>
    </xf>
    <xf numFmtId="0" fontId="40" fillId="0" borderId="70" xfId="0" applyFont="1" applyBorder="1" applyAlignment="1">
      <alignment horizontal="center" vertical="center"/>
    </xf>
    <xf numFmtId="0" fontId="38" fillId="0" borderId="138" xfId="0" applyFont="1" applyBorder="1" applyAlignment="1">
      <alignment horizontal="center" vertical="center"/>
    </xf>
    <xf numFmtId="0" fontId="38" fillId="0" borderId="84" xfId="0" applyFont="1" applyBorder="1" applyAlignment="1">
      <alignment horizontal="center" vertical="center"/>
    </xf>
    <xf numFmtId="0" fontId="33" fillId="0" borderId="82" xfId="0" applyFont="1" applyBorder="1" applyAlignment="1">
      <alignment horizontal="center" vertical="center"/>
    </xf>
    <xf numFmtId="0" fontId="33" fillId="0" borderId="0" xfId="0" applyFont="1" applyAlignment="1">
      <alignment horizontal="center" vertical="center"/>
    </xf>
    <xf numFmtId="0" fontId="33" fillId="0" borderId="61" xfId="0" applyFont="1" applyBorder="1" applyAlignment="1">
      <alignment horizontal="center" vertical="center"/>
    </xf>
    <xf numFmtId="0" fontId="8" fillId="0" borderId="82" xfId="0" applyFont="1" applyBorder="1" applyAlignment="1">
      <alignment horizontal="center" vertical="center"/>
    </xf>
    <xf numFmtId="0" fontId="8" fillId="0" borderId="0" xfId="0" applyFont="1" applyAlignment="1">
      <alignment horizontal="center" vertical="center"/>
    </xf>
    <xf numFmtId="0" fontId="8" fillId="0" borderId="61" xfId="0" applyFont="1" applyBorder="1" applyAlignment="1">
      <alignment horizontal="center" vertical="center"/>
    </xf>
    <xf numFmtId="0" fontId="37" fillId="0" borderId="83" xfId="0" applyFont="1" applyBorder="1" applyAlignment="1">
      <alignment horizontal="center" vertical="center"/>
    </xf>
    <xf numFmtId="0" fontId="37" fillId="0" borderId="1" xfId="0" applyFont="1" applyBorder="1" applyAlignment="1">
      <alignment horizontal="center" vertical="center"/>
    </xf>
    <xf numFmtId="0" fontId="37" fillId="0" borderId="129" xfId="0" applyFont="1" applyBorder="1" applyAlignment="1">
      <alignment horizontal="center" vertical="center"/>
    </xf>
    <xf numFmtId="0" fontId="22" fillId="17" borderId="136" xfId="0" applyFont="1" applyFill="1" applyBorder="1" applyAlignment="1">
      <alignment horizontal="center" vertical="top" readingOrder="2"/>
    </xf>
    <xf numFmtId="0" fontId="22" fillId="17" borderId="137" xfId="0" applyFont="1" applyFill="1" applyBorder="1" applyAlignment="1">
      <alignment horizontal="center" vertical="top" readingOrder="2"/>
    </xf>
    <xf numFmtId="0" fontId="22" fillId="17" borderId="110" xfId="0" applyFont="1" applyFill="1" applyBorder="1" applyAlignment="1">
      <alignment horizontal="center" vertical="center" textRotation="90" readingOrder="2"/>
    </xf>
    <xf numFmtId="0" fontId="22" fillId="17" borderId="57" xfId="0" applyFont="1" applyFill="1" applyBorder="1" applyAlignment="1">
      <alignment horizontal="center" vertical="center" textRotation="90" readingOrder="2"/>
    </xf>
    <xf numFmtId="0" fontId="22" fillId="17" borderId="106" xfId="0" applyFont="1" applyFill="1" applyBorder="1" applyAlignment="1">
      <alignment horizontal="center" vertical="center" textRotation="90" readingOrder="2"/>
    </xf>
    <xf numFmtId="0" fontId="22" fillId="17" borderId="57" xfId="0" applyFont="1" applyFill="1" applyBorder="1" applyAlignment="1">
      <alignment horizontal="center" vertical="center" textRotation="90" wrapText="1" readingOrder="2"/>
    </xf>
    <xf numFmtId="0" fontId="22" fillId="17" borderId="106" xfId="0" applyFont="1" applyFill="1" applyBorder="1" applyAlignment="1">
      <alignment horizontal="center" vertical="center" textRotation="90" wrapText="1" readingOrder="2"/>
    </xf>
    <xf numFmtId="0" fontId="22" fillId="17" borderId="110" xfId="0" applyFont="1" applyFill="1" applyBorder="1" applyAlignment="1">
      <alignment horizontal="center" readingOrder="2"/>
    </xf>
    <xf numFmtId="0" fontId="22" fillId="17" borderId="57" xfId="0" applyFont="1" applyFill="1" applyBorder="1" applyAlignment="1">
      <alignment horizontal="center" readingOrder="2"/>
    </xf>
    <xf numFmtId="0" fontId="22" fillId="17" borderId="134" xfId="0" applyFont="1" applyFill="1" applyBorder="1" applyAlignment="1">
      <alignment horizontal="center" readingOrder="2"/>
    </xf>
    <xf numFmtId="0" fontId="22" fillId="3" borderId="17"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25" xfId="0" applyFont="1" applyFill="1" applyBorder="1" applyAlignment="1">
      <alignment horizontal="center" vertical="center"/>
    </xf>
    <xf numFmtId="0" fontId="22" fillId="13" borderId="1" xfId="0" applyFont="1" applyFill="1" applyBorder="1" applyAlignment="1">
      <alignment horizontal="center" vertical="center"/>
    </xf>
    <xf numFmtId="0" fontId="22" fillId="13" borderId="3" xfId="0" applyFont="1" applyFill="1" applyBorder="1" applyAlignment="1">
      <alignment horizontal="center" vertical="center"/>
    </xf>
    <xf numFmtId="0" fontId="22" fillId="2" borderId="40" xfId="1" applyFont="1" applyFill="1" applyBorder="1" applyAlignment="1">
      <alignment horizontal="center" vertical="center" wrapText="1"/>
    </xf>
    <xf numFmtId="0" fontId="22" fillId="2" borderId="62" xfId="1" applyFont="1" applyFill="1" applyBorder="1" applyAlignment="1">
      <alignment horizontal="center" vertical="center" wrapText="1"/>
    </xf>
    <xf numFmtId="0" fontId="22" fillId="2" borderId="130" xfId="1" applyFont="1" applyFill="1" applyBorder="1" applyAlignment="1">
      <alignment horizontal="center" vertical="center" wrapText="1"/>
    </xf>
    <xf numFmtId="0" fontId="22" fillId="2" borderId="131" xfId="1" applyFont="1" applyFill="1" applyBorder="1" applyAlignment="1">
      <alignment horizontal="center" vertical="center" wrapText="1"/>
    </xf>
    <xf numFmtId="0" fontId="22" fillId="14" borderId="100" xfId="0" applyFont="1" applyFill="1" applyBorder="1" applyAlignment="1">
      <alignment horizontal="center" vertical="center"/>
    </xf>
    <xf numFmtId="0" fontId="22" fillId="14" borderId="12" xfId="0" applyFont="1" applyFill="1" applyBorder="1" applyAlignment="1">
      <alignment horizontal="center" vertical="center"/>
    </xf>
    <xf numFmtId="0" fontId="22" fillId="14" borderId="40" xfId="0" applyFont="1" applyFill="1" applyBorder="1" applyAlignment="1">
      <alignment horizontal="center" vertical="center"/>
    </xf>
    <xf numFmtId="0" fontId="22" fillId="14" borderId="0" xfId="0" applyFont="1" applyFill="1" applyAlignment="1">
      <alignment horizontal="center" vertical="center"/>
    </xf>
    <xf numFmtId="0" fontId="22" fillId="14" borderId="62" xfId="0" applyFont="1" applyFill="1" applyBorder="1" applyAlignment="1">
      <alignment horizontal="center" vertical="center"/>
    </xf>
    <xf numFmtId="0" fontId="22" fillId="14" borderId="1" xfId="0" applyFont="1" applyFill="1" applyBorder="1" applyAlignment="1">
      <alignment horizontal="center" vertical="center"/>
    </xf>
    <xf numFmtId="0" fontId="22" fillId="14" borderId="128" xfId="0" applyFont="1" applyFill="1" applyBorder="1" applyAlignment="1">
      <alignment horizontal="center" vertical="center"/>
    </xf>
    <xf numFmtId="0" fontId="22" fillId="14" borderId="61" xfId="0" applyFont="1" applyFill="1" applyBorder="1" applyAlignment="1">
      <alignment horizontal="center" vertical="center"/>
    </xf>
    <xf numFmtId="0" fontId="22" fillId="14" borderId="129" xfId="0" applyFont="1" applyFill="1" applyBorder="1" applyAlignment="1">
      <alignment horizontal="center" vertical="center"/>
    </xf>
    <xf numFmtId="0" fontId="22" fillId="16" borderId="40" xfId="0" applyFont="1" applyFill="1" applyBorder="1" applyAlignment="1">
      <alignment horizontal="center" vertical="center" wrapText="1"/>
    </xf>
    <xf numFmtId="0" fontId="22" fillId="16" borderId="27" xfId="0" applyFont="1" applyFill="1" applyBorder="1" applyAlignment="1">
      <alignment horizontal="center" vertical="center" wrapText="1"/>
    </xf>
    <xf numFmtId="0" fontId="22" fillId="16" borderId="62" xfId="0" applyFont="1" applyFill="1" applyBorder="1" applyAlignment="1">
      <alignment horizontal="center" vertical="center" wrapText="1"/>
    </xf>
    <xf numFmtId="0" fontId="22" fillId="16" borderId="3" xfId="0" applyFont="1" applyFill="1" applyBorder="1" applyAlignment="1">
      <alignment horizontal="center" vertical="center" wrapText="1"/>
    </xf>
    <xf numFmtId="0" fontId="16" fillId="16" borderId="38" xfId="0" applyFont="1" applyFill="1" applyBorder="1" applyAlignment="1">
      <alignment horizontal="center" vertical="center" wrapText="1"/>
    </xf>
    <xf numFmtId="0" fontId="16" fillId="16" borderId="18" xfId="0" applyFont="1" applyFill="1" applyBorder="1" applyAlignment="1">
      <alignment horizontal="center" vertical="center" wrapText="1"/>
    </xf>
    <xf numFmtId="0" fontId="6" fillId="10" borderId="101" xfId="0" applyFont="1" applyFill="1" applyBorder="1" applyAlignment="1">
      <alignment horizontal="center" vertical="center" wrapText="1"/>
    </xf>
    <xf numFmtId="0" fontId="6" fillId="10" borderId="102" xfId="0" applyFont="1" applyFill="1" applyBorder="1" applyAlignment="1">
      <alignment horizontal="center" vertical="center" wrapText="1"/>
    </xf>
    <xf numFmtId="0" fontId="6" fillId="10" borderId="147" xfId="0" applyFont="1" applyFill="1" applyBorder="1" applyAlignment="1">
      <alignment horizontal="center" vertical="center" wrapText="1"/>
    </xf>
    <xf numFmtId="0" fontId="18" fillId="0" borderId="158" xfId="0" applyFont="1" applyBorder="1" applyAlignment="1">
      <alignment horizontal="center" vertical="center" textRotation="90"/>
    </xf>
    <xf numFmtId="0" fontId="18" fillId="0" borderId="0" xfId="0" applyFont="1" applyAlignment="1">
      <alignment horizontal="center" vertical="center" textRotation="90"/>
    </xf>
    <xf numFmtId="0" fontId="18" fillId="0" borderId="74" xfId="0" applyFont="1" applyBorder="1" applyAlignment="1">
      <alignment horizontal="center" vertical="center" textRotation="90"/>
    </xf>
    <xf numFmtId="0" fontId="18" fillId="0" borderId="159" xfId="0" applyFont="1" applyBorder="1" applyAlignment="1">
      <alignment horizontal="center" vertical="center" textRotation="180"/>
    </xf>
    <xf numFmtId="0" fontId="18" fillId="0" borderId="8" xfId="0" applyFont="1" applyBorder="1" applyAlignment="1">
      <alignment horizontal="center" vertical="center" textRotation="180"/>
    </xf>
    <xf numFmtId="0" fontId="18" fillId="0" borderId="75" xfId="0" applyFont="1" applyBorder="1" applyAlignment="1">
      <alignment horizontal="center" vertical="center" textRotation="180"/>
    </xf>
    <xf numFmtId="0" fontId="24" fillId="10" borderId="15" xfId="0" applyFont="1" applyFill="1" applyBorder="1" applyAlignment="1">
      <alignment horizontal="center" vertical="center"/>
    </xf>
    <xf numFmtId="0" fontId="24" fillId="10" borderId="0" xfId="0" applyFont="1" applyFill="1" applyAlignment="1">
      <alignment horizontal="center" vertical="center"/>
    </xf>
    <xf numFmtId="0" fontId="24" fillId="10" borderId="8" xfId="0" applyFont="1" applyFill="1" applyBorder="1" applyAlignment="1">
      <alignment horizontal="center" vertical="center"/>
    </xf>
    <xf numFmtId="0" fontId="24" fillId="10" borderId="14" xfId="0" applyFont="1" applyFill="1" applyBorder="1" applyAlignment="1">
      <alignment horizontal="center" vertical="center"/>
    </xf>
    <xf numFmtId="0" fontId="24" fillId="10" borderId="1" xfId="0" applyFont="1" applyFill="1" applyBorder="1" applyAlignment="1">
      <alignment horizontal="center" vertical="center"/>
    </xf>
    <xf numFmtId="0" fontId="24" fillId="10" borderId="7" xfId="0" applyFont="1" applyFill="1" applyBorder="1" applyAlignment="1">
      <alignment horizontal="center" vertical="center"/>
    </xf>
    <xf numFmtId="0" fontId="22" fillId="12" borderId="48" xfId="1" applyFont="1" applyFill="1" applyBorder="1" applyAlignment="1">
      <alignment horizontal="center" vertical="center"/>
    </xf>
    <xf numFmtId="0" fontId="22" fillId="12" borderId="44" xfId="1" applyFont="1" applyFill="1" applyBorder="1" applyAlignment="1">
      <alignment horizontal="center" vertical="center"/>
    </xf>
    <xf numFmtId="0" fontId="22" fillId="12" borderId="123" xfId="1" applyFont="1" applyFill="1" applyBorder="1" applyAlignment="1">
      <alignment horizontal="center" vertical="center"/>
    </xf>
    <xf numFmtId="0" fontId="22" fillId="6" borderId="46" xfId="1" applyFont="1" applyFill="1" applyBorder="1" applyAlignment="1">
      <alignment horizontal="center" vertical="center"/>
    </xf>
    <xf numFmtId="0" fontId="22" fillId="6" borderId="47" xfId="1" applyFont="1" applyFill="1" applyBorder="1" applyAlignment="1">
      <alignment horizontal="center" vertical="center"/>
    </xf>
    <xf numFmtId="0" fontId="22" fillId="6" borderId="63" xfId="1" applyFont="1" applyFill="1" applyBorder="1" applyAlignment="1">
      <alignment horizontal="center" vertical="center"/>
    </xf>
    <xf numFmtId="0" fontId="24" fillId="3" borderId="45" xfId="1" applyFont="1" applyFill="1" applyBorder="1" applyAlignment="1">
      <alignment horizontal="center" vertical="center"/>
    </xf>
    <xf numFmtId="0" fontId="24" fillId="3" borderId="42" xfId="1" applyFont="1" applyFill="1" applyBorder="1" applyAlignment="1">
      <alignment horizontal="center" vertical="center"/>
    </xf>
    <xf numFmtId="0" fontId="24" fillId="3" borderId="122" xfId="1" applyFont="1" applyFill="1" applyBorder="1" applyAlignment="1">
      <alignment horizontal="center" vertical="center"/>
    </xf>
    <xf numFmtId="0" fontId="31" fillId="5" borderId="166" xfId="0" applyFont="1" applyFill="1" applyBorder="1" applyAlignment="1">
      <alignment horizontal="center" vertical="center" wrapText="1"/>
    </xf>
    <xf numFmtId="0" fontId="31" fillId="5" borderId="92" xfId="0" applyFont="1" applyFill="1" applyBorder="1" applyAlignment="1">
      <alignment horizontal="center" vertical="center" wrapText="1"/>
    </xf>
    <xf numFmtId="0" fontId="31" fillId="3" borderId="152" xfId="0" applyFont="1" applyFill="1" applyBorder="1" applyAlignment="1">
      <alignment horizontal="center" vertical="center" wrapText="1"/>
    </xf>
    <xf numFmtId="0" fontId="31" fillId="3" borderId="154" xfId="0" applyFont="1" applyFill="1" applyBorder="1" applyAlignment="1">
      <alignment horizontal="center" vertical="center" wrapText="1"/>
    </xf>
    <xf numFmtId="0" fontId="31" fillId="22" borderId="153" xfId="0" applyFont="1" applyFill="1" applyBorder="1" applyAlignment="1">
      <alignment horizontal="center" vertical="center" wrapText="1"/>
    </xf>
    <xf numFmtId="0" fontId="31" fillId="22" borderId="25" xfId="0" applyFont="1" applyFill="1" applyBorder="1" applyAlignment="1">
      <alignment horizontal="center" vertical="center" wrapText="1"/>
    </xf>
    <xf numFmtId="0" fontId="31" fillId="23" borderId="151" xfId="0" applyFont="1" applyFill="1" applyBorder="1" applyAlignment="1">
      <alignment horizontal="center" vertical="center" wrapText="1"/>
    </xf>
    <xf numFmtId="0" fontId="31" fillId="23" borderId="93" xfId="0" applyFont="1" applyFill="1" applyBorder="1" applyAlignment="1">
      <alignment horizontal="center" vertical="center" wrapText="1"/>
    </xf>
    <xf numFmtId="0" fontId="31" fillId="8" borderId="67" xfId="0" applyFont="1" applyFill="1" applyBorder="1" applyAlignment="1">
      <alignment horizontal="center" vertical="center" wrapText="1"/>
    </xf>
    <xf numFmtId="0" fontId="31" fillId="8" borderId="174" xfId="0" applyFont="1" applyFill="1" applyBorder="1" applyAlignment="1">
      <alignment horizontal="center" vertical="center" wrapText="1"/>
    </xf>
    <xf numFmtId="0" fontId="31" fillId="21" borderId="32" xfId="0" applyFont="1" applyFill="1" applyBorder="1" applyAlignment="1">
      <alignment horizontal="center" vertical="center" wrapText="1"/>
    </xf>
    <xf numFmtId="0" fontId="31" fillId="21" borderId="33" xfId="0" applyFont="1" applyFill="1" applyBorder="1" applyAlignment="1">
      <alignment horizontal="center" vertical="center" wrapText="1"/>
    </xf>
    <xf numFmtId="0" fontId="31" fillId="8" borderId="166" xfId="0" applyFont="1" applyFill="1" applyBorder="1" applyAlignment="1">
      <alignment horizontal="center" vertical="center" wrapText="1"/>
    </xf>
    <xf numFmtId="0" fontId="31" fillId="8" borderId="92" xfId="0" applyFont="1" applyFill="1" applyBorder="1" applyAlignment="1">
      <alignment horizontal="center" vertical="center" wrapText="1"/>
    </xf>
    <xf numFmtId="0" fontId="31" fillId="23" borderId="152" xfId="0" applyFont="1" applyFill="1" applyBorder="1" applyAlignment="1">
      <alignment horizontal="center" vertical="center" wrapText="1"/>
    </xf>
    <xf numFmtId="0" fontId="31" fillId="23" borderId="154" xfId="0" applyFont="1" applyFill="1" applyBorder="1" applyAlignment="1">
      <alignment horizontal="center" vertical="center" wrapText="1"/>
    </xf>
    <xf numFmtId="0" fontId="31" fillId="3" borderId="151" xfId="0" applyFont="1" applyFill="1" applyBorder="1" applyAlignment="1">
      <alignment horizontal="center" vertical="center" wrapText="1"/>
    </xf>
    <xf numFmtId="0" fontId="31" fillId="3" borderId="93" xfId="0" applyFont="1" applyFill="1" applyBorder="1" applyAlignment="1">
      <alignment horizontal="center" vertical="center" wrapText="1"/>
    </xf>
    <xf numFmtId="0" fontId="31" fillId="5" borderId="67" xfId="0" applyFont="1" applyFill="1" applyBorder="1" applyAlignment="1">
      <alignment horizontal="center" vertical="center" wrapText="1"/>
    </xf>
    <xf numFmtId="0" fontId="31" fillId="5" borderId="174" xfId="0" applyFont="1" applyFill="1" applyBorder="1" applyAlignment="1">
      <alignment horizontal="center" vertical="center" wrapText="1"/>
    </xf>
    <xf numFmtId="0" fontId="3" fillId="5" borderId="16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44" fillId="26" borderId="32" xfId="0" applyFont="1" applyFill="1" applyBorder="1" applyAlignment="1">
      <alignment horizontal="center" vertical="center" wrapText="1"/>
    </xf>
    <xf numFmtId="0" fontId="44" fillId="26" borderId="34" xfId="0" applyFont="1" applyFill="1" applyBorder="1" applyAlignment="1">
      <alignment horizontal="center" vertical="center" wrapText="1"/>
    </xf>
    <xf numFmtId="0" fontId="44" fillId="26" borderId="33" xfId="0" applyFont="1" applyFill="1" applyBorder="1" applyAlignment="1">
      <alignment horizontal="center" vertical="center" wrapText="1"/>
    </xf>
    <xf numFmtId="0" fontId="33" fillId="25" borderId="29" xfId="0" applyFont="1" applyFill="1" applyBorder="1" applyAlignment="1">
      <alignment horizontal="center" vertical="center" wrapText="1"/>
    </xf>
    <xf numFmtId="0" fontId="33" fillId="25" borderId="30" xfId="0" applyFont="1" applyFill="1" applyBorder="1" applyAlignment="1">
      <alignment horizontal="center" vertical="center" wrapText="1"/>
    </xf>
    <xf numFmtId="0" fontId="33" fillId="25" borderId="31" xfId="0" applyFont="1" applyFill="1" applyBorder="1" applyAlignment="1">
      <alignment horizontal="center" vertical="center" wrapText="1"/>
    </xf>
    <xf numFmtId="0" fontId="3" fillId="5" borderId="165" xfId="0" applyFont="1" applyFill="1" applyBorder="1" applyAlignment="1">
      <alignment horizontal="center" vertical="center" wrapText="1"/>
    </xf>
    <xf numFmtId="0" fontId="3" fillId="5" borderId="143" xfId="0" applyFont="1" applyFill="1" applyBorder="1" applyAlignment="1">
      <alignment horizontal="center" vertical="center" wrapText="1"/>
    </xf>
    <xf numFmtId="0" fontId="31" fillId="3" borderId="168" xfId="0" applyFont="1" applyFill="1" applyBorder="1" applyAlignment="1">
      <alignment horizontal="center" vertical="center" wrapText="1"/>
    </xf>
    <xf numFmtId="0" fontId="31" fillId="3" borderId="146" xfId="0" applyFont="1" applyFill="1" applyBorder="1" applyAlignment="1">
      <alignment horizontal="center" vertical="center" wrapText="1"/>
    </xf>
    <xf numFmtId="0" fontId="31" fillId="22" borderId="76" xfId="0" applyFont="1" applyFill="1" applyBorder="1" applyAlignment="1">
      <alignment horizontal="center" vertical="center" wrapText="1"/>
    </xf>
    <xf numFmtId="0" fontId="31" fillId="22" borderId="18" xfId="0" applyFont="1" applyFill="1" applyBorder="1" applyAlignment="1">
      <alignment horizontal="center" vertical="center" wrapText="1"/>
    </xf>
    <xf numFmtId="0" fontId="31" fillId="23" borderId="98" xfId="0" applyFont="1" applyFill="1" applyBorder="1" applyAlignment="1">
      <alignment horizontal="center" vertical="center" wrapText="1"/>
    </xf>
    <xf numFmtId="0" fontId="31" fillId="23" borderId="84" xfId="0" applyFont="1" applyFill="1" applyBorder="1" applyAlignment="1">
      <alignment horizontal="center" vertical="center" wrapText="1"/>
    </xf>
    <xf numFmtId="0" fontId="31" fillId="8" borderId="162" xfId="0" applyFont="1" applyFill="1" applyBorder="1" applyAlignment="1">
      <alignment horizontal="center" vertical="center" wrapText="1"/>
    </xf>
    <xf numFmtId="0" fontId="31" fillId="8" borderId="7" xfId="0" applyFont="1" applyFill="1" applyBorder="1" applyAlignment="1">
      <alignment horizontal="center" vertical="center" wrapText="1"/>
    </xf>
    <xf numFmtId="0" fontId="31" fillId="8" borderId="165" xfId="0" applyFont="1" applyFill="1" applyBorder="1" applyAlignment="1">
      <alignment horizontal="center" vertical="center" wrapText="1"/>
    </xf>
    <xf numFmtId="0" fontId="31" fillId="8" borderId="143" xfId="0" applyFont="1" applyFill="1" applyBorder="1" applyAlignment="1">
      <alignment horizontal="center" vertical="center" wrapText="1"/>
    </xf>
    <xf numFmtId="0" fontId="31" fillId="23" borderId="168" xfId="0" applyFont="1" applyFill="1" applyBorder="1" applyAlignment="1">
      <alignment horizontal="center" vertical="center" wrapText="1"/>
    </xf>
    <xf numFmtId="0" fontId="31" fillId="23" borderId="146" xfId="0" applyFont="1" applyFill="1" applyBorder="1" applyAlignment="1">
      <alignment horizontal="center" vertical="center" wrapText="1"/>
    </xf>
    <xf numFmtId="0" fontId="31" fillId="3" borderId="98" xfId="0" applyFont="1" applyFill="1" applyBorder="1" applyAlignment="1">
      <alignment horizontal="center" vertical="center"/>
    </xf>
    <xf numFmtId="0" fontId="31" fillId="3" borderId="84" xfId="0" applyFont="1" applyFill="1" applyBorder="1" applyAlignment="1">
      <alignment horizontal="center" vertical="center"/>
    </xf>
    <xf numFmtId="0" fontId="31" fillId="7" borderId="157" xfId="0" applyFont="1" applyFill="1" applyBorder="1" applyAlignment="1">
      <alignment horizontal="left" vertical="center" wrapText="1"/>
    </xf>
    <xf numFmtId="0" fontId="31" fillId="7" borderId="96" xfId="0" applyFont="1" applyFill="1" applyBorder="1" applyAlignment="1">
      <alignment horizontal="left" vertical="center" wrapText="1"/>
    </xf>
    <xf numFmtId="0" fontId="31" fillId="6" borderId="0" xfId="0" applyFont="1" applyFill="1" applyAlignment="1">
      <alignment horizontal="left" vertical="center" wrapText="1"/>
    </xf>
    <xf numFmtId="0" fontId="31" fillId="6" borderId="70" xfId="0" applyFont="1" applyFill="1" applyBorder="1" applyAlignment="1">
      <alignment horizontal="left" vertical="center" wrapText="1"/>
    </xf>
    <xf numFmtId="0" fontId="31" fillId="6" borderId="41" xfId="0" applyFont="1" applyFill="1" applyBorder="1" applyAlignment="1">
      <alignment horizontal="left" vertical="center" wrapText="1"/>
    </xf>
    <xf numFmtId="0" fontId="31" fillId="6" borderId="90" xfId="0" applyFont="1" applyFill="1" applyBorder="1" applyAlignment="1">
      <alignment horizontal="left" vertical="center" wrapText="1"/>
    </xf>
    <xf numFmtId="0" fontId="18" fillId="0" borderId="67" xfId="0" applyFont="1" applyBorder="1" applyAlignment="1">
      <alignment horizontal="center" vertical="center" wrapText="1"/>
    </xf>
    <xf numFmtId="0" fontId="18" fillId="0" borderId="68" xfId="0" applyFont="1" applyBorder="1" applyAlignment="1">
      <alignment horizontal="center" vertical="center" wrapText="1"/>
    </xf>
    <xf numFmtId="0" fontId="18" fillId="0" borderId="174" xfId="0" applyFont="1" applyBorder="1" applyAlignment="1">
      <alignment horizontal="center" vertical="center" wrapText="1"/>
    </xf>
    <xf numFmtId="0" fontId="18" fillId="0" borderId="166" xfId="0" applyFont="1" applyBorder="1" applyAlignment="1">
      <alignment horizontal="center" vertical="center" wrapText="1"/>
    </xf>
    <xf numFmtId="0" fontId="18" fillId="0" borderId="94" xfId="0" applyFont="1" applyBorder="1" applyAlignment="1">
      <alignment horizontal="center" vertical="center" wrapText="1"/>
    </xf>
    <xf numFmtId="0" fontId="18" fillId="0" borderId="92" xfId="0" applyFont="1" applyBorder="1" applyAlignment="1">
      <alignment horizontal="center" vertical="center" wrapText="1"/>
    </xf>
    <xf numFmtId="0" fontId="30" fillId="0" borderId="0" xfId="0" applyFont="1" applyAlignment="1">
      <alignment horizontal="center"/>
    </xf>
    <xf numFmtId="0" fontId="32" fillId="14" borderId="98" xfId="0" applyFont="1" applyFill="1" applyBorder="1" applyAlignment="1">
      <alignment horizontal="center" vertical="center" wrapText="1"/>
    </xf>
    <xf numFmtId="0" fontId="32" fillId="14" borderId="90" xfId="0" applyFont="1" applyFill="1" applyBorder="1" applyAlignment="1">
      <alignment horizontal="center" vertical="center" wrapText="1"/>
    </xf>
    <xf numFmtId="0" fontId="31" fillId="5" borderId="162" xfId="0" applyFont="1" applyFill="1" applyBorder="1" applyAlignment="1">
      <alignment horizontal="center" vertical="center" wrapText="1"/>
    </xf>
    <xf numFmtId="0" fontId="31" fillId="5" borderId="167" xfId="0" applyFont="1" applyFill="1" applyBorder="1" applyAlignment="1">
      <alignment horizontal="center" vertical="center" wrapText="1"/>
    </xf>
    <xf numFmtId="0" fontId="32" fillId="7" borderId="98" xfId="0" applyFont="1" applyFill="1" applyBorder="1" applyAlignment="1">
      <alignment horizontal="center" vertical="center" wrapText="1"/>
    </xf>
    <xf numFmtId="0" fontId="32" fillId="7" borderId="90" xfId="0" applyFont="1" applyFill="1" applyBorder="1" applyAlignment="1">
      <alignment horizontal="center" vertical="center" wrapText="1"/>
    </xf>
    <xf numFmtId="0" fontId="32" fillId="9" borderId="97"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45" fillId="0" borderId="0" xfId="0" applyFont="1" applyAlignment="1">
      <alignment horizontal="center"/>
    </xf>
    <xf numFmtId="0" fontId="22" fillId="11" borderId="13" xfId="0" applyFont="1" applyFill="1" applyBorder="1" applyAlignment="1">
      <alignment horizontal="center" vertical="center"/>
    </xf>
    <xf numFmtId="0" fontId="43" fillId="11" borderId="13" xfId="0" applyFont="1" applyFill="1" applyBorder="1" applyAlignment="1">
      <alignment horizontal="center" vertical="center"/>
    </xf>
    <xf numFmtId="0" fontId="43" fillId="11" borderId="0" xfId="0" applyFont="1" applyFill="1" applyAlignment="1">
      <alignment horizontal="center" vertical="center"/>
    </xf>
    <xf numFmtId="0" fontId="43" fillId="11" borderId="1" xfId="0" applyFont="1" applyFill="1" applyBorder="1" applyAlignment="1">
      <alignment horizontal="center" vertical="center"/>
    </xf>
    <xf numFmtId="0" fontId="33" fillId="0" borderId="65" xfId="0" applyFont="1" applyBorder="1" applyAlignment="1">
      <alignment horizontal="center" vertical="center"/>
    </xf>
    <xf numFmtId="0" fontId="33" fillId="0" borderId="86" xfId="0" applyFont="1" applyBorder="1" applyAlignment="1">
      <alignment horizontal="center" vertical="center"/>
    </xf>
  </cellXfs>
  <cellStyles count="4">
    <cellStyle name="CAS" xfId="1" xr:uid="{D45632DE-53A3-4DD2-A81E-80E294EE5195}"/>
    <cellStyle name="Normal" xfId="0" builtinId="0"/>
    <cellStyle name="Normal 2" xfId="2" xr:uid="{CE3C15A5-016D-4D63-9682-30F0D06941C6}"/>
    <cellStyle name="Normal 3" xfId="3" xr:uid="{3DBBF6E0-8FDF-41A5-8340-DD2483F64C58}"/>
  </cellStyles>
  <dxfs count="342">
    <dxf>
      <fill>
        <patternFill>
          <bgColor theme="8" tint="0.39994506668294322"/>
        </patternFill>
      </fill>
    </dxf>
    <dxf>
      <fill>
        <patternFill>
          <bgColor theme="8" tint="0.79998168889431442"/>
        </patternFill>
      </fill>
    </dxf>
    <dxf>
      <fill>
        <patternFill>
          <bgColor theme="4" tint="0.59996337778862885"/>
        </patternFill>
      </fill>
    </dxf>
    <dxf>
      <fill>
        <patternFill>
          <bgColor theme="7" tint="0.59996337778862885"/>
        </patternFill>
      </fill>
    </dxf>
    <dxf>
      <font>
        <b/>
        <i val="0"/>
        <color theme="9"/>
      </font>
      <fill>
        <patternFill patternType="solid">
          <fgColor theme="0"/>
        </patternFill>
      </fill>
    </dxf>
    <dxf>
      <font>
        <b/>
        <i/>
        <color rgb="FFFFFF00"/>
      </font>
      <fill>
        <patternFill patternType="solid">
          <fgColor theme="0"/>
          <bgColor theme="0" tint="-0.34998626667073579"/>
        </patternFill>
      </fill>
    </dxf>
    <dxf>
      <font>
        <b/>
        <i val="0"/>
        <color rgb="FF00B050"/>
      </font>
      <fill>
        <gradientFill degree="90">
          <stop position="0">
            <color theme="0"/>
          </stop>
          <stop position="1">
            <color theme="8" tint="0.80001220740379042"/>
          </stop>
        </gradientFill>
      </fill>
    </dxf>
    <dxf>
      <font>
        <b/>
        <i val="0"/>
        <color rgb="FF00B050"/>
      </font>
      <fill>
        <gradientFill degree="90">
          <stop position="0">
            <color theme="0"/>
          </stop>
          <stop position="1">
            <color rgb="FF00FFFF"/>
          </stop>
        </gradientFill>
      </fill>
    </dxf>
    <dxf>
      <font>
        <b/>
        <i val="0"/>
        <color auto="1"/>
      </font>
      <numFmt numFmtId="165" formatCode="General;General;General;@\ &quot; 📅&quot;"/>
      <fill>
        <gradientFill type="path" left="0.5" right="0.5" top="0.5" bottom="0.5">
          <stop position="0">
            <color theme="0"/>
          </stop>
          <stop position="1">
            <color rgb="FFFF0000"/>
          </stop>
        </gradientFill>
      </fill>
    </dxf>
    <dxf>
      <font>
        <b/>
        <i val="0"/>
        <color auto="1"/>
      </font>
      <numFmt numFmtId="166" formatCode="General;General;General;@\ &quot; 🔑&quot;"/>
      <fill>
        <gradientFill degree="90">
          <stop position="0">
            <color theme="0"/>
          </stop>
          <stop position="1">
            <color rgb="FFFFC000"/>
          </stop>
        </gradientFill>
      </fill>
    </dxf>
    <dxf>
      <font>
        <b/>
        <i val="0"/>
        <color auto="1"/>
      </font>
      <numFmt numFmtId="167" formatCode="General;General;General;@\ &quot; 📋&quot;"/>
      <fill>
        <gradientFill degree="90">
          <stop position="0">
            <color theme="0"/>
          </stop>
          <stop position="1">
            <color rgb="FFFFC000"/>
          </stop>
        </gradientFill>
      </fill>
    </dxf>
    <dxf>
      <font>
        <b/>
        <i val="0"/>
        <color auto="1"/>
      </font>
      <numFmt numFmtId="168" formatCode="General;General;General;@\ &quot; 🏠&quot;"/>
      <fill>
        <gradientFill type="path" left="0.5" right="0.5" top="0.5" bottom="0.5">
          <stop position="0">
            <color rgb="FFFFFF00"/>
          </stop>
          <stop position="1">
            <color rgb="FF00B050"/>
          </stop>
        </gradientFill>
      </fill>
    </dxf>
    <dxf>
      <font>
        <b/>
        <i val="0"/>
        <color auto="1"/>
      </font>
      <numFmt numFmtId="169" formatCode="General;General;General;@\ &quot; ✔&quot;"/>
      <fill>
        <gradientFill type="path" left="0.5" right="0.5" top="0.5" bottom="0.5">
          <stop position="0">
            <color theme="0"/>
          </stop>
          <stop position="1">
            <color rgb="FF00B050"/>
          </stop>
        </gradient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7" tint="0.59996337778862885"/>
        </patternFill>
      </fill>
    </dxf>
    <dxf>
      <fill>
        <patternFill>
          <bgColor theme="4"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4" tint="0.59996337778862885"/>
        </patternFill>
      </fill>
    </dxf>
    <dxf>
      <fill>
        <patternFill>
          <bgColor theme="6" tint="0.79998168889431442"/>
        </patternFill>
      </fill>
    </dxf>
    <dxf>
      <fill>
        <patternFill>
          <bgColor theme="2" tint="0.79998168889431442"/>
        </patternFill>
      </fill>
    </dxf>
    <dxf>
      <fill>
        <patternFill>
          <bgColor rgb="FFFFD5F1"/>
        </patternFill>
      </fill>
    </dxf>
    <dxf>
      <fill>
        <patternFill>
          <bgColor rgb="FFFEDDB8"/>
        </patternFill>
      </fill>
    </dxf>
    <dxf>
      <fill>
        <patternFill>
          <bgColor rgb="FFFFF4C5"/>
        </patternFill>
      </fill>
    </dxf>
    <dxf>
      <fill>
        <patternFill>
          <bgColor rgb="FFCDDEFF"/>
        </patternFill>
      </fill>
    </dxf>
    <dxf>
      <fill>
        <patternFill>
          <bgColor rgb="FFC1FBFA"/>
        </patternFill>
      </fill>
    </dxf>
    <dxf>
      <font>
        <color rgb="FFC00000"/>
      </font>
    </dxf>
    <dxf>
      <fill>
        <patternFill>
          <bgColor rgb="FFDEFEB8"/>
        </patternFill>
      </fill>
    </dxf>
    <dxf>
      <fill>
        <patternFill patternType="solid">
          <fgColor rgb="FF9DF9F0"/>
          <bgColor rgb="FFEAD7F9"/>
        </patternFill>
      </fill>
    </dxf>
    <dxf>
      <fill>
        <patternFill>
          <bgColor rgb="FFFC8F18"/>
        </patternFill>
      </fill>
    </dxf>
    <dxf>
      <fill>
        <patternFill>
          <bgColor rgb="FFFFCF05"/>
        </patternFill>
      </fill>
    </dxf>
    <dxf>
      <fill>
        <patternFill>
          <bgColor rgb="FF4F8AFF"/>
        </patternFill>
      </fill>
    </dxf>
    <dxf>
      <fill>
        <patternFill>
          <bgColor rgb="FF10EEE9"/>
        </patternFill>
      </fill>
    </dxf>
    <dxf>
      <fill>
        <patternFill>
          <bgColor rgb="FF73D002"/>
        </patternFill>
      </fill>
    </dxf>
    <dxf>
      <fill>
        <patternFill patternType="solid">
          <fgColor rgb="FF9DF9F0"/>
          <bgColor rgb="FFB876EA"/>
        </patternFill>
      </fill>
    </dxf>
    <dxf>
      <fill>
        <patternFill>
          <bgColor rgb="FFFF75D1"/>
        </patternFill>
      </fill>
    </dxf>
    <dxf>
      <fill>
        <patternFill>
          <bgColor rgb="FF73D002"/>
        </patternFill>
      </fill>
    </dxf>
    <dxf>
      <fill>
        <patternFill patternType="solid">
          <fgColor rgb="FF9DF9F0"/>
          <bgColor rgb="FFB876EA"/>
        </patternFill>
      </fill>
    </dxf>
    <dxf>
      <fill>
        <patternFill>
          <bgColor rgb="FFFFD5F1"/>
        </patternFill>
      </fill>
    </dxf>
    <dxf>
      <font>
        <color rgb="FFC00000"/>
      </font>
    </dxf>
    <dxf>
      <fill>
        <patternFill>
          <bgColor rgb="FFFEDDB8"/>
        </patternFill>
      </fill>
    </dxf>
    <dxf>
      <fill>
        <patternFill>
          <bgColor rgb="FFFFF4C5"/>
        </patternFill>
      </fill>
    </dxf>
    <dxf>
      <fill>
        <patternFill>
          <bgColor rgb="FFCDDEFF"/>
        </patternFill>
      </fill>
    </dxf>
    <dxf>
      <fill>
        <patternFill>
          <bgColor rgb="FFC1FBFA"/>
        </patternFill>
      </fill>
    </dxf>
    <dxf>
      <fill>
        <patternFill>
          <bgColor rgb="FFDEFEB8"/>
        </patternFill>
      </fill>
    </dxf>
    <dxf>
      <fill>
        <patternFill>
          <bgColor rgb="FFFC8F18"/>
        </patternFill>
      </fill>
    </dxf>
    <dxf>
      <fill>
        <patternFill patternType="solid">
          <fgColor rgb="FF9DF9F0"/>
          <bgColor rgb="FFEAD7F9"/>
        </patternFill>
      </fill>
    </dxf>
    <dxf>
      <fill>
        <patternFill>
          <bgColor rgb="FFFF75D1"/>
        </patternFill>
      </fill>
    </dxf>
    <dxf>
      <fill>
        <patternFill>
          <bgColor rgb="FFFFCF05"/>
        </patternFill>
      </fill>
    </dxf>
    <dxf>
      <fill>
        <patternFill>
          <bgColor rgb="FF4F8AFF"/>
        </patternFill>
      </fill>
    </dxf>
    <dxf>
      <fill>
        <patternFill>
          <bgColor rgb="FF10EEE9"/>
        </patternFill>
      </fill>
    </dxf>
    <dxf>
      <fill>
        <gradientFill>
          <stop position="0">
            <color theme="0"/>
          </stop>
          <stop position="1">
            <color rgb="FFFF75D1"/>
          </stop>
        </gradientFill>
      </fill>
    </dxf>
    <dxf>
      <fill>
        <gradientFill>
          <stop position="0">
            <color theme="0"/>
          </stop>
          <stop position="1">
            <color rgb="FFFFD5F1"/>
          </stop>
        </gradientFill>
      </fill>
    </dxf>
    <dxf>
      <fill>
        <patternFill>
          <bgColor rgb="FFFFD5F1"/>
        </patternFill>
      </fill>
    </dxf>
    <dxf>
      <font>
        <color rgb="FFC00000"/>
      </font>
    </dxf>
    <dxf>
      <fill>
        <patternFill>
          <bgColor rgb="FFFFD5F1"/>
        </patternFill>
      </fill>
    </dxf>
    <dxf>
      <fill>
        <patternFill>
          <bgColor rgb="FF10EEE9"/>
        </patternFill>
      </fill>
    </dxf>
    <dxf>
      <fill>
        <patternFill>
          <bgColor rgb="FFFEDDB8"/>
        </patternFill>
      </fill>
    </dxf>
    <dxf>
      <fill>
        <patternFill>
          <bgColor rgb="FFFFF4C5"/>
        </patternFill>
      </fill>
    </dxf>
    <dxf>
      <fill>
        <patternFill>
          <bgColor rgb="FFCDDEFF"/>
        </patternFill>
      </fill>
    </dxf>
    <dxf>
      <fill>
        <patternFill>
          <bgColor rgb="FFC1FBFA"/>
        </patternFill>
      </fill>
    </dxf>
    <dxf>
      <fill>
        <patternFill>
          <bgColor rgb="FF73D002"/>
        </patternFill>
      </fill>
    </dxf>
    <dxf>
      <fill>
        <patternFill>
          <bgColor rgb="FFDEFEB8"/>
        </patternFill>
      </fill>
    </dxf>
    <dxf>
      <fill>
        <patternFill patternType="solid">
          <fgColor rgb="FF9DF9F0"/>
          <bgColor rgb="FFEAD7F9"/>
        </patternFill>
      </fill>
    </dxf>
    <dxf>
      <fill>
        <patternFill patternType="solid">
          <fgColor rgb="FF9DF9F0"/>
          <bgColor rgb="FFB876EA"/>
        </patternFill>
      </fill>
    </dxf>
    <dxf>
      <fill>
        <patternFill>
          <bgColor rgb="FFFF75D1"/>
        </patternFill>
      </fill>
    </dxf>
    <dxf>
      <fill>
        <patternFill>
          <bgColor rgb="FFFC8F18"/>
        </patternFill>
      </fill>
    </dxf>
    <dxf>
      <fill>
        <patternFill>
          <bgColor rgb="FFFFCF05"/>
        </patternFill>
      </fill>
    </dxf>
    <dxf>
      <fill>
        <patternFill>
          <bgColor rgb="FF4F8AFF"/>
        </patternFill>
      </fill>
    </dxf>
    <dxf>
      <font>
        <color rgb="FFC00000"/>
      </font>
    </dxf>
    <dxf>
      <fill>
        <patternFill>
          <bgColor rgb="FFFFD5F1"/>
        </patternFill>
      </fill>
    </dxf>
    <dxf>
      <fill>
        <patternFill patternType="solid">
          <fgColor rgb="FF9DF9F0"/>
          <bgColor rgb="FFB876EA"/>
        </patternFill>
      </fill>
    </dxf>
    <dxf>
      <fill>
        <patternFill>
          <bgColor rgb="FF73D002"/>
        </patternFill>
      </fill>
    </dxf>
    <dxf>
      <fill>
        <patternFill>
          <bgColor rgb="FF10EEE9"/>
        </patternFill>
      </fill>
    </dxf>
    <dxf>
      <fill>
        <patternFill>
          <bgColor rgb="FF4F8AFF"/>
        </patternFill>
      </fill>
    </dxf>
    <dxf>
      <fill>
        <patternFill>
          <bgColor rgb="FFFF75D1"/>
        </patternFill>
      </fill>
    </dxf>
    <dxf>
      <fill>
        <patternFill>
          <bgColor rgb="FFFFCF05"/>
        </patternFill>
      </fill>
    </dxf>
    <dxf>
      <fill>
        <patternFill>
          <bgColor rgb="FFFC8F18"/>
        </patternFill>
      </fill>
    </dxf>
    <dxf>
      <fill>
        <patternFill patternType="solid">
          <fgColor rgb="FF9DF9F0"/>
          <bgColor rgb="FFEAD7F9"/>
        </patternFill>
      </fill>
    </dxf>
    <dxf>
      <fill>
        <patternFill>
          <bgColor rgb="FFDEFEB8"/>
        </patternFill>
      </fill>
    </dxf>
    <dxf>
      <fill>
        <patternFill>
          <bgColor rgb="FFC1FBFA"/>
        </patternFill>
      </fill>
    </dxf>
    <dxf>
      <fill>
        <patternFill>
          <bgColor rgb="FFCDDEFF"/>
        </patternFill>
      </fill>
    </dxf>
    <dxf>
      <fill>
        <patternFill>
          <bgColor rgb="FFFFF4C5"/>
        </patternFill>
      </fill>
    </dxf>
    <dxf>
      <fill>
        <patternFill>
          <bgColor rgb="FFFEDDB8"/>
        </patternFill>
      </fill>
    </dxf>
    <dxf>
      <fill>
        <gradientFill degree="180">
          <stop position="0">
            <color theme="0"/>
          </stop>
          <stop position="1">
            <color rgb="FFFFD5F1"/>
          </stop>
        </gradientFill>
      </fill>
    </dxf>
    <dxf>
      <fill>
        <gradientFill degree="180">
          <stop position="0">
            <color theme="0"/>
          </stop>
          <stop position="1">
            <color rgb="FFFF75D1"/>
          </stop>
        </gradientFill>
      </fill>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000000"/>
        <name val="Calibri"/>
        <family val="2"/>
        <scheme val="none"/>
      </font>
      <numFmt numFmtId="19" formatCode="dd/mm/yyyy"/>
      <alignment horizontal="center" vertical="center" textRotation="0" wrapText="0" indent="0" justifyLastLine="0" shrinkToFit="0" readingOrder="0"/>
      <protection locked="0" hidden="0"/>
    </dxf>
    <dxf>
      <font>
        <strike val="0"/>
        <outline val="0"/>
        <shadow val="0"/>
        <u val="none"/>
        <vertAlign val="baseline"/>
        <sz val="12"/>
        <color rgb="FF000000"/>
        <name val="Calibri"/>
        <family val="2"/>
        <scheme val="none"/>
      </font>
      <numFmt numFmtId="19" formatCode="dd/mm/yyyy"/>
      <fill>
        <patternFill patternType="none">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i val="0"/>
        <strike val="0"/>
        <condense val="0"/>
        <extend val="0"/>
        <outline val="0"/>
        <shadow val="0"/>
        <u val="none"/>
        <vertAlign val="baseline"/>
        <sz val="12"/>
        <color rgb="FFFF0000"/>
        <name val="Calibri"/>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fill>
        <patternFill patternType="solid">
          <fgColor indexed="64"/>
          <bgColor rgb="FFFFFF00"/>
        </patternFill>
      </fill>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2"/>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none"/>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numFmt numFmtId="0" formatCode="General"/>
      <fill>
        <patternFill patternType="none">
          <fgColor theme="4" tint="0.79998168889431442"/>
          <bgColor auto="1"/>
        </patternFill>
      </fill>
      <alignment horizontal="center" vertical="center" textRotation="0" wrapText="0" indent="0" justifyLastLine="0" shrinkToFit="0" readingOrder="0"/>
    </dxf>
    <dxf>
      <font>
        <b/>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fill>
        <patternFill patternType="none">
          <fgColor theme="4" tint="0.79998168889431442"/>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rgb="FF000000"/>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2"/>
        <color rgb="FF000000"/>
        <name val="Calibri"/>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30"/>
        <color theme="0"/>
        <name val="Calibri"/>
        <family val="2"/>
        <scheme val="none"/>
      </font>
      <fill>
        <patternFill patternType="solid">
          <fgColor theme="4"/>
          <bgColor theme="4"/>
        </patternFill>
      </fill>
    </dxf>
    <dxf>
      <font>
        <b val="0"/>
        <i val="0"/>
        <strike val="0"/>
        <condense val="0"/>
        <extend val="0"/>
        <outline val="0"/>
        <shadow val="0"/>
        <u val="none"/>
        <vertAlign val="baseline"/>
        <sz val="11"/>
        <color theme="1"/>
        <name val="Segoe UI Emoji"/>
        <family val="2"/>
        <scheme val="none"/>
      </font>
      <fill>
        <patternFill patternType="solid">
          <fgColor theme="4" tint="0.79998168889431442"/>
          <bgColor theme="4" tint="0.79998168889431442"/>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Segoe UI Emoj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30"/>
        <color theme="0"/>
        <name val="Segoe UI Emoji"/>
        <family val="2"/>
        <scheme val="none"/>
      </font>
      <fill>
        <patternFill patternType="solid">
          <fgColor theme="4"/>
          <bgColor theme="4"/>
        </patternFill>
      </fill>
    </dxf>
    <dxf>
      <font>
        <b/>
        <i val="0"/>
      </font>
      <fill>
        <patternFill>
          <bgColor theme="9" tint="0.59996337778862885"/>
        </patternFill>
      </fill>
      <border>
        <bottom style="medium">
          <color auto="1"/>
        </bottom>
      </border>
    </dxf>
    <dxf>
      <border>
        <left style="thick">
          <color auto="1"/>
        </left>
        <right style="thick">
          <color auto="1"/>
        </right>
        <top style="thick">
          <color auto="1"/>
        </top>
        <bottom style="thick">
          <color auto="1"/>
        </bottom>
        <vertical style="thin">
          <color auto="1"/>
        </vertical>
        <horizontal style="medium">
          <color auto="1"/>
        </horizontal>
      </border>
    </dxf>
    <dxf>
      <font>
        <b/>
        <i val="0"/>
      </font>
      <fill>
        <patternFill>
          <bgColor theme="9" tint="0.59996337778862885"/>
        </patternFill>
      </fill>
      <border>
        <bottom style="medium">
          <color auto="1"/>
        </bottom>
      </border>
    </dxf>
    <dxf>
      <border>
        <left style="thick">
          <color auto="1"/>
        </left>
        <right style="thick">
          <color auto="1"/>
        </right>
        <top style="thick">
          <color auto="1"/>
        </top>
        <bottom style="thick">
          <color auto="1"/>
        </bottom>
        <vertical style="thin">
          <color auto="1"/>
        </vertical>
        <horizontal style="thin">
          <color auto="1"/>
        </horizontal>
      </border>
    </dxf>
  </dxfs>
  <tableStyles count="2" defaultTableStyle="TableStyleMedium2" defaultPivotStyle="PivotStyleLight16">
    <tableStyle name="סגנון טבלה 1" pivot="0" count="2" xr9:uid="{94751AF5-1783-4B43-86ED-0CFA00021FD4}">
      <tableStyleElement type="wholeTable" dxfId="341"/>
      <tableStyleElement type="headerRow" dxfId="340"/>
    </tableStyle>
    <tableStyle name="סגנון טבלה 1 2" pivot="0" count="2" xr9:uid="{4E7BAB44-FA0D-4EE2-9948-6375F27DF761}">
      <tableStyleElement type="wholeTable" dxfId="339"/>
      <tableStyleElement type="headerRow" dxfId="338"/>
    </tableStyle>
  </tableStyles>
  <colors>
    <mruColors>
      <color rgb="FFFFC000"/>
      <color rgb="FFEEC100"/>
      <color rgb="FF00FFFF"/>
      <color rgb="FFFE8B34"/>
      <color rgb="FFFFF2DB"/>
      <color rgb="FF66FF66"/>
      <color rgb="FF7989BD"/>
      <color rgb="FFFFFF00"/>
      <color rgb="FF660066"/>
      <color rgb="FFFF75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571500</xdr:colOff>
      <xdr:row>8</xdr:row>
      <xdr:rowOff>56029</xdr:rowOff>
    </xdr:from>
    <xdr:to>
      <xdr:col>25</xdr:col>
      <xdr:colOff>149180</xdr:colOff>
      <xdr:row>12</xdr:row>
      <xdr:rowOff>178698</xdr:rowOff>
    </xdr:to>
    <xdr:pic>
      <xdr:nvPicPr>
        <xdr:cNvPr id="2" name="תמונה 1">
          <a:extLst>
            <a:ext uri="{FF2B5EF4-FFF2-40B4-BE49-F238E27FC236}">
              <a16:creationId xmlns:a16="http://schemas.microsoft.com/office/drawing/2014/main" id="{06247C19-6216-4FE3-809B-0DA85DDB3897}"/>
            </a:ext>
          </a:extLst>
        </xdr:cNvPr>
        <xdr:cNvPicPr>
          <a:picLocks noChangeAspect="1"/>
        </xdr:cNvPicPr>
      </xdr:nvPicPr>
      <xdr:blipFill>
        <a:blip xmlns:r="http://schemas.openxmlformats.org/officeDocument/2006/relationships" r:embed="rId1"/>
        <a:stretch>
          <a:fillRect/>
        </a:stretch>
      </xdr:blipFill>
      <xdr:spPr>
        <a:xfrm>
          <a:off x="11183573877" y="2241176"/>
          <a:ext cx="2619741" cy="895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33</xdr:col>
      <xdr:colOff>391886</xdr:colOff>
      <xdr:row>6</xdr:row>
      <xdr:rowOff>59228</xdr:rowOff>
    </xdr:from>
    <xdr:to>
      <xdr:col>36</xdr:col>
      <xdr:colOff>0</xdr:colOff>
      <xdr:row>9</xdr:row>
      <xdr:rowOff>228600</xdr:rowOff>
    </xdr:to>
    <xdr:cxnSp macro="">
      <xdr:nvCxnSpPr>
        <xdr:cNvPr id="3" name="מחבר חץ ישר 2">
          <a:extLst>
            <a:ext uri="{FF2B5EF4-FFF2-40B4-BE49-F238E27FC236}">
              <a16:creationId xmlns:a16="http://schemas.microsoft.com/office/drawing/2014/main" id="{4EFBF1B3-2A69-F7C9-04EF-4BDB1414E953}"/>
            </a:ext>
          </a:extLst>
        </xdr:cNvPr>
        <xdr:cNvCxnSpPr/>
      </xdr:nvCxnSpPr>
      <xdr:spPr>
        <a:xfrm flipH="1" flipV="1">
          <a:off x="11204937857" y="2845971"/>
          <a:ext cx="1796143" cy="702772"/>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32</xdr:col>
      <xdr:colOff>498763</xdr:colOff>
      <xdr:row>6</xdr:row>
      <xdr:rowOff>29614</xdr:rowOff>
    </xdr:from>
    <xdr:to>
      <xdr:col>33</xdr:col>
      <xdr:colOff>359229</xdr:colOff>
      <xdr:row>9</xdr:row>
      <xdr:rowOff>228600</xdr:rowOff>
    </xdr:to>
    <xdr:cxnSp macro="">
      <xdr:nvCxnSpPr>
        <xdr:cNvPr id="5" name="מחבר חץ ישר 4">
          <a:extLst>
            <a:ext uri="{FF2B5EF4-FFF2-40B4-BE49-F238E27FC236}">
              <a16:creationId xmlns:a16="http://schemas.microsoft.com/office/drawing/2014/main" id="{12049835-B4A0-85F5-DE63-BB19828CEEA7}"/>
            </a:ext>
          </a:extLst>
        </xdr:cNvPr>
        <xdr:cNvCxnSpPr/>
      </xdr:nvCxnSpPr>
      <xdr:spPr>
        <a:xfrm flipV="1">
          <a:off x="11206766657" y="2816357"/>
          <a:ext cx="774866" cy="732386"/>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33</xdr:col>
      <xdr:colOff>332509</xdr:colOff>
      <xdr:row>6</xdr:row>
      <xdr:rowOff>27709</xdr:rowOff>
    </xdr:from>
    <xdr:to>
      <xdr:col>34</xdr:col>
      <xdr:colOff>180110</xdr:colOff>
      <xdr:row>9</xdr:row>
      <xdr:rowOff>235527</xdr:rowOff>
    </xdr:to>
    <xdr:cxnSp macro="">
      <xdr:nvCxnSpPr>
        <xdr:cNvPr id="7" name="מחבר חץ ישר 6">
          <a:extLst>
            <a:ext uri="{FF2B5EF4-FFF2-40B4-BE49-F238E27FC236}">
              <a16:creationId xmlns:a16="http://schemas.microsoft.com/office/drawing/2014/main" id="{387CCCDF-5744-0CFA-7625-DC8B39C94B52}"/>
            </a:ext>
          </a:extLst>
        </xdr:cNvPr>
        <xdr:cNvCxnSpPr/>
      </xdr:nvCxnSpPr>
      <xdr:spPr>
        <a:xfrm flipH="1" flipV="1">
          <a:off x="11319163636" y="2798618"/>
          <a:ext cx="581891" cy="734291"/>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31</xdr:col>
      <xdr:colOff>69273</xdr:colOff>
      <xdr:row>6</xdr:row>
      <xdr:rowOff>41564</xdr:rowOff>
    </xdr:from>
    <xdr:to>
      <xdr:col>33</xdr:col>
      <xdr:colOff>318654</xdr:colOff>
      <xdr:row>9</xdr:row>
      <xdr:rowOff>235527</xdr:rowOff>
    </xdr:to>
    <xdr:cxnSp macro="">
      <xdr:nvCxnSpPr>
        <xdr:cNvPr id="11" name="מחבר חץ ישר 10">
          <a:extLst>
            <a:ext uri="{FF2B5EF4-FFF2-40B4-BE49-F238E27FC236}">
              <a16:creationId xmlns:a16="http://schemas.microsoft.com/office/drawing/2014/main" id="{1AA57B07-970D-2B68-3501-03475BBF06A5}"/>
            </a:ext>
          </a:extLst>
        </xdr:cNvPr>
        <xdr:cNvCxnSpPr/>
      </xdr:nvCxnSpPr>
      <xdr:spPr>
        <a:xfrm flipV="1">
          <a:off x="11319759382" y="2812473"/>
          <a:ext cx="1884218" cy="720436"/>
        </a:xfrm>
        <a:prstGeom prst="straightConnector1">
          <a:avLst/>
        </a:prstGeom>
        <a:ln w="3810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67CBAB-77CA-47B2-8499-BE8EFE28E464}" name="טבלה7" displayName="טבלה7" ref="BP2:BP227" totalsRowShown="0" headerRowDxfId="333" dataDxfId="332" tableBorderDxfId="331">
  <autoFilter ref="BP2:BP227" xr:uid="{8167CBAB-77CA-47B2-8499-BE8EFE28E464}">
    <filterColumn colId="0">
      <filters>
        <filter val="דירה"/>
        <filter val="טיפוס"/>
        <filter val="כותרות"/>
        <filter val="צל"/>
      </filters>
    </filterColumn>
  </autoFilter>
  <tableColumns count="1">
    <tableColumn id="1" xr3:uid="{CF0AB8D2-67CD-47FC-BC5C-2752BCD77814}" name="עמודה1" dataDxfId="3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DF551B-55B3-49BD-9024-7B6117789E1E}" name="Check" displayName="Check" ref="A2:W670" totalsRowShown="0" headerRowDxfId="329" dataDxfId="328">
  <autoFilter ref="A2:W670" xr:uid="{BF02B9D3-080C-4DC8-9BF2-C8DEBE21221F}"/>
  <sortState xmlns:xlrd2="http://schemas.microsoft.com/office/spreadsheetml/2017/richdata2" ref="A3:W670">
    <sortCondition ref="C2:C670"/>
  </sortState>
  <tableColumns count="23">
    <tableColumn id="7" xr3:uid="{C445C8CD-4FD6-4FB2-8342-F9C8C192F1BE}" name="סימון" dataDxfId="327">
      <calculatedColumnFormula>_xlfn.CONCAT(VLOOKUP(Check[[#This Row],[סטטוס]],Sold,2,FALSE),IF(Check[[#This Row],[סטטוס]]="פנויה",IF(N3="גמר מלא סטנדרט",".GMS",IF(N3="גמר מלא טיוב חומרים",".GMC",IF(N3="גמר מינימלי",".GM",IF(N3="דירת שיווק",".DS","")))),""),".",VLOOKUP(Check[[#This Row],[טיפוס]],Tipus[],5,FALSE),".",VLOOKUP(Check[[#This Row],[מגדל]],Tower,2,FALSE),".Ap.",Check[[#This Row],[מספר דירה]])</calculatedColumnFormula>
    </tableColumn>
    <tableColumn id="20" xr3:uid="{BCB09579-B61B-482C-BBFD-10FFF4D580BD}" name="סימון2" dataDxfId="326">
      <calculatedColumnFormula>_xlfn.CONCAT(VLOOKUP(Check[[#This Row],[סטטוס]],Sold,2,FALSE),IF(Check[[#This Row],[סטטוס]]="פנויה",IF(N3="גמר מלא סטנדרט",".GMS",IF(N3="גמר מלא טיוב חומרים",".GMC",IF(N3="גמר מינימלי",".GM",IF(N3="דירת שיווק",".DS","")))),""),IF(M3="זומן לטרום",".ZLT",IF(M3="טרום מסירה",".TM",IF(M3="טרום מסירה מהנדס",".TMM",IF(M3="מסירת חזקה",".MH",IF(M3="מסירת חזקה מהנדס",".MHM",""))))),".",VLOOKUP(Check[[#This Row],[טיפוס]],Tipus[],5,FALSE),".",VLOOKUP(Check[[#This Row],[מגדל]],Tower,2,FALSE),".Ap.",Check[[#This Row],[מספר דירה]])</calculatedColumnFormula>
    </tableColumn>
    <tableColumn id="10" xr3:uid="{2F1B18C6-EF41-41BF-A9E0-D760499FB54E}" name="מגדל" dataDxfId="325"/>
    <tableColumn id="1" xr3:uid="{FE2F14FB-32F1-4CE3-8416-A44D1F84E482}" name="קומה" dataDxfId="324"/>
    <tableColumn id="2" xr3:uid="{5073426C-1E94-49A9-B1B3-8646C3824A4B}" name="מספר דירה" dataDxfId="323"/>
    <tableColumn id="8" xr3:uid="{8BB62BA2-6971-455B-AE55-1A8ED69FF15A}" name="מספר צל" dataDxfId="322"/>
    <tableColumn id="3" xr3:uid="{B3C80335-63D8-497A-B42C-268DD64B5610}" name="טיפוס" dataDxfId="321"/>
    <tableColumn id="4" xr3:uid="{1C4C6C0E-9080-4F6C-8665-643D602ED9FE}" name="מספר חדרים" dataDxfId="320">
      <calculatedColumnFormula>VLOOKUP(Check[[#This Row],[טיפוס]],Tipus[],2,FALSE)</calculatedColumnFormula>
    </tableColumn>
    <tableColumn id="9" xr3:uid="{9E9ED3D7-EF05-4457-B8C4-CFE0FE2BB9A1}" name="סוג" dataDxfId="319">
      <calculatedColumnFormula>VLOOKUP(Check[[#This Row],[טיפוס]],Tipus[],3,FALSE)</calculatedColumnFormula>
    </tableColumn>
    <tableColumn id="5" xr3:uid="{C0EC4064-EBE7-4056-8060-D8D30307A6A6}" name="סוג מרפסת" dataDxfId="318">
      <calculatedColumnFormula>VLOOKUP(Check[[#This Row],[טיפוס]],Tipus[],4,FALSE)</calculatedColumnFormula>
    </tableColumn>
    <tableColumn id="6" xr3:uid="{ABAC1A86-6773-481C-A3F1-2098A1FC586E}" name="סטטוס" dataDxfId="317">
      <calculatedColumnFormula>IF(Check[[#This Row],[סטטוס2]]="הולד","פנויה",Check[[#This Row],[סטטוס2]])</calculatedColumnFormula>
    </tableColumn>
    <tableColumn id="21" xr3:uid="{59CD4496-E2FB-41C4-AD52-0473A18521F7}" name="סטטוס2" dataDxfId="316"/>
    <tableColumn id="19" xr3:uid="{62536F60-6724-4D98-9D6A-D0F06A9FD07E}" name="סטטוס מסירה " dataDxfId="315"/>
    <tableColumn id="22" xr3:uid="{DB5AA8AA-63D5-4089-91DD-E8EEE8FF500A}" name="סטטוס גמר " dataDxfId="314"/>
    <tableColumn id="11" xr3:uid="{8648B9EC-8AEB-4190-9487-B2BD45B46082}" name="הערות טבלה אלון" dataDxfId="313"/>
    <tableColumn id="13" xr3:uid="{3AB1F82E-38D9-4562-B879-73A6C73CE69F}" name="סטטוס ביצוע-תוכניות +בחירות גמר" dataDxfId="312"/>
    <tableColumn id="18" xr3:uid="{581AE307-4C17-404C-9C0A-1ADFFD5AB553}" name="עדכון ע&quot;פ מייל ליאור מיום 02/06/2026 (14/06/2026)" dataDxfId="311"/>
    <tableColumn id="17" xr3:uid="{BEDB8932-22B8-46F5-8321-DE7F0431B318}" name="ספק ריצופים וכלים סניטרים" dataDxfId="310"/>
    <tableColumn id="12" xr3:uid="{C91C453D-8EC0-49CC-BE24-93EB0C65B70F}" name="תאריך חתימה" dataDxfId="309"/>
    <tableColumn id="23" xr3:uid="{0F4E039D-0F72-4AAA-AFA7-FE8D69D802FD}" name="שם רוכש/בעלים" dataDxfId="308"/>
    <tableColumn id="14" xr3:uid="{B7B3A5BF-5619-4E41-9246-7FA156BC1959}" name="שיוך חניה 1" dataDxfId="307"/>
    <tableColumn id="15" xr3:uid="{8A4088C0-A23C-4800-BFB9-90A68C96DAC7}" name="שיוך חניה 2" dataDxfId="306"/>
    <tableColumn id="16" xr3:uid="{7250E964-A12C-4AC3-A43E-91761BDB6D53}" name="שיוך מחסן" dataDxfId="305"/>
  </tableColumns>
  <tableStyleInfo name="סגנון טבלה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D23C1-5170-4D7D-95D4-FCD25D6B7779}" name="טבלה73" displayName="טבלה73" ref="BP2:BP227" totalsRowShown="0" headerRowDxfId="337" dataDxfId="336" tableBorderDxfId="335">
  <autoFilter ref="BP2:BP227" xr:uid="{812D23C1-5170-4D7D-95D4-FCD25D6B7779}">
    <filterColumn colId="0">
      <filters>
        <filter val="דירה"/>
        <filter val="טיפוס"/>
        <filter val="כותרות"/>
        <filter val="צל"/>
      </filters>
    </filterColumn>
  </autoFilter>
  <tableColumns count="1">
    <tableColumn id="1" xr3:uid="{2CE581CA-7A89-4721-BBE6-510120722601}" name="עמודה1" dataDxfId="3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E0C6B-E290-4337-A873-557ABE34FA85}" name="Table1" displayName="Table1" ref="A1:B5" totalsRowShown="0" headerRowDxfId="304" dataDxfId="303">
  <autoFilter ref="A1:B5" xr:uid="{B13E0C6B-E290-4337-A873-557ABE34FA85}"/>
  <tableColumns count="2">
    <tableColumn id="1" xr3:uid="{67CF19D9-7474-400D-8C5F-22695E7CC365}" name="סטטוס דירה" dataDxfId="302"/>
    <tableColumn id="2" xr3:uid="{97C04C00-CF54-4CDE-A1BF-17756D7339DC}" name="סימון" dataDxfId="3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80474C-797F-4F30-A48E-4DDB76B7496B}" name="Tipus" displayName="Tipus" ref="D1:H38" totalsRowShown="0" headerRowDxfId="300" dataDxfId="299">
  <autoFilter ref="D1:H38" xr:uid="{F080474C-797F-4F30-A48E-4DDB76B7496B}"/>
  <tableColumns count="5">
    <tableColumn id="1" xr3:uid="{477E536A-E38B-401E-82D3-E425E3157662}" name="טיפוס" dataDxfId="298"/>
    <tableColumn id="2" xr3:uid="{36A4D66B-E6A6-4A35-975D-F2F6BC5B8BCB}" name="מס' חדרים" dataDxfId="297"/>
    <tableColumn id="3" xr3:uid="{0F0EFE31-E65A-4CAB-9721-AA4DA22E6454}" name="סטנדרט" dataDxfId="296"/>
    <tableColumn id="5" xr3:uid="{2131D903-3A79-4FEB-B809-CE35C2A0B785}" name="מרפסת" dataDxfId="295"/>
    <tableColumn id="4" xr3:uid="{58BBFFC6-3507-4DEF-B5CE-00BF7E49F269}" name="סימון" dataDxfId="29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28C0FD-88F1-4884-B885-6301FD3901F6}" name="Table4" displayName="Table4" ref="K1:L3" totalsRowShown="0" headerRowDxfId="293" dataDxfId="292">
  <autoFilter ref="K1:L3" xr:uid="{9A28C0FD-88F1-4884-B885-6301FD3901F6}"/>
  <tableColumns count="2">
    <tableColumn id="1" xr3:uid="{69436837-C933-48BA-86C7-1DEE0AF0F738}" name="מגדל" dataDxfId="291"/>
    <tableColumn id="2" xr3:uid="{AC004030-E76B-4F07-B274-E359E9765702}" name="סימון" dataDxfId="290"/>
  </tableColumns>
  <tableStyleInfo name="TableStyleMedium2" showFirstColumn="0" showLastColumn="0" showRowStripes="1" showColumnStripes="0"/>
</table>
</file>

<file path=xl/theme/theme1.xml><?xml version="1.0" encoding="utf-8"?>
<a:theme xmlns:a="http://schemas.openxmlformats.org/drawingml/2006/main" name="ערכת נושא של Office 2013 - 2022">
  <a:themeElements>
    <a:clrScheme name="התאמה אישית 1">
      <a:dk1>
        <a:sysClr val="windowText" lastClr="000000"/>
      </a:dk1>
      <a:lt1>
        <a:sysClr val="window" lastClr="FFFFFF"/>
      </a:lt1>
      <a:dk2>
        <a:srgbClr val="FF9FD8"/>
      </a:dk2>
      <a:lt2>
        <a:srgbClr val="8E40C8"/>
      </a:lt2>
      <a:accent1>
        <a:srgbClr val="1E41E6"/>
      </a:accent1>
      <a:accent2>
        <a:srgbClr val="14A9EC"/>
      </a:accent2>
      <a:accent3>
        <a:srgbClr val="1AB2AB"/>
      </a:accent3>
      <a:accent4>
        <a:srgbClr val="3FA749"/>
      </a:accent4>
      <a:accent5>
        <a:srgbClr val="FDC155"/>
      </a:accent5>
      <a:accent6>
        <a:srgbClr val="FE7916"/>
      </a:accent6>
      <a:hlink>
        <a:srgbClr val="BC1010"/>
      </a:hlink>
      <a:folHlink>
        <a:srgbClr val="442DEB"/>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ACAB-D9BA-4548-9673-3DF07E80B254}">
  <sheetPr codeName="גיליון1">
    <pageSetUpPr fitToPage="1"/>
  </sheetPr>
  <dimension ref="A1:BP228"/>
  <sheetViews>
    <sheetView rightToLeft="1" zoomScale="55" zoomScaleNormal="55" zoomScalePageLayoutView="55" workbookViewId="0">
      <selection activeCell="U19" sqref="U19"/>
    </sheetView>
  </sheetViews>
  <sheetFormatPr defaultColWidth="9" defaultRowHeight="15.75" x14ac:dyDescent="0.25"/>
  <cols>
    <col min="1" max="1" width="9" style="1"/>
    <col min="2" max="2" width="10.625" style="7" customWidth="1"/>
    <col min="3" max="3" width="7.125" style="7" customWidth="1"/>
    <col min="4" max="7" width="2.625" style="8" customWidth="1"/>
    <col min="8" max="11" width="2.625" style="20" customWidth="1"/>
    <col min="12" max="12" width="8.875" style="1" customWidth="1"/>
    <col min="13" max="14" width="4.75" style="1" customWidth="1"/>
    <col min="15" max="15" width="8.875" style="1" customWidth="1"/>
    <col min="16" max="16" width="12.875" style="1" customWidth="1"/>
    <col min="17" max="20" width="4.75" style="1" customWidth="1"/>
    <col min="21" max="21" width="8.875" style="1" customWidth="1"/>
    <col min="22" max="22" width="12.875" style="1" customWidth="1"/>
    <col min="23" max="25" width="4.75" style="1" customWidth="1"/>
    <col min="26" max="26" width="12.875" style="1" customWidth="1"/>
    <col min="27" max="28" width="4.75" style="1" customWidth="1"/>
    <col min="29" max="29" width="7.125" style="1" customWidth="1"/>
    <col min="30" max="30" width="10.125" style="1" customWidth="1"/>
    <col min="31" max="37" width="9.625" style="1" customWidth="1"/>
    <col min="38" max="38" width="10.125" style="1" customWidth="1"/>
    <col min="39" max="39" width="7.125" style="1" customWidth="1"/>
    <col min="40" max="40" width="4.75" style="1" customWidth="1"/>
    <col min="41" max="41" width="17" style="1" customWidth="1"/>
    <col min="42" max="43" width="4.75" style="1" customWidth="1"/>
    <col min="44" max="44" width="17" style="1" customWidth="1"/>
    <col min="45" max="45" width="8.875" style="1" customWidth="1"/>
    <col min="46" max="49" width="4.75" style="1" customWidth="1"/>
    <col min="50" max="50" width="12.875" style="1" customWidth="1"/>
    <col min="51" max="54" width="4.75" style="1" customWidth="1"/>
    <col min="55" max="55" width="8.875" style="1" customWidth="1"/>
    <col min="56" max="58" width="2.625" style="20" customWidth="1"/>
    <col min="59" max="63" width="2.625" style="8" customWidth="1"/>
    <col min="64" max="64" width="7.125" style="9" customWidth="1"/>
    <col min="65" max="65" width="10.625" style="2" customWidth="1"/>
    <col min="66" max="66" width="9" style="1"/>
    <col min="67" max="67" width="9" style="1" hidden="1" customWidth="1"/>
    <col min="68" max="68" width="17.375" hidden="1" customWidth="1"/>
    <col min="69" max="69" width="9" style="1" customWidth="1"/>
    <col min="70" max="16384" width="9" style="1"/>
  </cols>
  <sheetData>
    <row r="1" spans="1:68" s="11" customFormat="1" ht="46.5" x14ac:dyDescent="0.7">
      <c r="A1" s="1935" t="s">
        <v>1197</v>
      </c>
      <c r="B1" s="1935"/>
      <c r="C1" s="1935"/>
      <c r="D1" s="1935"/>
      <c r="E1" s="1935"/>
      <c r="F1" s="1935"/>
      <c r="G1" s="1935"/>
      <c r="H1" s="1935"/>
      <c r="I1" s="1935"/>
      <c r="J1" s="1935"/>
      <c r="K1" s="1935"/>
      <c r="L1" s="1935"/>
      <c r="M1" s="1935"/>
      <c r="N1" s="1935"/>
      <c r="O1" s="1935"/>
      <c r="P1" s="1935"/>
      <c r="Q1" s="1935"/>
      <c r="R1" s="1935"/>
      <c r="S1" s="1935"/>
      <c r="T1" s="1935"/>
      <c r="U1" s="1935"/>
      <c r="V1" s="1935"/>
      <c r="W1" s="1935"/>
      <c r="X1" s="1935"/>
      <c r="Y1" s="1935"/>
      <c r="Z1" s="1935"/>
      <c r="AA1" s="1935"/>
      <c r="AB1" s="1935"/>
      <c r="AC1" s="1935"/>
      <c r="AD1" s="1935"/>
      <c r="AE1" s="1935"/>
      <c r="AF1" s="1935"/>
      <c r="AG1" s="1935"/>
      <c r="AH1" s="1935"/>
      <c r="AI1" s="1935"/>
      <c r="AJ1" s="1935"/>
      <c r="AK1" s="1935"/>
      <c r="AL1" s="1935"/>
      <c r="AM1" s="1935"/>
      <c r="AN1" s="1935"/>
      <c r="AO1" s="1935"/>
      <c r="AP1" s="1935"/>
      <c r="AQ1" s="1935"/>
      <c r="AR1" s="1935"/>
      <c r="AS1" s="1935"/>
      <c r="AT1" s="1935"/>
      <c r="AU1" s="1935"/>
      <c r="AV1" s="1935"/>
      <c r="AW1" s="1935"/>
      <c r="AX1" s="1935"/>
      <c r="AY1" s="1935"/>
      <c r="AZ1" s="1935"/>
      <c r="BA1" s="1935"/>
      <c r="BB1" s="1935"/>
      <c r="BC1" s="1935"/>
      <c r="BD1" s="1935"/>
      <c r="BE1" s="1935"/>
      <c r="BF1" s="1935"/>
      <c r="BG1" s="1935"/>
      <c r="BH1" s="1935"/>
      <c r="BI1" s="1935"/>
      <c r="BJ1" s="1935"/>
      <c r="BK1" s="1935"/>
      <c r="BL1" s="1935"/>
      <c r="BM1" s="1935"/>
      <c r="BN1" s="1935"/>
      <c r="BP1" s="46" t="s">
        <v>1079</v>
      </c>
    </row>
    <row r="2" spans="1:68" s="11" customFormat="1" ht="61.5" x14ac:dyDescent="0.9">
      <c r="A2" s="1926" t="s">
        <v>1227</v>
      </c>
      <c r="B2" s="1926"/>
      <c r="C2" s="1926"/>
      <c r="D2" s="1926"/>
      <c r="E2" s="1926"/>
      <c r="F2" s="1926"/>
      <c r="G2" s="1926"/>
      <c r="H2" s="1926"/>
      <c r="I2" s="1926"/>
      <c r="J2" s="1926"/>
      <c r="K2" s="1926"/>
      <c r="L2" s="1926"/>
      <c r="M2" s="1926"/>
      <c r="N2" s="1926"/>
      <c r="O2" s="1926"/>
      <c r="P2" s="1926"/>
      <c r="Q2" s="1926"/>
      <c r="R2" s="1926"/>
      <c r="S2" s="1926"/>
      <c r="T2" s="1926"/>
      <c r="U2" s="1926"/>
      <c r="V2" s="1926"/>
      <c r="W2" s="1926"/>
      <c r="X2" s="1926"/>
      <c r="Y2" s="1926"/>
      <c r="Z2" s="1926"/>
      <c r="AA2" s="1926"/>
      <c r="AB2" s="1926"/>
      <c r="AC2" s="1926"/>
      <c r="AD2" s="1926"/>
      <c r="AE2" s="1926"/>
      <c r="AF2" s="1926"/>
      <c r="AG2" s="1926"/>
      <c r="AH2" s="1926"/>
      <c r="AI2" s="1926"/>
      <c r="AJ2" s="1926"/>
      <c r="AK2" s="1926"/>
      <c r="AL2" s="1926"/>
      <c r="AM2" s="1926"/>
      <c r="AN2" s="1926"/>
      <c r="AO2" s="1926"/>
      <c r="AP2" s="1926"/>
      <c r="AQ2" s="1926"/>
      <c r="AR2" s="1926"/>
      <c r="AS2" s="1926"/>
      <c r="AT2" s="1926"/>
      <c r="AU2" s="1926"/>
      <c r="AV2" s="1926"/>
      <c r="AW2" s="1926"/>
      <c r="AX2" s="1926"/>
      <c r="AY2" s="1926"/>
      <c r="AZ2" s="1926"/>
      <c r="BA2" s="1926"/>
      <c r="BB2" s="1926"/>
      <c r="BC2" s="1926"/>
      <c r="BD2" s="1926"/>
      <c r="BE2" s="1926"/>
      <c r="BF2" s="1926"/>
      <c r="BG2" s="1926"/>
      <c r="BH2" s="1926"/>
      <c r="BI2" s="1926"/>
      <c r="BJ2" s="1926"/>
      <c r="BK2" s="1926"/>
      <c r="BL2" s="1926"/>
      <c r="BM2" s="1926"/>
      <c r="BN2" s="1926"/>
      <c r="BP2" s="46" t="s">
        <v>1079</v>
      </c>
    </row>
    <row r="3" spans="1:68" x14ac:dyDescent="0.25">
      <c r="BP3" s="44" t="s">
        <v>1080</v>
      </c>
    </row>
    <row r="4" spans="1:68" s="11" customFormat="1" ht="39.75" thickBot="1" x14ac:dyDescent="0.65">
      <c r="A4" s="98"/>
      <c r="B4" s="99"/>
      <c r="C4" s="99"/>
      <c r="D4" s="100"/>
      <c r="E4" s="100"/>
      <c r="F4" s="100"/>
      <c r="G4" s="100"/>
      <c r="H4" s="99"/>
      <c r="I4" s="99"/>
      <c r="J4" s="100"/>
      <c r="K4" s="100"/>
      <c r="L4" s="100" t="s">
        <v>145</v>
      </c>
      <c r="M4" s="100"/>
      <c r="N4" s="100"/>
      <c r="O4" s="100"/>
      <c r="P4" s="100"/>
      <c r="Q4" s="100"/>
      <c r="R4" s="100"/>
      <c r="S4" s="100"/>
      <c r="T4" s="100"/>
      <c r="U4" s="100"/>
      <c r="V4" s="100"/>
      <c r="W4" s="100"/>
      <c r="X4" s="100"/>
      <c r="Y4" s="100"/>
      <c r="Z4" s="100"/>
      <c r="AA4" s="100"/>
      <c r="AB4" s="98"/>
      <c r="AC4" s="98"/>
      <c r="AD4" s="98"/>
      <c r="AE4" s="98"/>
      <c r="AF4" s="98"/>
      <c r="AG4" s="98"/>
      <c r="AH4" s="101"/>
      <c r="AI4" s="98"/>
      <c r="AJ4" s="98"/>
      <c r="AK4" s="98"/>
      <c r="AL4" s="98"/>
      <c r="AM4" s="98"/>
      <c r="AN4" s="98"/>
      <c r="AO4" s="100" t="s">
        <v>146</v>
      </c>
      <c r="AP4" s="100"/>
      <c r="AQ4" s="100"/>
      <c r="AR4" s="100"/>
      <c r="AS4" s="100"/>
      <c r="AT4" s="100"/>
      <c r="AU4" s="100"/>
      <c r="AV4" s="100"/>
      <c r="AW4" s="100"/>
      <c r="AX4" s="100"/>
      <c r="AY4" s="100"/>
      <c r="AZ4" s="100"/>
      <c r="BA4" s="100"/>
      <c r="BB4" s="100"/>
      <c r="BC4" s="100"/>
      <c r="BD4" s="100"/>
      <c r="BE4" s="100"/>
      <c r="BF4" s="100"/>
      <c r="BG4" s="100"/>
      <c r="BH4" s="100"/>
      <c r="BI4" s="100"/>
      <c r="BJ4" s="100"/>
      <c r="BK4" s="100"/>
      <c r="BL4" s="102"/>
      <c r="BM4" s="101"/>
      <c r="BN4" s="98"/>
      <c r="BP4" s="103" t="s">
        <v>1080</v>
      </c>
    </row>
    <row r="5" spans="1:68" thickTop="1" x14ac:dyDescent="0.25">
      <c r="B5" s="14" t="s">
        <v>180</v>
      </c>
      <c r="C5" s="14" t="s">
        <v>180</v>
      </c>
      <c r="D5" s="14" t="s">
        <v>180</v>
      </c>
      <c r="E5" s="14" t="s">
        <v>180</v>
      </c>
      <c r="F5" s="14" t="s">
        <v>180</v>
      </c>
      <c r="G5" s="14" t="s">
        <v>180</v>
      </c>
      <c r="H5" s="14" t="s">
        <v>180</v>
      </c>
      <c r="I5" s="14"/>
      <c r="J5" s="14" t="s">
        <v>180</v>
      </c>
      <c r="K5" s="14" t="s">
        <v>180</v>
      </c>
      <c r="L5" s="14" t="s">
        <v>180</v>
      </c>
      <c r="M5" s="14" t="s">
        <v>180</v>
      </c>
      <c r="N5" s="14" t="s">
        <v>180</v>
      </c>
      <c r="O5" s="14" t="s">
        <v>180</v>
      </c>
      <c r="P5" s="14" t="s">
        <v>180</v>
      </c>
      <c r="Q5" s="14" t="s">
        <v>180</v>
      </c>
      <c r="R5" s="14" t="s">
        <v>180</v>
      </c>
      <c r="S5" s="14" t="s">
        <v>180</v>
      </c>
      <c r="T5" s="14" t="s">
        <v>180</v>
      </c>
      <c r="U5" s="14" t="s">
        <v>180</v>
      </c>
      <c r="V5" s="14" t="s">
        <v>180</v>
      </c>
      <c r="W5" s="14" t="s">
        <v>180</v>
      </c>
      <c r="X5" s="14" t="s">
        <v>180</v>
      </c>
      <c r="Y5" s="14" t="s">
        <v>180</v>
      </c>
      <c r="Z5" s="14" t="s">
        <v>180</v>
      </c>
      <c r="AA5" s="14" t="s">
        <v>180</v>
      </c>
      <c r="AB5" s="14" t="s">
        <v>180</v>
      </c>
      <c r="AC5" s="14" t="s">
        <v>180</v>
      </c>
      <c r="AD5" s="14" t="s">
        <v>180</v>
      </c>
      <c r="AE5" s="14" t="s">
        <v>180</v>
      </c>
      <c r="AF5" s="14" t="s">
        <v>180</v>
      </c>
      <c r="AG5" s="14" t="s">
        <v>180</v>
      </c>
      <c r="AI5" s="14" t="s">
        <v>179</v>
      </c>
      <c r="AJ5" s="14" t="s">
        <v>179</v>
      </c>
      <c r="AK5" s="14" t="s">
        <v>179</v>
      </c>
      <c r="AL5" s="14" t="s">
        <v>179</v>
      </c>
      <c r="AM5" s="14" t="s">
        <v>179</v>
      </c>
      <c r="AN5" s="14" t="s">
        <v>179</v>
      </c>
      <c r="AO5" s="14" t="s">
        <v>179</v>
      </c>
      <c r="AP5" s="14" t="s">
        <v>179</v>
      </c>
      <c r="AQ5" s="14" t="s">
        <v>179</v>
      </c>
      <c r="AR5" s="14" t="s">
        <v>179</v>
      </c>
      <c r="AS5" s="14" t="s">
        <v>179</v>
      </c>
      <c r="AT5" s="14" t="s">
        <v>179</v>
      </c>
      <c r="AU5" s="14" t="s">
        <v>179</v>
      </c>
      <c r="AV5" s="14" t="s">
        <v>179</v>
      </c>
      <c r="AW5" s="14" t="s">
        <v>179</v>
      </c>
      <c r="AX5" s="14" t="s">
        <v>179</v>
      </c>
      <c r="AY5" s="14" t="s">
        <v>179</v>
      </c>
      <c r="AZ5" s="14"/>
      <c r="BA5" s="14" t="s">
        <v>179</v>
      </c>
      <c r="BB5" s="14" t="s">
        <v>179</v>
      </c>
      <c r="BC5" s="14" t="s">
        <v>179</v>
      </c>
      <c r="BD5" s="14" t="s">
        <v>179</v>
      </c>
      <c r="BE5" s="14" t="s">
        <v>179</v>
      </c>
      <c r="BF5" s="14" t="s">
        <v>179</v>
      </c>
      <c r="BG5" s="14" t="s">
        <v>179</v>
      </c>
      <c r="BH5" s="14" t="s">
        <v>179</v>
      </c>
      <c r="BI5" s="14" t="s">
        <v>179</v>
      </c>
      <c r="BJ5" s="14" t="s">
        <v>179</v>
      </c>
      <c r="BK5" s="14" t="s">
        <v>179</v>
      </c>
      <c r="BL5" s="14" t="s">
        <v>179</v>
      </c>
      <c r="BM5" s="14" t="s">
        <v>179</v>
      </c>
      <c r="BP5" s="44" t="s">
        <v>1080</v>
      </c>
    </row>
    <row r="6" spans="1:68" ht="33" thickBot="1" x14ac:dyDescent="0.3">
      <c r="A6" s="16"/>
      <c r="B6" s="327"/>
      <c r="C6" s="327"/>
      <c r="D6" s="19"/>
      <c r="E6" s="19"/>
      <c r="F6" s="19"/>
      <c r="G6" s="19"/>
      <c r="H6" s="18"/>
      <c r="I6" s="18"/>
      <c r="J6" s="18"/>
      <c r="K6" s="18"/>
      <c r="L6" s="16"/>
      <c r="M6" s="16"/>
      <c r="N6" s="16"/>
      <c r="O6" s="16"/>
      <c r="P6" s="16"/>
      <c r="Q6" s="16"/>
      <c r="R6" s="16"/>
      <c r="S6" s="16"/>
      <c r="T6" s="16"/>
      <c r="U6" s="16"/>
      <c r="V6" s="16"/>
      <c r="W6" s="16"/>
      <c r="X6" s="16"/>
      <c r="Y6" s="16"/>
      <c r="Z6" s="16"/>
      <c r="AA6" s="16"/>
      <c r="AB6" s="10"/>
      <c r="AC6" s="10"/>
      <c r="AD6" s="10"/>
      <c r="AE6" s="10"/>
      <c r="AF6" s="10"/>
      <c r="AG6" s="10"/>
      <c r="AH6" s="15" t="s">
        <v>133</v>
      </c>
      <c r="AI6" s="10"/>
      <c r="AJ6" s="10"/>
      <c r="AK6" s="10"/>
      <c r="AL6" s="10"/>
      <c r="AM6" s="10"/>
      <c r="AN6" s="10"/>
      <c r="AO6" s="16"/>
      <c r="AP6" s="16"/>
      <c r="AQ6" s="16"/>
      <c r="AR6" s="16"/>
      <c r="AS6" s="16"/>
      <c r="AT6" s="16"/>
      <c r="AU6" s="16"/>
      <c r="AV6" s="16"/>
      <c r="AW6" s="16"/>
      <c r="AX6" s="16"/>
      <c r="AY6" s="16"/>
      <c r="AZ6" s="16"/>
      <c r="BA6" s="16"/>
      <c r="BB6" s="16"/>
      <c r="BC6" s="16"/>
      <c r="BD6" s="18"/>
      <c r="BE6" s="18"/>
      <c r="BF6" s="18"/>
      <c r="BG6" s="42"/>
      <c r="BH6" s="42"/>
      <c r="BI6" s="42"/>
      <c r="BJ6" s="19"/>
      <c r="BK6" s="42"/>
      <c r="BL6" s="16"/>
      <c r="BM6" s="327"/>
      <c r="BN6" s="16"/>
      <c r="BP6" s="45" t="s">
        <v>1080</v>
      </c>
    </row>
    <row r="7" spans="1:68" s="110" customFormat="1" ht="21.95" customHeight="1" thickTop="1" thickBot="1" x14ac:dyDescent="0.4">
      <c r="A7" s="1794" t="s">
        <v>63</v>
      </c>
      <c r="B7" s="277" t="str">
        <f t="shared" ref="B7" si="0">_xlfn.CONCAT("קומה ",B8)</f>
        <v>קומה 50</v>
      </c>
      <c r="C7" s="328" t="s">
        <v>0</v>
      </c>
      <c r="D7" s="1506" t="s">
        <v>74</v>
      </c>
      <c r="E7" s="1796" t="s">
        <v>73</v>
      </c>
      <c r="F7" s="1796" t="s">
        <v>72</v>
      </c>
      <c r="G7" s="1497" t="s">
        <v>71</v>
      </c>
      <c r="H7" s="104">
        <v>337</v>
      </c>
      <c r="I7" s="105"/>
      <c r="J7" s="105"/>
      <c r="K7" s="105"/>
      <c r="L7" s="105"/>
      <c r="M7" s="105"/>
      <c r="N7" s="105"/>
      <c r="O7" s="106"/>
      <c r="P7" s="106"/>
      <c r="Q7" s="106"/>
      <c r="R7" s="106"/>
      <c r="S7" s="106"/>
      <c r="T7" s="106"/>
      <c r="U7" s="121"/>
      <c r="V7" s="121"/>
      <c r="W7" s="121"/>
      <c r="X7" s="121"/>
      <c r="Y7" s="121"/>
      <c r="Z7" s="121"/>
      <c r="AA7" s="121"/>
      <c r="AB7" s="107"/>
      <c r="AC7" s="107"/>
      <c r="AD7" s="107"/>
      <c r="AE7" s="107"/>
      <c r="AF7" s="107"/>
      <c r="AG7" s="107"/>
      <c r="AH7" s="107"/>
      <c r="AI7" s="107"/>
      <c r="AJ7" s="107"/>
      <c r="AK7" s="107"/>
      <c r="AL7" s="107"/>
      <c r="AM7" s="107"/>
      <c r="AN7" s="107"/>
      <c r="AO7" s="108">
        <v>331</v>
      </c>
      <c r="AP7" s="105"/>
      <c r="AQ7" s="105"/>
      <c r="AR7" s="105"/>
      <c r="AS7" s="105"/>
      <c r="AT7" s="105"/>
      <c r="AU7" s="105"/>
      <c r="AV7" s="105"/>
      <c r="AW7" s="105"/>
      <c r="AX7" s="105"/>
      <c r="AY7" s="105"/>
      <c r="AZ7" s="105"/>
      <c r="BA7" s="105"/>
      <c r="BB7" s="105"/>
      <c r="BC7" s="105"/>
      <c r="BD7" s="109"/>
      <c r="BE7" s="109"/>
      <c r="BF7" s="109"/>
      <c r="BG7" s="348"/>
      <c r="BH7" s="1520" t="s">
        <v>79</v>
      </c>
      <c r="BI7" s="1504" t="s">
        <v>80</v>
      </c>
      <c r="BJ7" s="1795" t="s">
        <v>81</v>
      </c>
      <c r="BK7" s="1501" t="s">
        <v>82</v>
      </c>
      <c r="BL7" s="360" t="s">
        <v>0</v>
      </c>
      <c r="BM7" s="326" t="str">
        <f t="shared" ref="BM7" si="1">_xlfn.CONCAT("קומה ",BM8)</f>
        <v>קומה 50</v>
      </c>
      <c r="BN7" s="1768" t="s">
        <v>63</v>
      </c>
      <c r="BP7" s="111" t="s">
        <v>0</v>
      </c>
    </row>
    <row r="8" spans="1:68" s="52" customFormat="1" ht="9.9499999999999993" hidden="1" customHeight="1" thickBot="1" x14ac:dyDescent="0.2">
      <c r="A8" s="1766"/>
      <c r="B8" s="329">
        <f t="shared" ref="B8:B16" si="2">B12+1</f>
        <v>50</v>
      </c>
      <c r="C8" s="278" t="s">
        <v>89</v>
      </c>
      <c r="D8" s="1507"/>
      <c r="E8" s="1459"/>
      <c r="F8" s="1459"/>
      <c r="G8" s="1498"/>
      <c r="H8" s="66" t="str">
        <f>VLOOKUP("*"&amp;H$5&amp;".Ap."&amp;H7,Check[],1,FALSE)</f>
        <v>O.PH5.TS.Ap.337</v>
      </c>
      <c r="I8" s="67" t="str">
        <f t="shared" ref="I8:N8" si="3">H8</f>
        <v>O.PH5.TS.Ap.337</v>
      </c>
      <c r="J8" s="67" t="str">
        <f t="shared" si="3"/>
        <v>O.PH5.TS.Ap.337</v>
      </c>
      <c r="K8" s="67" t="str">
        <f t="shared" si="3"/>
        <v>O.PH5.TS.Ap.337</v>
      </c>
      <c r="L8" s="67" t="str">
        <f t="shared" si="3"/>
        <v>O.PH5.TS.Ap.337</v>
      </c>
      <c r="M8" s="67" t="str">
        <f t="shared" si="3"/>
        <v>O.PH5.TS.Ap.337</v>
      </c>
      <c r="N8" s="67" t="str">
        <f t="shared" si="3"/>
        <v>O.PH5.TS.Ap.337</v>
      </c>
      <c r="O8" s="68" t="str">
        <f t="shared" ref="O8:U8" si="4">N8</f>
        <v>O.PH5.TS.Ap.337</v>
      </c>
      <c r="P8" s="68" t="str">
        <f t="shared" si="4"/>
        <v>O.PH5.TS.Ap.337</v>
      </c>
      <c r="Q8" s="68" t="str">
        <f t="shared" si="4"/>
        <v>O.PH5.TS.Ap.337</v>
      </c>
      <c r="R8" s="68" t="str">
        <f t="shared" si="4"/>
        <v>O.PH5.TS.Ap.337</v>
      </c>
      <c r="S8" s="68" t="str">
        <f t="shared" si="4"/>
        <v>O.PH5.TS.Ap.337</v>
      </c>
      <c r="T8" s="68" t="str">
        <f t="shared" si="4"/>
        <v>O.PH5.TS.Ap.337</v>
      </c>
      <c r="U8" s="65" t="str">
        <f t="shared" si="4"/>
        <v>O.PH5.TS.Ap.337</v>
      </c>
      <c r="V8" s="65" t="str">
        <f t="shared" ref="V8" si="5">U8</f>
        <v>O.PH5.TS.Ap.337</v>
      </c>
      <c r="W8" s="65" t="str">
        <f t="shared" ref="W8:X8" si="6">U8</f>
        <v>O.PH5.TS.Ap.337</v>
      </c>
      <c r="X8" s="65" t="str">
        <f t="shared" si="6"/>
        <v>O.PH5.TS.Ap.337</v>
      </c>
      <c r="Y8" s="65" t="str">
        <f t="shared" ref="Y8" si="7">X8</f>
        <v>O.PH5.TS.Ap.337</v>
      </c>
      <c r="Z8" s="65" t="str">
        <f t="shared" ref="Z8:AA8" si="8">X8</f>
        <v>O.PH5.TS.Ap.337</v>
      </c>
      <c r="AA8" s="65" t="str">
        <f t="shared" si="8"/>
        <v>O.PH5.TS.Ap.337</v>
      </c>
      <c r="AB8" s="50"/>
      <c r="AC8" s="50"/>
      <c r="AD8" s="50"/>
      <c r="AE8" s="51" t="s">
        <v>138</v>
      </c>
      <c r="AF8" s="51" t="s">
        <v>139</v>
      </c>
      <c r="AG8" s="51" t="s">
        <v>140</v>
      </c>
      <c r="AH8" s="51" t="s">
        <v>141</v>
      </c>
      <c r="AI8" s="51" t="s">
        <v>142</v>
      </c>
      <c r="AJ8" s="51" t="s">
        <v>143</v>
      </c>
      <c r="AK8" s="51" t="s">
        <v>144</v>
      </c>
      <c r="AL8" s="50"/>
      <c r="AM8" s="50"/>
      <c r="AN8" s="50"/>
      <c r="AO8" s="76" t="str">
        <f>VLOOKUP("*"&amp;AO$5&amp;".Ap."&amp;AO7,Check[],1,FALSE)</f>
        <v>S.PH5.TN.Ap.331</v>
      </c>
      <c r="AP8" s="67" t="str">
        <f>AO8</f>
        <v>S.PH5.TN.Ap.331</v>
      </c>
      <c r="AQ8" s="67" t="str">
        <f>AP8</f>
        <v>S.PH5.TN.Ap.331</v>
      </c>
      <c r="AR8" s="67" t="str">
        <f>AQ8</f>
        <v>S.PH5.TN.Ap.331</v>
      </c>
      <c r="AS8" s="67" t="str">
        <f t="shared" ref="AS8" si="9">AR8</f>
        <v>S.PH5.TN.Ap.331</v>
      </c>
      <c r="AT8" s="67" t="str">
        <f>AS8</f>
        <v>S.PH5.TN.Ap.331</v>
      </c>
      <c r="AU8" s="67" t="str">
        <f>AT8</f>
        <v>S.PH5.TN.Ap.331</v>
      </c>
      <c r="AV8" s="67" t="str">
        <f>AU8</f>
        <v>S.PH5.TN.Ap.331</v>
      </c>
      <c r="AW8" s="67" t="str">
        <f t="shared" ref="AW8:AX8" si="10">AV8</f>
        <v>S.PH5.TN.Ap.331</v>
      </c>
      <c r="AX8" s="67" t="str">
        <f t="shared" si="10"/>
        <v>S.PH5.TN.Ap.331</v>
      </c>
      <c r="AY8" s="67" t="str">
        <f t="shared" ref="AY8" si="11">AX8</f>
        <v>S.PH5.TN.Ap.331</v>
      </c>
      <c r="AZ8" s="67" t="str">
        <f t="shared" ref="AZ8" si="12">AY8</f>
        <v>S.PH5.TN.Ap.331</v>
      </c>
      <c r="BA8" s="67" t="str">
        <f t="shared" ref="BA8" si="13">AZ8</f>
        <v>S.PH5.TN.Ap.331</v>
      </c>
      <c r="BB8" s="67" t="str">
        <f t="shared" ref="BB8" si="14">BA8</f>
        <v>S.PH5.TN.Ap.331</v>
      </c>
      <c r="BC8" s="67" t="str">
        <f t="shared" ref="BC8" si="15">BB8</f>
        <v>S.PH5.TN.Ap.331</v>
      </c>
      <c r="BD8" s="77" t="str">
        <f t="shared" ref="BD8" si="16">BC8</f>
        <v>S.PH5.TN.Ap.331</v>
      </c>
      <c r="BE8" s="77" t="str">
        <f t="shared" ref="BE8" si="17">BD8</f>
        <v>S.PH5.TN.Ap.331</v>
      </c>
      <c r="BF8" s="77" t="str">
        <f t="shared" ref="BF8" si="18">BE8</f>
        <v>S.PH5.TN.Ap.331</v>
      </c>
      <c r="BG8" s="74" t="str">
        <f t="shared" ref="BG8" si="19">BF8</f>
        <v>S.PH5.TN.Ap.331</v>
      </c>
      <c r="BH8" s="1520"/>
      <c r="BI8" s="1504"/>
      <c r="BJ8" s="1504"/>
      <c r="BK8" s="1501"/>
      <c r="BL8" s="361" t="s">
        <v>89</v>
      </c>
      <c r="BM8" s="329">
        <f t="shared" ref="BM8:BM16" si="20">BM12+1</f>
        <v>50</v>
      </c>
      <c r="BN8" s="1768"/>
      <c r="BP8" s="53" t="s">
        <v>89</v>
      </c>
    </row>
    <row r="9" spans="1:68" s="8" customFormat="1" ht="12" customHeight="1" x14ac:dyDescent="0.25">
      <c r="A9" s="1766"/>
      <c r="B9" s="330"/>
      <c r="C9" s="279" t="s">
        <v>65</v>
      </c>
      <c r="D9" s="1507"/>
      <c r="E9" s="1459"/>
      <c r="F9" s="1459"/>
      <c r="G9" s="1498"/>
      <c r="H9" s="230">
        <f>VLOOKUP(H8,Check[],5,FALSE)</f>
        <v>337</v>
      </c>
      <c r="I9" s="231"/>
      <c r="J9" s="231"/>
      <c r="K9" s="231"/>
      <c r="L9" s="231"/>
      <c r="M9" s="231"/>
      <c r="N9" s="231"/>
      <c r="O9" s="232"/>
      <c r="P9" s="232"/>
      <c r="Q9" s="232"/>
      <c r="R9" s="232"/>
      <c r="S9" s="232"/>
      <c r="T9" s="232"/>
      <c r="U9" s="233"/>
      <c r="V9" s="233"/>
      <c r="W9" s="233"/>
      <c r="X9" s="233"/>
      <c r="Y9" s="233"/>
      <c r="Z9" s="233"/>
      <c r="AA9" s="233"/>
      <c r="AB9" s="19"/>
      <c r="AC9" s="19"/>
      <c r="AD9" s="19"/>
      <c r="AE9" s="263" t="s">
        <v>134</v>
      </c>
      <c r="AF9" s="263" t="s">
        <v>135</v>
      </c>
      <c r="AG9" s="263" t="s">
        <v>136</v>
      </c>
      <c r="AH9" s="263" t="s">
        <v>136</v>
      </c>
      <c r="AI9" s="263" t="s">
        <v>137</v>
      </c>
      <c r="AJ9" s="263" t="s">
        <v>137</v>
      </c>
      <c r="AK9" s="263" t="s">
        <v>85</v>
      </c>
      <c r="AL9" s="19"/>
      <c r="AM9" s="19"/>
      <c r="AN9" s="19"/>
      <c r="AO9" s="234">
        <f>VLOOKUP(AO8,Check[],5,FALSE)</f>
        <v>331</v>
      </c>
      <c r="AP9" s="231"/>
      <c r="AQ9" s="231"/>
      <c r="AR9" s="231"/>
      <c r="AS9" s="231"/>
      <c r="AT9" s="231"/>
      <c r="AU9" s="231"/>
      <c r="AV9" s="231"/>
      <c r="AW9" s="231"/>
      <c r="AX9" s="231"/>
      <c r="AY9" s="231"/>
      <c r="AZ9" s="231"/>
      <c r="BA9" s="231"/>
      <c r="BB9" s="231"/>
      <c r="BC9" s="231"/>
      <c r="BD9" s="235"/>
      <c r="BE9" s="235"/>
      <c r="BF9" s="235"/>
      <c r="BG9" s="349"/>
      <c r="BH9" s="1520"/>
      <c r="BI9" s="1504"/>
      <c r="BJ9" s="1504"/>
      <c r="BK9" s="1501"/>
      <c r="BL9" s="362" t="s">
        <v>65</v>
      </c>
      <c r="BM9" s="330"/>
      <c r="BN9" s="1768"/>
      <c r="BP9" s="236" t="s">
        <v>1078</v>
      </c>
    </row>
    <row r="10" spans="1:68" s="196" customFormat="1" ht="15" customHeight="1" thickBot="1" x14ac:dyDescent="0.35">
      <c r="A10" s="1767"/>
      <c r="B10" s="187">
        <f>B14+4</f>
        <v>183.48</v>
      </c>
      <c r="C10" s="280" t="s">
        <v>1</v>
      </c>
      <c r="D10" s="1508"/>
      <c r="E10" s="1460"/>
      <c r="F10" s="1460"/>
      <c r="G10" s="1499"/>
      <c r="H10" s="188">
        <f>VLOOKUP(H8,Check[],6,FALSE)</f>
        <v>5001</v>
      </c>
      <c r="I10" s="189"/>
      <c r="J10" s="189"/>
      <c r="K10" s="189"/>
      <c r="L10" s="189"/>
      <c r="M10" s="189"/>
      <c r="N10" s="189"/>
      <c r="O10" s="190"/>
      <c r="P10" s="190"/>
      <c r="Q10" s="190"/>
      <c r="R10" s="190"/>
      <c r="S10" s="190"/>
      <c r="T10" s="190"/>
      <c r="U10" s="191"/>
      <c r="V10" s="191"/>
      <c r="W10" s="191"/>
      <c r="X10" s="191"/>
      <c r="Y10" s="191"/>
      <c r="Z10" s="191"/>
      <c r="AA10" s="191"/>
      <c r="AB10" s="192"/>
      <c r="AC10" s="192"/>
      <c r="AD10" s="192"/>
      <c r="AE10" s="193" t="s">
        <v>106</v>
      </c>
      <c r="AF10" s="193" t="s">
        <v>106</v>
      </c>
      <c r="AG10" s="193" t="s">
        <v>106</v>
      </c>
      <c r="AH10" s="193" t="s">
        <v>107</v>
      </c>
      <c r="AI10" s="193" t="s">
        <v>106</v>
      </c>
      <c r="AJ10" s="193" t="s">
        <v>107</v>
      </c>
      <c r="AK10" s="193"/>
      <c r="AL10" s="192"/>
      <c r="AM10" s="192"/>
      <c r="AN10" s="192"/>
      <c r="AO10" s="194">
        <f>VLOOKUP(AO8,Check[],6,FALSE)</f>
        <v>5001</v>
      </c>
      <c r="AP10" s="189"/>
      <c r="AQ10" s="189"/>
      <c r="AR10" s="189"/>
      <c r="AS10" s="189"/>
      <c r="AT10" s="189"/>
      <c r="AU10" s="189"/>
      <c r="AV10" s="189"/>
      <c r="AW10" s="189"/>
      <c r="AX10" s="189"/>
      <c r="AY10" s="189"/>
      <c r="AZ10" s="189"/>
      <c r="BA10" s="189"/>
      <c r="BB10" s="189"/>
      <c r="BC10" s="189"/>
      <c r="BD10" s="195"/>
      <c r="BE10" s="195"/>
      <c r="BF10" s="195"/>
      <c r="BG10" s="350"/>
      <c r="BH10" s="1522"/>
      <c r="BI10" s="1505"/>
      <c r="BJ10" s="1505"/>
      <c r="BK10" s="1502"/>
      <c r="BL10" s="363" t="s">
        <v>1</v>
      </c>
      <c r="BM10" s="187">
        <f>BM14+4</f>
        <v>183.48</v>
      </c>
      <c r="BN10" s="1769"/>
      <c r="BP10" s="197" t="s">
        <v>1</v>
      </c>
    </row>
    <row r="11" spans="1:68" s="110" customFormat="1" ht="21.95" customHeight="1" thickBot="1" x14ac:dyDescent="0.4">
      <c r="A11" s="1711" t="s">
        <v>62</v>
      </c>
      <c r="B11" s="331" t="str">
        <f t="shared" ref="B11" si="21">_xlfn.CONCAT("קומה ",B12)</f>
        <v>קומה 49</v>
      </c>
      <c r="C11" s="281" t="s">
        <v>0</v>
      </c>
      <c r="D11" s="1509" t="s">
        <v>1075</v>
      </c>
      <c r="E11" s="1528" t="s">
        <v>70</v>
      </c>
      <c r="F11" s="272"/>
      <c r="G11" s="272"/>
      <c r="H11" s="1770">
        <v>336</v>
      </c>
      <c r="I11" s="1770"/>
      <c r="J11" s="1770"/>
      <c r="K11" s="1770"/>
      <c r="L11" s="1770"/>
      <c r="M11" s="1770"/>
      <c r="N11" s="1770"/>
      <c r="O11" s="1771"/>
      <c r="P11" s="112">
        <v>335</v>
      </c>
      <c r="Q11" s="112"/>
      <c r="R11" s="106"/>
      <c r="S11" s="106"/>
      <c r="T11" s="106"/>
      <c r="U11" s="106"/>
      <c r="V11" s="106"/>
      <c r="W11" s="112"/>
      <c r="X11" s="112"/>
      <c r="Y11" s="1785">
        <v>336</v>
      </c>
      <c r="Z11" s="1786"/>
      <c r="AA11" s="1787"/>
      <c r="AB11" s="107"/>
      <c r="AC11" s="107"/>
      <c r="AD11" s="107"/>
      <c r="AE11" s="370" t="s">
        <v>91</v>
      </c>
      <c r="AF11" s="370" t="s">
        <v>91</v>
      </c>
      <c r="AG11" s="370" t="s">
        <v>91</v>
      </c>
      <c r="AH11" s="370" t="s">
        <v>91</v>
      </c>
      <c r="AI11" s="370" t="s">
        <v>91</v>
      </c>
      <c r="AJ11" s="370" t="s">
        <v>91</v>
      </c>
      <c r="AK11" s="370" t="s">
        <v>91</v>
      </c>
      <c r="AL11" s="107"/>
      <c r="AM11" s="107"/>
      <c r="AN11" s="113"/>
      <c r="AO11" s="1797">
        <v>330</v>
      </c>
      <c r="AP11" s="1798"/>
      <c r="AQ11" s="114">
        <v>329</v>
      </c>
      <c r="AR11" s="105"/>
      <c r="AS11" s="105"/>
      <c r="AT11" s="105"/>
      <c r="AU11" s="105"/>
      <c r="AV11" s="105"/>
      <c r="AW11" s="105"/>
      <c r="AX11" s="115"/>
      <c r="AY11" s="1803">
        <v>330</v>
      </c>
      <c r="AZ11" s="1804"/>
      <c r="BA11" s="1804"/>
      <c r="BB11" s="1804"/>
      <c r="BC11" s="1804"/>
      <c r="BD11" s="1804"/>
      <c r="BE11" s="1804"/>
      <c r="BF11" s="1804"/>
      <c r="BG11" s="1805"/>
      <c r="BH11" s="48"/>
      <c r="BI11" s="48"/>
      <c r="BJ11" s="1503" t="s">
        <v>70</v>
      </c>
      <c r="BK11" s="1500" t="s">
        <v>1075</v>
      </c>
      <c r="BL11" s="364" t="s">
        <v>0</v>
      </c>
      <c r="BM11" s="331" t="str">
        <f t="shared" ref="BM11" si="22">_xlfn.CONCAT("קומה ",BM12)</f>
        <v>קומה 49</v>
      </c>
      <c r="BN11" s="1777" t="s">
        <v>62</v>
      </c>
      <c r="BP11" s="111" t="s">
        <v>0</v>
      </c>
    </row>
    <row r="12" spans="1:68" s="52" customFormat="1" ht="9.9499999999999993" hidden="1" customHeight="1" x14ac:dyDescent="0.15">
      <c r="A12" s="1711"/>
      <c r="B12" s="332">
        <f t="shared" si="2"/>
        <v>49</v>
      </c>
      <c r="C12" s="281" t="s">
        <v>89</v>
      </c>
      <c r="D12" s="1507"/>
      <c r="E12" s="1459"/>
      <c r="F12" s="276"/>
      <c r="G12" s="276"/>
      <c r="H12" s="66" t="str">
        <f>VLOOKUP("*"&amp;H$5&amp;".Ap."&amp;H11,Check[],1,FALSE)</f>
        <v>O.PH4.TS.Ap.336</v>
      </c>
      <c r="I12" s="66"/>
      <c r="J12" s="64" t="str">
        <f>H12</f>
        <v>O.PH4.TS.Ap.336</v>
      </c>
      <c r="K12" s="64" t="str">
        <f t="shared" ref="K12" si="23">J12</f>
        <v>O.PH4.TS.Ap.336</v>
      </c>
      <c r="L12" s="68" t="str">
        <f t="shared" ref="L12:O12" si="24">K12</f>
        <v>O.PH4.TS.Ap.336</v>
      </c>
      <c r="M12" s="64" t="str">
        <f t="shared" si="24"/>
        <v>O.PH4.TS.Ap.336</v>
      </c>
      <c r="N12" s="68" t="str">
        <f t="shared" si="24"/>
        <v>O.PH4.TS.Ap.336</v>
      </c>
      <c r="O12" s="68" t="str">
        <f t="shared" si="24"/>
        <v>O.PH4.TS.Ap.336</v>
      </c>
      <c r="P12" s="64" t="str">
        <f>VLOOKUP("*"&amp;P$5&amp;".Ap."&amp;P11,Check[],1,FALSE)</f>
        <v>O.PH3.TS.Ap.335</v>
      </c>
      <c r="Q12" s="64" t="str">
        <f t="shared" ref="Q12:T12" si="25">P12</f>
        <v>O.PH3.TS.Ap.335</v>
      </c>
      <c r="R12" s="68" t="str">
        <f t="shared" si="25"/>
        <v>O.PH3.TS.Ap.335</v>
      </c>
      <c r="S12" s="68" t="str">
        <f t="shared" si="25"/>
        <v>O.PH3.TS.Ap.335</v>
      </c>
      <c r="T12" s="68" t="str">
        <f t="shared" si="25"/>
        <v>O.PH3.TS.Ap.335</v>
      </c>
      <c r="U12" s="68" t="str">
        <f t="shared" ref="U12" si="26">T12</f>
        <v>O.PH3.TS.Ap.335</v>
      </c>
      <c r="V12" s="68" t="str">
        <f t="shared" ref="V12" si="27">U12</f>
        <v>O.PH3.TS.Ap.335</v>
      </c>
      <c r="W12" s="64" t="str">
        <f t="shared" ref="W12:X12" si="28">U12</f>
        <v>O.PH3.TS.Ap.335</v>
      </c>
      <c r="X12" s="64" t="str">
        <f t="shared" si="28"/>
        <v>O.PH3.TS.Ap.335</v>
      </c>
      <c r="Y12" s="69" t="str">
        <f>VLOOKUP("*"&amp;Y$5&amp;".Ap."&amp;Y11,Check[],1,FALSE)</f>
        <v>O.PH4.TS.Ap.336</v>
      </c>
      <c r="Z12" s="70" t="str">
        <f t="shared" ref="Z12:AA12" si="29">X12</f>
        <v>O.PH3.TS.Ap.335</v>
      </c>
      <c r="AA12" s="70" t="str">
        <f t="shared" si="29"/>
        <v>O.PH4.TS.Ap.336</v>
      </c>
      <c r="AB12" s="50"/>
      <c r="AC12" s="50"/>
      <c r="AD12" s="50"/>
      <c r="AE12" s="47" t="s">
        <v>182</v>
      </c>
      <c r="AF12" s="47" t="s">
        <v>183</v>
      </c>
      <c r="AG12" s="47" t="s">
        <v>184</v>
      </c>
      <c r="AH12" s="47" t="s">
        <v>185</v>
      </c>
      <c r="AI12" s="47" t="s">
        <v>186</v>
      </c>
      <c r="AJ12" s="47" t="s">
        <v>187</v>
      </c>
      <c r="AK12" s="47" t="s">
        <v>188</v>
      </c>
      <c r="AL12" s="50"/>
      <c r="AM12" s="50"/>
      <c r="AN12" s="54"/>
      <c r="AO12" s="78" t="str">
        <f>VLOOKUP("*"&amp;AO$5&amp;".Ap."&amp;AO11,Check[],1,FALSE)</f>
        <v>V.GM.PH4.TN.Ap.330</v>
      </c>
      <c r="AP12" s="64" t="str">
        <f t="shared" ref="AP12" si="30">AO12</f>
        <v>V.GM.PH4.TN.Ap.330</v>
      </c>
      <c r="AQ12" s="71" t="str">
        <f>VLOOKUP("*"&amp;AQ$5&amp;".Ap."&amp;AQ11,Check[],1,FALSE)</f>
        <v>V.GM.PH3.TN.Ap.329</v>
      </c>
      <c r="AR12" s="67" t="str">
        <f>AQ12</f>
        <v>V.GM.PH3.TN.Ap.329</v>
      </c>
      <c r="AS12" s="67" t="str">
        <f>AR12</f>
        <v>V.GM.PH3.TN.Ap.329</v>
      </c>
      <c r="AT12" s="67" t="str">
        <f>AS12</f>
        <v>V.GM.PH3.TN.Ap.329</v>
      </c>
      <c r="AU12" s="67" t="str">
        <f>AT12</f>
        <v>V.GM.PH3.TN.Ap.329</v>
      </c>
      <c r="AV12" s="67" t="str">
        <f>AU12</f>
        <v>V.GM.PH3.TN.Ap.329</v>
      </c>
      <c r="AW12" s="67" t="str">
        <f t="shared" ref="AW12:AX12" si="31">AV12</f>
        <v>V.GM.PH3.TN.Ap.329</v>
      </c>
      <c r="AX12" s="68" t="str">
        <f t="shared" si="31"/>
        <v>V.GM.PH3.TN.Ap.329</v>
      </c>
      <c r="AY12" s="72" t="str">
        <f>VLOOKUP("*"&amp;AY$5&amp;".Ap."&amp;AY11,Check[],1,FALSE)</f>
        <v>V.GM.PH4.TN.Ap.330</v>
      </c>
      <c r="AZ12" s="71"/>
      <c r="BA12" s="67" t="str">
        <f>AY12</f>
        <v>V.GM.PH4.TN.Ap.330</v>
      </c>
      <c r="BB12" s="67" t="str">
        <f>BA12</f>
        <v>V.GM.PH4.TN.Ap.330</v>
      </c>
      <c r="BC12" s="77" t="str">
        <f>BB12</f>
        <v>V.GM.PH4.TN.Ap.330</v>
      </c>
      <c r="BD12" s="77" t="str">
        <f t="shared" ref="BD12:BF12" si="32">BC12</f>
        <v>V.GM.PH4.TN.Ap.330</v>
      </c>
      <c r="BE12" s="77" t="str">
        <f t="shared" si="32"/>
        <v>V.GM.PH4.TN.Ap.330</v>
      </c>
      <c r="BF12" s="79" t="str">
        <f t="shared" si="32"/>
        <v>V.GM.PH4.TN.Ap.330</v>
      </c>
      <c r="BG12" s="55"/>
      <c r="BH12" s="264"/>
      <c r="BI12" s="264"/>
      <c r="BJ12" s="1504"/>
      <c r="BK12" s="1501"/>
      <c r="BL12" s="364" t="s">
        <v>89</v>
      </c>
      <c r="BM12" s="332">
        <f t="shared" si="20"/>
        <v>49</v>
      </c>
      <c r="BN12" s="1777"/>
      <c r="BP12" s="53" t="s">
        <v>89</v>
      </c>
    </row>
    <row r="13" spans="1:68" s="8" customFormat="1" ht="12" customHeight="1" x14ac:dyDescent="0.25">
      <c r="A13" s="1711"/>
      <c r="B13" s="333"/>
      <c r="C13" s="282" t="s">
        <v>65</v>
      </c>
      <c r="D13" s="1507"/>
      <c r="E13" s="1459"/>
      <c r="F13" s="276"/>
      <c r="G13" s="276"/>
      <c r="H13" s="1772">
        <f>VLOOKUP(H12,Check[],5,FALSE)</f>
        <v>336</v>
      </c>
      <c r="I13" s="1772"/>
      <c r="J13" s="1772"/>
      <c r="K13" s="1772"/>
      <c r="L13" s="1772"/>
      <c r="M13" s="1772"/>
      <c r="N13" s="1772"/>
      <c r="O13" s="1773"/>
      <c r="P13" s="237">
        <f>VLOOKUP(P12,Check[],5,FALSE)</f>
        <v>335</v>
      </c>
      <c r="Q13" s="237"/>
      <c r="R13" s="232"/>
      <c r="S13" s="232"/>
      <c r="T13" s="232"/>
      <c r="U13" s="232"/>
      <c r="V13" s="232"/>
      <c r="W13" s="237"/>
      <c r="X13" s="237"/>
      <c r="Y13" s="1788">
        <f>VLOOKUP(Y12,Check[],5,FALSE)</f>
        <v>336</v>
      </c>
      <c r="Z13" s="1789"/>
      <c r="AA13" s="1790"/>
      <c r="AB13" s="19"/>
      <c r="AC13" s="19"/>
      <c r="AD13" s="19"/>
      <c r="AE13" s="1940" t="s">
        <v>130</v>
      </c>
      <c r="AF13" s="1940" t="s">
        <v>130</v>
      </c>
      <c r="AG13" s="1940" t="s">
        <v>130</v>
      </c>
      <c r="AH13" s="1940" t="s">
        <v>130</v>
      </c>
      <c r="AI13" s="1940" t="s">
        <v>130</v>
      </c>
      <c r="AJ13" s="1940" t="s">
        <v>130</v>
      </c>
      <c r="AK13" s="1940" t="s">
        <v>130</v>
      </c>
      <c r="AL13" s="19"/>
      <c r="AM13" s="19"/>
      <c r="AN13" s="238"/>
      <c r="AO13" s="1799">
        <f>VLOOKUP(AO12,Check[],5,FALSE)</f>
        <v>330</v>
      </c>
      <c r="AP13" s="1800"/>
      <c r="AQ13" s="239">
        <f>VLOOKUP(AQ12,Check[],5,FALSE)</f>
        <v>329</v>
      </c>
      <c r="AR13" s="231"/>
      <c r="AS13" s="231"/>
      <c r="AT13" s="231"/>
      <c r="AU13" s="231"/>
      <c r="AV13" s="231"/>
      <c r="AW13" s="231"/>
      <c r="AX13" s="240"/>
      <c r="AY13" s="1806">
        <f>VLOOKUP(AY12,Check[],5,FALSE)</f>
        <v>330</v>
      </c>
      <c r="AZ13" s="1807"/>
      <c r="BA13" s="1807"/>
      <c r="BB13" s="1807"/>
      <c r="BC13" s="1807"/>
      <c r="BD13" s="1807"/>
      <c r="BE13" s="1807"/>
      <c r="BF13" s="1807"/>
      <c r="BG13" s="1808"/>
      <c r="BH13" s="264"/>
      <c r="BI13" s="264"/>
      <c r="BJ13" s="1504"/>
      <c r="BK13" s="1501"/>
      <c r="BL13" s="365" t="s">
        <v>65</v>
      </c>
      <c r="BM13" s="333"/>
      <c r="BN13" s="1777"/>
      <c r="BP13" s="236" t="s">
        <v>1078</v>
      </c>
    </row>
    <row r="14" spans="1:68" s="196" customFormat="1" ht="15" customHeight="1" thickBot="1" x14ac:dyDescent="0.35">
      <c r="A14" s="1712"/>
      <c r="B14" s="198">
        <f>B18+4</f>
        <v>179.48</v>
      </c>
      <c r="C14" s="283" t="s">
        <v>1</v>
      </c>
      <c r="D14" s="1508"/>
      <c r="E14" s="1460"/>
      <c r="F14" s="275"/>
      <c r="G14" s="275"/>
      <c r="H14" s="1774">
        <f>VLOOKUP(H12,Check[],6,FALSE)</f>
        <v>4901</v>
      </c>
      <c r="I14" s="1774"/>
      <c r="J14" s="1774"/>
      <c r="K14" s="1774"/>
      <c r="L14" s="1774"/>
      <c r="M14" s="1774"/>
      <c r="N14" s="1774"/>
      <c r="O14" s="1775"/>
      <c r="P14" s="199">
        <f>VLOOKUP(P12,Check[],6,FALSE)</f>
        <v>4902</v>
      </c>
      <c r="Q14" s="199"/>
      <c r="R14" s="190"/>
      <c r="S14" s="190"/>
      <c r="T14" s="190"/>
      <c r="U14" s="190"/>
      <c r="V14" s="190"/>
      <c r="W14" s="199"/>
      <c r="X14" s="199"/>
      <c r="Y14" s="1791">
        <f>VLOOKUP(Y12,Check[],6,FALSE)</f>
        <v>4901</v>
      </c>
      <c r="Z14" s="1792"/>
      <c r="AA14" s="1793"/>
      <c r="AB14" s="192"/>
      <c r="AC14" s="192"/>
      <c r="AD14" s="192"/>
      <c r="AE14" s="1941"/>
      <c r="AF14" s="1941"/>
      <c r="AG14" s="1941"/>
      <c r="AH14" s="1941"/>
      <c r="AI14" s="1941"/>
      <c r="AJ14" s="1941"/>
      <c r="AK14" s="1941"/>
      <c r="AL14" s="192"/>
      <c r="AM14" s="192"/>
      <c r="AN14" s="200"/>
      <c r="AO14" s="1801">
        <f>VLOOKUP(AO12,Check[],6,FALSE)</f>
        <v>4901</v>
      </c>
      <c r="AP14" s="1802"/>
      <c r="AQ14" s="201">
        <f>VLOOKUP(AQ12,Check[],6,FALSE)</f>
        <v>4902</v>
      </c>
      <c r="AR14" s="189"/>
      <c r="AS14" s="189"/>
      <c r="AT14" s="189"/>
      <c r="AU14" s="189"/>
      <c r="AV14" s="189"/>
      <c r="AW14" s="189"/>
      <c r="AX14" s="202"/>
      <c r="AY14" s="1809">
        <f>VLOOKUP(AY12,Check[],6,FALSE)</f>
        <v>4901</v>
      </c>
      <c r="AZ14" s="1810"/>
      <c r="BA14" s="1810"/>
      <c r="BB14" s="1810"/>
      <c r="BC14" s="1810"/>
      <c r="BD14" s="1810"/>
      <c r="BE14" s="1810"/>
      <c r="BF14" s="1810"/>
      <c r="BG14" s="1811"/>
      <c r="BH14" s="265"/>
      <c r="BI14" s="265"/>
      <c r="BJ14" s="1505"/>
      <c r="BK14" s="1502"/>
      <c r="BL14" s="366" t="s">
        <v>1</v>
      </c>
      <c r="BM14" s="198">
        <f>BM18+4</f>
        <v>179.48</v>
      </c>
      <c r="BN14" s="1778"/>
      <c r="BP14" s="197" t="s">
        <v>1</v>
      </c>
    </row>
    <row r="15" spans="1:68" s="110" customFormat="1" ht="21.95" customHeight="1" thickBot="1" x14ac:dyDescent="0.4">
      <c r="A15" s="1711"/>
      <c r="B15" s="331" t="str">
        <f t="shared" ref="B15" si="33">_xlfn.CONCAT("קומה ",B16)</f>
        <v>קומה 48</v>
      </c>
      <c r="C15" s="281" t="s">
        <v>0</v>
      </c>
      <c r="D15" s="117"/>
      <c r="E15" s="116"/>
      <c r="F15" s="116"/>
      <c r="G15" s="116"/>
      <c r="H15" s="1770">
        <v>334</v>
      </c>
      <c r="I15" s="1770"/>
      <c r="J15" s="1770"/>
      <c r="K15" s="1770"/>
      <c r="L15" s="1770"/>
      <c r="M15" s="1770"/>
      <c r="N15" s="1770"/>
      <c r="O15" s="1771"/>
      <c r="P15" s="112">
        <v>333</v>
      </c>
      <c r="Q15" s="112"/>
      <c r="R15" s="106"/>
      <c r="S15" s="106"/>
      <c r="T15" s="106"/>
      <c r="U15" s="106"/>
      <c r="V15" s="106"/>
      <c r="W15" s="112"/>
      <c r="X15" s="112"/>
      <c r="Y15" s="1785">
        <v>334</v>
      </c>
      <c r="Z15" s="1786"/>
      <c r="AA15" s="1787"/>
      <c r="AB15" s="107"/>
      <c r="AC15" s="107"/>
      <c r="AD15" s="107"/>
      <c r="AE15" s="325" t="s">
        <v>108</v>
      </c>
      <c r="AF15" s="325" t="s">
        <v>108</v>
      </c>
      <c r="AG15" s="325" t="s">
        <v>108</v>
      </c>
      <c r="AH15" s="325" t="s">
        <v>108</v>
      </c>
      <c r="AI15" s="325" t="s">
        <v>108</v>
      </c>
      <c r="AJ15" s="325" t="s">
        <v>108</v>
      </c>
      <c r="AK15" s="325" t="s">
        <v>108</v>
      </c>
      <c r="AL15" s="107"/>
      <c r="AM15" s="107"/>
      <c r="AN15" s="118"/>
      <c r="AO15" s="1797">
        <v>328</v>
      </c>
      <c r="AP15" s="1798"/>
      <c r="AQ15" s="114">
        <v>327</v>
      </c>
      <c r="AR15" s="105"/>
      <c r="AS15" s="105"/>
      <c r="AT15" s="105"/>
      <c r="AU15" s="105"/>
      <c r="AV15" s="105"/>
      <c r="AW15" s="105"/>
      <c r="AX15" s="115"/>
      <c r="AY15" s="1803">
        <v>328</v>
      </c>
      <c r="AZ15" s="1804"/>
      <c r="BA15" s="1804"/>
      <c r="BB15" s="1804"/>
      <c r="BC15" s="1804"/>
      <c r="BD15" s="1804"/>
      <c r="BE15" s="1804"/>
      <c r="BF15" s="1804"/>
      <c r="BG15" s="1805"/>
      <c r="BH15" s="116"/>
      <c r="BI15" s="116"/>
      <c r="BJ15" s="116"/>
      <c r="BK15" s="119"/>
      <c r="BL15" s="364" t="s">
        <v>0</v>
      </c>
      <c r="BM15" s="331" t="str">
        <f t="shared" ref="BM15" si="34">_xlfn.CONCAT("קומה ",BM16)</f>
        <v>קומה 48</v>
      </c>
      <c r="BN15" s="1777"/>
      <c r="BP15" s="111" t="s">
        <v>0</v>
      </c>
    </row>
    <row r="16" spans="1:68" s="52" customFormat="1" ht="9.9499999999999993" hidden="1" customHeight="1" x14ac:dyDescent="0.15">
      <c r="A16" s="1711"/>
      <c r="B16" s="332">
        <f t="shared" si="2"/>
        <v>48</v>
      </c>
      <c r="C16" s="281" t="s">
        <v>89</v>
      </c>
      <c r="D16" s="56"/>
      <c r="E16" s="55"/>
      <c r="F16" s="55"/>
      <c r="G16" s="55"/>
      <c r="H16" s="66" t="str">
        <f>VLOOKUP("*"&amp;H$5&amp;".Ap."&amp;H15,Check[],1,FALSE)</f>
        <v>V.GM.PH2.TS.Ap.334</v>
      </c>
      <c r="I16" s="66"/>
      <c r="J16" s="64" t="str">
        <f>H16</f>
        <v>V.GM.PH2.TS.Ap.334</v>
      </c>
      <c r="K16" s="64" t="str">
        <f t="shared" ref="K16" si="35">J16</f>
        <v>V.GM.PH2.TS.Ap.334</v>
      </c>
      <c r="L16" s="68" t="str">
        <f t="shared" ref="L16:O16" si="36">K16</f>
        <v>V.GM.PH2.TS.Ap.334</v>
      </c>
      <c r="M16" s="64" t="str">
        <f t="shared" si="36"/>
        <v>V.GM.PH2.TS.Ap.334</v>
      </c>
      <c r="N16" s="68" t="str">
        <f t="shared" si="36"/>
        <v>V.GM.PH2.TS.Ap.334</v>
      </c>
      <c r="O16" s="68" t="str">
        <f t="shared" si="36"/>
        <v>V.GM.PH2.TS.Ap.334</v>
      </c>
      <c r="P16" s="64" t="str">
        <f>VLOOKUP("*"&amp;P$5&amp;".Ap."&amp;P15,Check[],1,FALSE)</f>
        <v>V.GM.PH1.TS.Ap.333</v>
      </c>
      <c r="Q16" s="64" t="str">
        <f t="shared" ref="Q16:T16" si="37">P16</f>
        <v>V.GM.PH1.TS.Ap.333</v>
      </c>
      <c r="R16" s="68" t="str">
        <f t="shared" si="37"/>
        <v>V.GM.PH1.TS.Ap.333</v>
      </c>
      <c r="S16" s="68" t="str">
        <f t="shared" si="37"/>
        <v>V.GM.PH1.TS.Ap.333</v>
      </c>
      <c r="T16" s="68" t="str">
        <f t="shared" si="37"/>
        <v>V.GM.PH1.TS.Ap.333</v>
      </c>
      <c r="U16" s="68" t="str">
        <f t="shared" ref="U16" si="38">T16</f>
        <v>V.GM.PH1.TS.Ap.333</v>
      </c>
      <c r="V16" s="68" t="str">
        <f t="shared" ref="V16" si="39">U16</f>
        <v>V.GM.PH1.TS.Ap.333</v>
      </c>
      <c r="W16" s="64" t="str">
        <f t="shared" ref="W16:X16" si="40">U16</f>
        <v>V.GM.PH1.TS.Ap.333</v>
      </c>
      <c r="X16" s="64" t="str">
        <f t="shared" si="40"/>
        <v>V.GM.PH1.TS.Ap.333</v>
      </c>
      <c r="Y16" s="69" t="str">
        <f>VLOOKUP("*"&amp;Y$5&amp;".Ap."&amp;Y15,Check[],1,FALSE)</f>
        <v>V.GM.PH2.TS.Ap.334</v>
      </c>
      <c r="Z16" s="70" t="str">
        <f t="shared" ref="Z16:AA16" si="41">X16</f>
        <v>V.GM.PH1.TS.Ap.333</v>
      </c>
      <c r="AA16" s="70" t="str">
        <f t="shared" si="41"/>
        <v>V.GM.PH2.TS.Ap.334</v>
      </c>
      <c r="AB16" s="50"/>
      <c r="AC16" s="50"/>
      <c r="AD16" s="50"/>
      <c r="AE16" s="50" t="s">
        <v>1198</v>
      </c>
      <c r="AF16" s="50" t="s">
        <v>1199</v>
      </c>
      <c r="AG16" s="50" t="s">
        <v>1200</v>
      </c>
      <c r="AH16" s="50" t="s">
        <v>1201</v>
      </c>
      <c r="AI16" s="50" t="s">
        <v>1202</v>
      </c>
      <c r="AJ16" s="50" t="s">
        <v>1203</v>
      </c>
      <c r="AK16" s="50" t="s">
        <v>1204</v>
      </c>
      <c r="AL16" s="50"/>
      <c r="AM16" s="50"/>
      <c r="AN16" s="54"/>
      <c r="AO16" s="78" t="str">
        <f>VLOOKUP("*"&amp;AO$5&amp;".Ap."&amp;AO15,Check[],1,FALSE)</f>
        <v>V.GM.PH2.TN.Ap.328</v>
      </c>
      <c r="AP16" s="64" t="str">
        <f t="shared" ref="AP16" si="42">AO16</f>
        <v>V.GM.PH2.TN.Ap.328</v>
      </c>
      <c r="AQ16" s="71" t="str">
        <f>VLOOKUP("*"&amp;AQ$5&amp;".Ap."&amp;AQ15,Check[],1,FALSE)</f>
        <v>V.GM.PH1.TN.Ap.327</v>
      </c>
      <c r="AR16" s="67" t="str">
        <f>AQ16</f>
        <v>V.GM.PH1.TN.Ap.327</v>
      </c>
      <c r="AS16" s="67" t="str">
        <f>AR16</f>
        <v>V.GM.PH1.TN.Ap.327</v>
      </c>
      <c r="AT16" s="67" t="str">
        <f>AS16</f>
        <v>V.GM.PH1.TN.Ap.327</v>
      </c>
      <c r="AU16" s="67" t="str">
        <f>AT16</f>
        <v>V.GM.PH1.TN.Ap.327</v>
      </c>
      <c r="AV16" s="67" t="str">
        <f>AU16</f>
        <v>V.GM.PH1.TN.Ap.327</v>
      </c>
      <c r="AW16" s="67" t="str">
        <f t="shared" ref="AW16:AX16" si="43">AV16</f>
        <v>V.GM.PH1.TN.Ap.327</v>
      </c>
      <c r="AX16" s="68" t="str">
        <f t="shared" si="43"/>
        <v>V.GM.PH1.TN.Ap.327</v>
      </c>
      <c r="AY16" s="72" t="str">
        <f>VLOOKUP("*"&amp;AY$5&amp;".Ap."&amp;AY15,Check[],1,FALSE)</f>
        <v>V.GM.PH2.TN.Ap.328</v>
      </c>
      <c r="AZ16" s="71"/>
      <c r="BA16" s="67" t="str">
        <f>AY16</f>
        <v>V.GM.PH2.TN.Ap.328</v>
      </c>
      <c r="BB16" s="67" t="str">
        <f>BA16</f>
        <v>V.GM.PH2.TN.Ap.328</v>
      </c>
      <c r="BC16" s="77" t="str">
        <f>BB16</f>
        <v>V.GM.PH2.TN.Ap.328</v>
      </c>
      <c r="BD16" s="77" t="str">
        <f t="shared" ref="BD16:BF16" si="44">BC16</f>
        <v>V.GM.PH2.TN.Ap.328</v>
      </c>
      <c r="BE16" s="77" t="str">
        <f t="shared" si="44"/>
        <v>V.GM.PH2.TN.Ap.328</v>
      </c>
      <c r="BF16" s="79" t="str">
        <f t="shared" si="44"/>
        <v>V.GM.PH2.TN.Ap.328</v>
      </c>
      <c r="BG16" s="55"/>
      <c r="BH16" s="55"/>
      <c r="BI16" s="55"/>
      <c r="BJ16" s="55"/>
      <c r="BK16" s="57"/>
      <c r="BL16" s="364" t="s">
        <v>89</v>
      </c>
      <c r="BM16" s="332">
        <f t="shared" si="20"/>
        <v>48</v>
      </c>
      <c r="BN16" s="1777"/>
      <c r="BP16" s="53" t="s">
        <v>89</v>
      </c>
    </row>
    <row r="17" spans="1:68" s="8" customFormat="1" ht="12" customHeight="1" x14ac:dyDescent="0.25">
      <c r="A17" s="1711"/>
      <c r="B17" s="333"/>
      <c r="C17" s="282" t="s">
        <v>65</v>
      </c>
      <c r="D17" s="25"/>
      <c r="E17" s="21"/>
      <c r="F17" s="21"/>
      <c r="G17" s="21"/>
      <c r="H17" s="1772">
        <f>VLOOKUP(H16,Check[],5,FALSE)</f>
        <v>334</v>
      </c>
      <c r="I17" s="1772"/>
      <c r="J17" s="1772"/>
      <c r="K17" s="1772"/>
      <c r="L17" s="1772"/>
      <c r="M17" s="1772"/>
      <c r="N17" s="1772"/>
      <c r="O17" s="1773"/>
      <c r="P17" s="237">
        <f>VLOOKUP(P16,Check[],5,FALSE)</f>
        <v>333</v>
      </c>
      <c r="Q17" s="237"/>
      <c r="R17" s="232"/>
      <c r="S17" s="232"/>
      <c r="T17" s="232"/>
      <c r="U17" s="232"/>
      <c r="V17" s="232"/>
      <c r="W17" s="237"/>
      <c r="X17" s="237"/>
      <c r="Y17" s="1788">
        <f>VLOOKUP(Y16,Check[],5,FALSE)</f>
        <v>334</v>
      </c>
      <c r="Z17" s="1789"/>
      <c r="AA17" s="1790"/>
      <c r="AB17" s="19"/>
      <c r="AC17" s="19"/>
      <c r="AD17" s="19"/>
      <c r="AE17" s="19"/>
      <c r="AF17" s="19"/>
      <c r="AG17" s="19"/>
      <c r="AH17" s="19"/>
      <c r="AI17" s="19"/>
      <c r="AJ17" s="19"/>
      <c r="AK17" s="19"/>
      <c r="AL17" s="19"/>
      <c r="AM17" s="19"/>
      <c r="AN17" s="238"/>
      <c r="AO17" s="1799">
        <f>VLOOKUP(AO16,Check[],5,FALSE)</f>
        <v>328</v>
      </c>
      <c r="AP17" s="1800"/>
      <c r="AQ17" s="239">
        <f>VLOOKUP(AQ16,Check[],5,FALSE)</f>
        <v>327</v>
      </c>
      <c r="AR17" s="231"/>
      <c r="AS17" s="231"/>
      <c r="AT17" s="231"/>
      <c r="AU17" s="231"/>
      <c r="AV17" s="231"/>
      <c r="AW17" s="231"/>
      <c r="AX17" s="240"/>
      <c r="AY17" s="1806">
        <f>VLOOKUP(AY16,Check[],5,FALSE)</f>
        <v>328</v>
      </c>
      <c r="AZ17" s="1807"/>
      <c r="BA17" s="1807"/>
      <c r="BB17" s="1807"/>
      <c r="BC17" s="1807"/>
      <c r="BD17" s="1807"/>
      <c r="BE17" s="1807"/>
      <c r="BF17" s="1807"/>
      <c r="BG17" s="1808"/>
      <c r="BH17" s="21"/>
      <c r="BI17" s="21"/>
      <c r="BJ17" s="21"/>
      <c r="BK17" s="31"/>
      <c r="BL17" s="365" t="s">
        <v>65</v>
      </c>
      <c r="BM17" s="333"/>
      <c r="BN17" s="1777"/>
      <c r="BP17" s="236" t="s">
        <v>1078</v>
      </c>
    </row>
    <row r="18" spans="1:68" s="196" customFormat="1" ht="15" customHeight="1" thickBot="1" x14ac:dyDescent="0.35">
      <c r="A18" s="1712"/>
      <c r="B18" s="198">
        <f>B22+3.84</f>
        <v>175.48</v>
      </c>
      <c r="C18" s="283" t="s">
        <v>1</v>
      </c>
      <c r="D18" s="204"/>
      <c r="E18" s="203"/>
      <c r="F18" s="203"/>
      <c r="G18" s="203"/>
      <c r="H18" s="1776">
        <f>VLOOKUP(H16,Check[],6,FALSE)</f>
        <v>4801</v>
      </c>
      <c r="I18" s="1774"/>
      <c r="J18" s="1774"/>
      <c r="K18" s="1774"/>
      <c r="L18" s="1774"/>
      <c r="M18" s="1774"/>
      <c r="N18" s="1774"/>
      <c r="O18" s="1775"/>
      <c r="P18" s="199">
        <f>VLOOKUP(P16,Check[],6,FALSE)</f>
        <v>4802</v>
      </c>
      <c r="Q18" s="199"/>
      <c r="R18" s="190"/>
      <c r="S18" s="190"/>
      <c r="T18" s="190"/>
      <c r="U18" s="190"/>
      <c r="V18" s="190"/>
      <c r="W18" s="199"/>
      <c r="X18" s="199"/>
      <c r="Y18" s="1791">
        <f>VLOOKUP(Y16,Check[],6,FALSE)</f>
        <v>4801</v>
      </c>
      <c r="Z18" s="1792"/>
      <c r="AA18" s="1793"/>
      <c r="AB18" s="192"/>
      <c r="AC18" s="192"/>
      <c r="AD18" s="192"/>
      <c r="AE18" s="192"/>
      <c r="AF18" s="192"/>
      <c r="AG18" s="192"/>
      <c r="AH18" s="192"/>
      <c r="AI18" s="192"/>
      <c r="AJ18" s="192"/>
      <c r="AK18" s="192"/>
      <c r="AL18" s="192"/>
      <c r="AM18" s="192"/>
      <c r="AN18" s="200"/>
      <c r="AO18" s="1801">
        <f>VLOOKUP(AO16,Check[],6,FALSE)</f>
        <v>4801</v>
      </c>
      <c r="AP18" s="1802"/>
      <c r="AQ18" s="201">
        <f>VLOOKUP(AQ16,Check[],6,FALSE)</f>
        <v>4802</v>
      </c>
      <c r="AR18" s="189"/>
      <c r="AS18" s="189"/>
      <c r="AT18" s="189"/>
      <c r="AU18" s="189"/>
      <c r="AV18" s="189"/>
      <c r="AW18" s="189"/>
      <c r="AX18" s="202"/>
      <c r="AY18" s="1809">
        <f>VLOOKUP(AY16,Check[],6,FALSE)</f>
        <v>4801</v>
      </c>
      <c r="AZ18" s="1810"/>
      <c r="BA18" s="1810"/>
      <c r="BB18" s="1810"/>
      <c r="BC18" s="1810"/>
      <c r="BD18" s="1810"/>
      <c r="BE18" s="1810"/>
      <c r="BF18" s="1810"/>
      <c r="BG18" s="1811"/>
      <c r="BH18" s="203"/>
      <c r="BI18" s="203"/>
      <c r="BJ18" s="203"/>
      <c r="BK18" s="205"/>
      <c r="BL18" s="366" t="s">
        <v>1</v>
      </c>
      <c r="BM18" s="198">
        <f>BM22+3.84</f>
        <v>175.48</v>
      </c>
      <c r="BN18" s="1778"/>
      <c r="BP18" s="197" t="s">
        <v>1</v>
      </c>
    </row>
    <row r="19" spans="1:68" s="110" customFormat="1" ht="21.95" customHeight="1" x14ac:dyDescent="0.35">
      <c r="A19" s="1766" t="s">
        <v>61</v>
      </c>
      <c r="B19" s="326" t="str">
        <f t="shared" ref="B19" si="45">_xlfn.CONCAT("קומה ",B20)</f>
        <v>קומה 47</v>
      </c>
      <c r="C19" s="278" t="s">
        <v>0</v>
      </c>
      <c r="D19" s="117"/>
      <c r="E19" s="116"/>
      <c r="F19" s="116"/>
      <c r="G19" s="116"/>
      <c r="H19" s="104">
        <f t="shared" ref="H19" si="46">H23+5</f>
        <v>328</v>
      </c>
      <c r="I19" s="120"/>
      <c r="J19" s="120"/>
      <c r="K19" s="120"/>
      <c r="L19" s="120"/>
      <c r="M19" s="120"/>
      <c r="N19" s="115"/>
      <c r="O19" s="112">
        <f t="shared" ref="O19" si="47">O23+5</f>
        <v>329</v>
      </c>
      <c r="P19" s="112"/>
      <c r="Q19" s="106"/>
      <c r="R19" s="112">
        <f t="shared" ref="R19" si="48">R23+5</f>
        <v>330</v>
      </c>
      <c r="S19" s="112"/>
      <c r="T19" s="106"/>
      <c r="U19" s="106"/>
      <c r="V19" s="112">
        <f t="shared" ref="V19" si="49">V23+5</f>
        <v>331</v>
      </c>
      <c r="W19" s="112"/>
      <c r="X19" s="112"/>
      <c r="Y19" s="112">
        <f t="shared" ref="Y19" si="50">Y23+5</f>
        <v>332</v>
      </c>
      <c r="Z19" s="121"/>
      <c r="AA19" s="121"/>
      <c r="AC19" s="107"/>
      <c r="AD19" s="107"/>
      <c r="AE19" s="107"/>
      <c r="AF19" s="107"/>
      <c r="AG19" s="107"/>
      <c r="AH19" s="107"/>
      <c r="AI19" s="107"/>
      <c r="AJ19" s="107"/>
      <c r="AK19" s="107"/>
      <c r="AL19" s="107"/>
      <c r="AM19" s="107"/>
      <c r="AN19" s="122"/>
      <c r="AO19" s="108">
        <f t="shared" ref="AO19" si="51">AO23+5</f>
        <v>326</v>
      </c>
      <c r="AP19" s="115"/>
      <c r="AQ19" s="123">
        <f t="shared" ref="AQ19" si="52">AQ23+5</f>
        <v>325</v>
      </c>
      <c r="AR19" s="115"/>
      <c r="AS19" s="123">
        <f t="shared" ref="AS19" si="53">AS23+5</f>
        <v>324</v>
      </c>
      <c r="AT19" s="105"/>
      <c r="AU19" s="105"/>
      <c r="AV19" s="115"/>
      <c r="AW19" s="123">
        <f t="shared" ref="AW19" si="54">AW23+5</f>
        <v>323</v>
      </c>
      <c r="AX19" s="105"/>
      <c r="AY19" s="115"/>
      <c r="AZ19" s="115"/>
      <c r="BA19" s="123">
        <f t="shared" ref="BA19" si="55">BA23+5</f>
        <v>322</v>
      </c>
      <c r="BB19" s="105"/>
      <c r="BC19" s="109"/>
      <c r="BD19" s="109"/>
      <c r="BE19" s="109"/>
      <c r="BF19" s="109"/>
      <c r="BG19" s="124"/>
      <c r="BH19" s="116"/>
      <c r="BI19" s="116"/>
      <c r="BJ19" s="116"/>
      <c r="BK19" s="119"/>
      <c r="BL19" s="361" t="s">
        <v>0</v>
      </c>
      <c r="BM19" s="326" t="str">
        <f t="shared" ref="BM19" si="56">_xlfn.CONCAT("קומה ",BM20)</f>
        <v>קומה 47</v>
      </c>
      <c r="BN19" s="1768" t="s">
        <v>61</v>
      </c>
      <c r="BP19" s="111" t="s">
        <v>0</v>
      </c>
    </row>
    <row r="20" spans="1:68" s="52" customFormat="1" ht="9.9499999999999993" hidden="1" customHeight="1" x14ac:dyDescent="0.15">
      <c r="A20" s="1766"/>
      <c r="B20" s="329">
        <f t="shared" ref="B20:B64" si="57">B24+1</f>
        <v>47</v>
      </c>
      <c r="C20" s="278" t="s">
        <v>89</v>
      </c>
      <c r="D20" s="56"/>
      <c r="E20" s="55"/>
      <c r="F20" s="55"/>
      <c r="G20" s="55"/>
      <c r="H20" s="66" t="str">
        <f>VLOOKUP("*"&amp;H$5&amp;".Ap."&amp;H19,Check[],1,FALSE)</f>
        <v>O.P.4D.TS.Ap.328</v>
      </c>
      <c r="I20" s="64" t="str">
        <f t="shared" ref="I20" si="58">H20</f>
        <v>O.P.4D.TS.Ap.328</v>
      </c>
      <c r="J20" s="64" t="str">
        <f t="shared" ref="J20" si="59">I20</f>
        <v>O.P.4D.TS.Ap.328</v>
      </c>
      <c r="K20" s="64" t="str">
        <f t="shared" ref="K20" si="60">J20</f>
        <v>O.P.4D.TS.Ap.328</v>
      </c>
      <c r="L20" s="64" t="str">
        <f t="shared" ref="L20" si="61">K20</f>
        <v>O.P.4D.TS.Ap.328</v>
      </c>
      <c r="M20" s="64" t="str">
        <f t="shared" ref="M20" si="62">L20</f>
        <v>O.P.4D.TS.Ap.328</v>
      </c>
      <c r="N20" s="68" t="str">
        <f t="shared" ref="N20" si="63">M20</f>
        <v>O.P.4D.TS.Ap.328</v>
      </c>
      <c r="O20" s="64" t="str">
        <f>VLOOKUP("*"&amp;O$5&amp;".Ap."&amp;O19,Check[],1,FALSE)</f>
        <v>O.P.4E.TS.Ap.329</v>
      </c>
      <c r="P20" s="64" t="str">
        <f t="shared" ref="P20:Q20" si="64">O20</f>
        <v>O.P.4E.TS.Ap.329</v>
      </c>
      <c r="Q20" s="68" t="str">
        <f t="shared" si="64"/>
        <v>O.P.4E.TS.Ap.329</v>
      </c>
      <c r="R20" s="64" t="str">
        <f>VLOOKUP("*"&amp;R$5&amp;".Ap."&amp;R19,Check[],1,FALSE)</f>
        <v>O.P.4F.TS.Ap.330</v>
      </c>
      <c r="S20" s="64" t="str">
        <f t="shared" ref="S20:U20" si="65">R20</f>
        <v>O.P.4F.TS.Ap.330</v>
      </c>
      <c r="T20" s="68" t="str">
        <f t="shared" si="65"/>
        <v>O.P.4F.TS.Ap.330</v>
      </c>
      <c r="U20" s="68" t="str">
        <f t="shared" si="65"/>
        <v>O.P.4F.TS.Ap.330</v>
      </c>
      <c r="V20" s="64" t="str">
        <f>VLOOKUP("*"&amp;V$5&amp;".Ap."&amp;V19,Check[],1,FALSE)</f>
        <v>O.P.5AP.TS.Ap.331</v>
      </c>
      <c r="W20" s="64" t="str">
        <f t="shared" ref="W20:W64" si="66">V20</f>
        <v>O.P.5AP.TS.Ap.331</v>
      </c>
      <c r="X20" s="64" t="str">
        <f t="shared" ref="X20" si="67">V20</f>
        <v>O.P.5AP.TS.Ap.331</v>
      </c>
      <c r="Y20" s="64" t="str">
        <f>VLOOKUP("*"&amp;Y$5&amp;".Ap."&amp;Y19,Check[],1,FALSE)</f>
        <v>V.GMC.P.5BP.TS.Ap.332</v>
      </c>
      <c r="Z20" s="65" t="str">
        <f t="shared" ref="Z20:Z64" si="68">Y20</f>
        <v>V.GMC.P.5BP.TS.Ap.332</v>
      </c>
      <c r="AA20" s="65" t="str">
        <f t="shared" ref="AA20" si="69">Y20</f>
        <v>V.GMC.P.5BP.TS.Ap.332</v>
      </c>
      <c r="AC20" s="50"/>
      <c r="AD20" s="50"/>
      <c r="AE20" s="50"/>
      <c r="AF20" s="50"/>
      <c r="AG20" s="50"/>
      <c r="AH20" s="50"/>
      <c r="AI20" s="50"/>
      <c r="AJ20" s="50"/>
      <c r="AK20" s="50"/>
      <c r="AL20" s="50"/>
      <c r="AM20" s="50"/>
      <c r="AN20" s="58"/>
      <c r="AO20" s="76" t="str">
        <f>VLOOKUP("*"&amp;AO$5&amp;".Ap."&amp;AO19,Check[],1,FALSE)</f>
        <v>O.P.5BP.TN.Ap.326</v>
      </c>
      <c r="AP20" s="68" t="str">
        <f t="shared" ref="AP20" si="70">AO20</f>
        <v>O.P.5BP.TN.Ap.326</v>
      </c>
      <c r="AQ20" s="72" t="str">
        <f>VLOOKUP("*"&amp;AQ$5&amp;".Ap."&amp;AQ19,Check[],1,FALSE)</f>
        <v>O.P.5AP.TN.Ap.325</v>
      </c>
      <c r="AR20" s="68" t="str">
        <f t="shared" ref="AR20" si="71">AQ20</f>
        <v>O.P.5AP.TN.Ap.325</v>
      </c>
      <c r="AS20" s="72" t="str">
        <f>VLOOKUP("*"&amp;AS$5&amp;".Ap."&amp;AS19,Check[],1,FALSE)</f>
        <v>S.P.4F.TN.Ap.324</v>
      </c>
      <c r="AT20" s="67" t="str">
        <f t="shared" ref="AT20:AV20" si="72">AS20</f>
        <v>S.P.4F.TN.Ap.324</v>
      </c>
      <c r="AU20" s="67" t="str">
        <f t="shared" si="72"/>
        <v>S.P.4F.TN.Ap.324</v>
      </c>
      <c r="AV20" s="68" t="str">
        <f t="shared" si="72"/>
        <v>S.P.4F.TN.Ap.324</v>
      </c>
      <c r="AW20" s="72" t="str">
        <f>VLOOKUP("*"&amp;AW$5&amp;".Ap."&amp;AW19,Check[],1,FALSE)</f>
        <v>O.P.4E.TN.Ap.323</v>
      </c>
      <c r="AX20" s="67" t="str">
        <f t="shared" ref="AX20:AZ20" si="73">AW20</f>
        <v>O.P.4E.TN.Ap.323</v>
      </c>
      <c r="AY20" s="68" t="str">
        <f t="shared" si="73"/>
        <v>O.P.4E.TN.Ap.323</v>
      </c>
      <c r="AZ20" s="68" t="str">
        <f t="shared" si="73"/>
        <v>O.P.4E.TN.Ap.323</v>
      </c>
      <c r="BA20" s="72" t="str">
        <f>VLOOKUP("*"&amp;BA$5&amp;".Ap."&amp;BA19,Check[],1,FALSE)</f>
        <v>V.GMS.P.4D.TN.Ap.322</v>
      </c>
      <c r="BB20" s="67" t="str">
        <f t="shared" ref="BB20" si="74">BA20</f>
        <v>V.GMS.P.4D.TN.Ap.322</v>
      </c>
      <c r="BC20" s="77" t="str">
        <f t="shared" ref="BC20" si="75">BB20</f>
        <v>V.GMS.P.4D.TN.Ap.322</v>
      </c>
      <c r="BD20" s="77" t="str">
        <f t="shared" ref="BD20" si="76">BC20</f>
        <v>V.GMS.P.4D.TN.Ap.322</v>
      </c>
      <c r="BE20" s="77" t="str">
        <f t="shared" ref="BE20" si="77">BD20</f>
        <v>V.GMS.P.4D.TN.Ap.322</v>
      </c>
      <c r="BF20" s="77" t="str">
        <f t="shared" ref="BF20" si="78">BE20</f>
        <v>V.GMS.P.4D.TN.Ap.322</v>
      </c>
      <c r="BG20" s="79" t="str">
        <f t="shared" ref="BG20" si="79">BF20</f>
        <v>V.GMS.P.4D.TN.Ap.322</v>
      </c>
      <c r="BH20" s="55"/>
      <c r="BI20" s="55"/>
      <c r="BJ20" s="55"/>
      <c r="BK20" s="57"/>
      <c r="BL20" s="361" t="s">
        <v>89</v>
      </c>
      <c r="BM20" s="329">
        <f t="shared" ref="BM20:BM64" si="80">BM24+1</f>
        <v>47</v>
      </c>
      <c r="BN20" s="1768"/>
      <c r="BP20" s="53" t="s">
        <v>89</v>
      </c>
    </row>
    <row r="21" spans="1:68" s="8" customFormat="1" ht="12" customHeight="1" x14ac:dyDescent="0.25">
      <c r="A21" s="1766"/>
      <c r="B21" s="330"/>
      <c r="C21" s="279" t="s">
        <v>65</v>
      </c>
      <c r="D21" s="25"/>
      <c r="E21" s="21"/>
      <c r="F21" s="21"/>
      <c r="G21" s="21"/>
      <c r="H21" s="230">
        <f>VLOOKUP(H20,Check[],5,FALSE)</f>
        <v>328</v>
      </c>
      <c r="I21" s="241"/>
      <c r="J21" s="241"/>
      <c r="K21" s="241"/>
      <c r="L21" s="241"/>
      <c r="M21" s="241"/>
      <c r="N21" s="242"/>
      <c r="O21" s="237">
        <f>VLOOKUP(O20,Check[],5,FALSE)</f>
        <v>329</v>
      </c>
      <c r="P21" s="237"/>
      <c r="Q21" s="232"/>
      <c r="R21" s="237">
        <f>VLOOKUP(R20,Check[],5,FALSE)</f>
        <v>330</v>
      </c>
      <c r="S21" s="237"/>
      <c r="T21" s="232"/>
      <c r="U21" s="232"/>
      <c r="V21" s="237">
        <f>VLOOKUP(V20,Check[],5,FALSE)</f>
        <v>331</v>
      </c>
      <c r="W21" s="237"/>
      <c r="X21" s="237"/>
      <c r="Y21" s="237">
        <f>VLOOKUP(Y20,Check[],5,FALSE)</f>
        <v>332</v>
      </c>
      <c r="Z21" s="233"/>
      <c r="AA21" s="233"/>
      <c r="AB21" s="12"/>
      <c r="AC21" s="19"/>
      <c r="AD21" s="19"/>
      <c r="AE21" s="19"/>
      <c r="AF21" s="19"/>
      <c r="AG21" s="19"/>
      <c r="AH21" s="19"/>
      <c r="AI21" s="19"/>
      <c r="AJ21" s="19"/>
      <c r="AK21" s="19"/>
      <c r="AL21" s="19"/>
      <c r="AM21" s="19"/>
      <c r="AN21" s="17" t="s">
        <v>109</v>
      </c>
      <c r="AO21" s="234">
        <f>VLOOKUP(AO20,Check[],5,FALSE)</f>
        <v>326</v>
      </c>
      <c r="AP21" s="240"/>
      <c r="AQ21" s="243">
        <f>VLOOKUP(AQ20,Check[],5,FALSE)</f>
        <v>325</v>
      </c>
      <c r="AR21" s="240"/>
      <c r="AS21" s="243">
        <f>VLOOKUP(AS20,Check[],5,FALSE)</f>
        <v>324</v>
      </c>
      <c r="AT21" s="231"/>
      <c r="AU21" s="231"/>
      <c r="AV21" s="240"/>
      <c r="AW21" s="243">
        <f>VLOOKUP(AW20,Check[],5,FALSE)</f>
        <v>323</v>
      </c>
      <c r="AX21" s="244"/>
      <c r="AY21" s="242"/>
      <c r="AZ21" s="242"/>
      <c r="BA21" s="243">
        <f>VLOOKUP(BA20,Check[],5,FALSE)</f>
        <v>322</v>
      </c>
      <c r="BB21" s="244"/>
      <c r="BC21" s="245"/>
      <c r="BD21" s="245"/>
      <c r="BE21" s="245"/>
      <c r="BF21" s="245"/>
      <c r="BG21" s="246"/>
      <c r="BH21" s="21"/>
      <c r="BI21" s="21"/>
      <c r="BJ21" s="21"/>
      <c r="BK21" s="31"/>
      <c r="BL21" s="362" t="s">
        <v>65</v>
      </c>
      <c r="BM21" s="330"/>
      <c r="BN21" s="1768"/>
      <c r="BP21" s="236" t="s">
        <v>1078</v>
      </c>
    </row>
    <row r="22" spans="1:68" s="196" customFormat="1" ht="15" customHeight="1" thickBot="1" x14ac:dyDescent="0.35">
      <c r="A22" s="1767"/>
      <c r="B22" s="187">
        <f t="shared" ref="B22" si="81">B26+3.6</f>
        <v>171.64</v>
      </c>
      <c r="C22" s="280" t="s">
        <v>1</v>
      </c>
      <c r="D22" s="204"/>
      <c r="E22" s="203"/>
      <c r="F22" s="203"/>
      <c r="G22" s="203"/>
      <c r="H22" s="188">
        <f>VLOOKUP(H20,Check[],6,FALSE)</f>
        <v>4701</v>
      </c>
      <c r="I22" s="206"/>
      <c r="J22" s="206"/>
      <c r="K22" s="206"/>
      <c r="L22" s="206"/>
      <c r="M22" s="206"/>
      <c r="N22" s="207"/>
      <c r="O22" s="199">
        <f>VLOOKUP(O20,Check[],6,FALSE)</f>
        <v>4702</v>
      </c>
      <c r="P22" s="199"/>
      <c r="Q22" s="190"/>
      <c r="R22" s="199">
        <f>VLOOKUP(R20,Check[],6,FALSE)</f>
        <v>4703</v>
      </c>
      <c r="S22" s="199"/>
      <c r="T22" s="190"/>
      <c r="U22" s="190"/>
      <c r="V22" s="199">
        <f>VLOOKUP(V20,Check[],6,FALSE)</f>
        <v>4704</v>
      </c>
      <c r="W22" s="199"/>
      <c r="X22" s="199"/>
      <c r="Y22" s="199">
        <f>VLOOKUP(Y20,Check[],6,FALSE)</f>
        <v>4705</v>
      </c>
      <c r="Z22" s="191"/>
      <c r="AA22" s="191"/>
      <c r="AB22" s="208"/>
      <c r="AC22" s="209"/>
      <c r="AD22" s="209"/>
      <c r="AE22" s="209"/>
      <c r="AF22" s="209"/>
      <c r="AG22" s="209"/>
      <c r="AH22" s="209"/>
      <c r="AI22" s="192"/>
      <c r="AJ22" s="192"/>
      <c r="AK22" s="192"/>
      <c r="AL22" s="192"/>
      <c r="AM22" s="192"/>
      <c r="AN22" s="210">
        <v>121</v>
      </c>
      <c r="AO22" s="194">
        <f>VLOOKUP(AO20,Check[],6,FALSE)</f>
        <v>4702</v>
      </c>
      <c r="AP22" s="202"/>
      <c r="AQ22" s="211">
        <f>VLOOKUP(AQ20,Check[],6,FALSE)</f>
        <v>4703</v>
      </c>
      <c r="AR22" s="202"/>
      <c r="AS22" s="211">
        <f>VLOOKUP(AS20,Check[],6,FALSE)</f>
        <v>4704</v>
      </c>
      <c r="AT22" s="189"/>
      <c r="AU22" s="189"/>
      <c r="AV22" s="202"/>
      <c r="AW22" s="211">
        <f>VLOOKUP(AW20,Check[],6,FALSE)</f>
        <v>4705</v>
      </c>
      <c r="AX22" s="212"/>
      <c r="AY22" s="207"/>
      <c r="AZ22" s="207"/>
      <c r="BA22" s="211">
        <f>VLOOKUP(BA20,Check[],6,FALSE)</f>
        <v>4701</v>
      </c>
      <c r="BB22" s="212"/>
      <c r="BC22" s="213"/>
      <c r="BD22" s="213"/>
      <c r="BE22" s="213"/>
      <c r="BF22" s="213"/>
      <c r="BG22" s="214"/>
      <c r="BH22" s="203"/>
      <c r="BI22" s="203"/>
      <c r="BJ22" s="203"/>
      <c r="BK22" s="205"/>
      <c r="BL22" s="363" t="s">
        <v>1</v>
      </c>
      <c r="BM22" s="187">
        <f t="shared" ref="BM22" si="82">BM26+3.6</f>
        <v>171.64</v>
      </c>
      <c r="BN22" s="1769"/>
      <c r="BP22" s="197" t="s">
        <v>1</v>
      </c>
    </row>
    <row r="23" spans="1:68" s="110" customFormat="1" ht="21.95" customHeight="1" thickTop="1" thickBot="1" x14ac:dyDescent="0.4">
      <c r="A23" s="1766"/>
      <c r="B23" s="326" t="str">
        <f t="shared" ref="B23" si="83">_xlfn.CONCAT("קומה ",B24)</f>
        <v>קומה 46</v>
      </c>
      <c r="C23" s="278" t="s">
        <v>0</v>
      </c>
      <c r="D23" s="117"/>
      <c r="E23" s="116"/>
      <c r="F23" s="116"/>
      <c r="G23" s="116"/>
      <c r="H23" s="104">
        <f t="shared" ref="H23" si="84">H27+5</f>
        <v>323</v>
      </c>
      <c r="I23" s="120"/>
      <c r="J23" s="120"/>
      <c r="K23" s="120"/>
      <c r="L23" s="120"/>
      <c r="M23" s="120"/>
      <c r="N23" s="115"/>
      <c r="O23" s="112">
        <f t="shared" ref="O23" si="85">O27+5</f>
        <v>324</v>
      </c>
      <c r="P23" s="112"/>
      <c r="Q23" s="106"/>
      <c r="R23" s="112">
        <f t="shared" ref="R23" si="86">R27+5</f>
        <v>325</v>
      </c>
      <c r="S23" s="112"/>
      <c r="T23" s="106"/>
      <c r="U23" s="106"/>
      <c r="V23" s="112">
        <f t="shared" ref="V23" si="87">V27+5</f>
        <v>326</v>
      </c>
      <c r="W23" s="112"/>
      <c r="X23" s="112"/>
      <c r="Y23" s="112">
        <f t="shared" ref="Y23" si="88">Y27+5</f>
        <v>327</v>
      </c>
      <c r="Z23" s="121"/>
      <c r="AA23" s="121"/>
      <c r="AB23" s="125"/>
      <c r="AC23" s="1895" t="s">
        <v>51</v>
      </c>
      <c r="AD23" s="1896"/>
      <c r="AE23" s="1896"/>
      <c r="AF23" s="1896"/>
      <c r="AG23" s="1896"/>
      <c r="AH23" s="1892" t="s">
        <v>147</v>
      </c>
      <c r="AI23" s="1896" t="s">
        <v>52</v>
      </c>
      <c r="AJ23" s="1896"/>
      <c r="AK23" s="1896"/>
      <c r="AL23" s="1896"/>
      <c r="AM23" s="1897"/>
      <c r="AN23" s="126">
        <v>122</v>
      </c>
      <c r="AO23" s="108">
        <f t="shared" ref="AO23" si="89">AO27+5</f>
        <v>321</v>
      </c>
      <c r="AP23" s="115"/>
      <c r="AQ23" s="123">
        <f t="shared" ref="AQ23" si="90">AQ27+5</f>
        <v>320</v>
      </c>
      <c r="AR23" s="115"/>
      <c r="AS23" s="123">
        <f t="shared" ref="AS23" si="91">AS27+5</f>
        <v>319</v>
      </c>
      <c r="AT23" s="105"/>
      <c r="AU23" s="105"/>
      <c r="AV23" s="115"/>
      <c r="AW23" s="123">
        <f t="shared" ref="AW23" si="92">AW27+5</f>
        <v>318</v>
      </c>
      <c r="AX23" s="105"/>
      <c r="AY23" s="115"/>
      <c r="AZ23" s="115"/>
      <c r="BA23" s="123">
        <f t="shared" ref="BA23" si="93">BA27+5</f>
        <v>317</v>
      </c>
      <c r="BB23" s="105"/>
      <c r="BC23" s="109"/>
      <c r="BD23" s="109"/>
      <c r="BE23" s="109"/>
      <c r="BF23" s="109"/>
      <c r="BG23" s="124"/>
      <c r="BH23" s="116"/>
      <c r="BI23" s="116"/>
      <c r="BJ23" s="116"/>
      <c r="BK23" s="119"/>
      <c r="BL23" s="361" t="s">
        <v>0</v>
      </c>
      <c r="BM23" s="326" t="str">
        <f t="shared" ref="BM23" si="94">_xlfn.CONCAT("קומה ",BM24)</f>
        <v>קומה 46</v>
      </c>
      <c r="BN23" s="1768"/>
      <c r="BP23" s="111" t="s">
        <v>0</v>
      </c>
    </row>
    <row r="24" spans="1:68" s="52" customFormat="1" ht="9.9499999999999993" hidden="1" customHeight="1" thickTop="1" x14ac:dyDescent="0.15">
      <c r="A24" s="1766"/>
      <c r="B24" s="329">
        <f t="shared" si="57"/>
        <v>46</v>
      </c>
      <c r="C24" s="278" t="s">
        <v>89</v>
      </c>
      <c r="D24" s="56"/>
      <c r="E24" s="55"/>
      <c r="F24" s="55"/>
      <c r="G24" s="55"/>
      <c r="H24" s="66" t="str">
        <f>VLOOKUP("*"&amp;H$5&amp;".Ap."&amp;H23,Check[],1,FALSE)</f>
        <v>O.P.4D.TS.Ap.323</v>
      </c>
      <c r="I24" s="64" t="str">
        <f t="shared" ref="I24" si="95">H24</f>
        <v>O.P.4D.TS.Ap.323</v>
      </c>
      <c r="J24" s="64" t="str">
        <f t="shared" ref="J24" si="96">I24</f>
        <v>O.P.4D.TS.Ap.323</v>
      </c>
      <c r="K24" s="64" t="str">
        <f t="shared" ref="K24" si="97">J24</f>
        <v>O.P.4D.TS.Ap.323</v>
      </c>
      <c r="L24" s="64" t="str">
        <f t="shared" ref="L24" si="98">K24</f>
        <v>O.P.4D.TS.Ap.323</v>
      </c>
      <c r="M24" s="64" t="str">
        <f t="shared" ref="M24" si="99">L24</f>
        <v>O.P.4D.TS.Ap.323</v>
      </c>
      <c r="N24" s="68" t="str">
        <f t="shared" ref="N24" si="100">M24</f>
        <v>O.P.4D.TS.Ap.323</v>
      </c>
      <c r="O24" s="64" t="str">
        <f>VLOOKUP("*"&amp;O$5&amp;".Ap."&amp;O23,Check[],1,FALSE)</f>
        <v>O.P.4E.TS.Ap.324</v>
      </c>
      <c r="P24" s="64" t="str">
        <f t="shared" ref="P24:Q24" si="101">O24</f>
        <v>O.P.4E.TS.Ap.324</v>
      </c>
      <c r="Q24" s="68" t="str">
        <f t="shared" si="101"/>
        <v>O.P.4E.TS.Ap.324</v>
      </c>
      <c r="R24" s="64" t="str">
        <f>VLOOKUP("*"&amp;R$5&amp;".Ap."&amp;R23,Check[],1,FALSE)</f>
        <v>O.P.4F.TS.Ap.325</v>
      </c>
      <c r="S24" s="64" t="str">
        <f t="shared" ref="S24:U24" si="102">R24</f>
        <v>O.P.4F.TS.Ap.325</v>
      </c>
      <c r="T24" s="68" t="str">
        <f t="shared" si="102"/>
        <v>O.P.4F.TS.Ap.325</v>
      </c>
      <c r="U24" s="68" t="str">
        <f t="shared" si="102"/>
        <v>O.P.4F.TS.Ap.325</v>
      </c>
      <c r="V24" s="64" t="str">
        <f>VLOOKUP("*"&amp;V$5&amp;".Ap."&amp;V23,Check[],1,FALSE)</f>
        <v>O.P.5AP.TS.Ap.326</v>
      </c>
      <c r="W24" s="64" t="str">
        <f t="shared" si="66"/>
        <v>O.P.5AP.TS.Ap.326</v>
      </c>
      <c r="X24" s="64" t="str">
        <f t="shared" ref="X24" si="103">V24</f>
        <v>O.P.5AP.TS.Ap.326</v>
      </c>
      <c r="Y24" s="64" t="str">
        <f>VLOOKUP("*"&amp;Y$5&amp;".Ap."&amp;Y23,Check[],1,FALSE)</f>
        <v>V.GMC.P.5BP.TS.Ap.327</v>
      </c>
      <c r="Z24" s="65" t="str">
        <f t="shared" si="68"/>
        <v>V.GMC.P.5BP.TS.Ap.327</v>
      </c>
      <c r="AA24" s="65" t="str">
        <f t="shared" ref="AA24" si="104">Y24</f>
        <v>V.GMC.P.5BP.TS.Ap.327</v>
      </c>
      <c r="AB24" s="59"/>
      <c r="AC24" s="311"/>
      <c r="AD24" s="312"/>
      <c r="AE24" s="312"/>
      <c r="AF24" s="312"/>
      <c r="AG24" s="312"/>
      <c r="AH24" s="1893"/>
      <c r="AI24" s="312"/>
      <c r="AJ24" s="312"/>
      <c r="AK24" s="312"/>
      <c r="AL24" s="312"/>
      <c r="AM24" s="313"/>
      <c r="AN24" s="60"/>
      <c r="AO24" s="76" t="str">
        <f>VLOOKUP("*"&amp;AO$5&amp;".Ap."&amp;AO23,Check[],1,FALSE)</f>
        <v>V.GMC.P.5BP.TN.Ap.321</v>
      </c>
      <c r="AP24" s="68" t="str">
        <f t="shared" ref="AP24" si="105">AO24</f>
        <v>V.GMC.P.5BP.TN.Ap.321</v>
      </c>
      <c r="AQ24" s="72" t="str">
        <f>VLOOKUP("*"&amp;AQ$5&amp;".Ap."&amp;AQ23,Check[],1,FALSE)</f>
        <v>O.P.5AP.TN.Ap.320</v>
      </c>
      <c r="AR24" s="68" t="str">
        <f t="shared" ref="AR24" si="106">AQ24</f>
        <v>O.P.5AP.TN.Ap.320</v>
      </c>
      <c r="AS24" s="72" t="str">
        <f>VLOOKUP("*"&amp;AS$5&amp;".Ap."&amp;AS23,Check[],1,FALSE)</f>
        <v>S.P.4F.TN.Ap.319</v>
      </c>
      <c r="AT24" s="67" t="str">
        <f t="shared" ref="AT24:AV24" si="107">AS24</f>
        <v>S.P.4F.TN.Ap.319</v>
      </c>
      <c r="AU24" s="67" t="str">
        <f t="shared" si="107"/>
        <v>S.P.4F.TN.Ap.319</v>
      </c>
      <c r="AV24" s="68" t="str">
        <f t="shared" si="107"/>
        <v>S.P.4F.TN.Ap.319</v>
      </c>
      <c r="AW24" s="72" t="str">
        <f>VLOOKUP("*"&amp;AW$5&amp;".Ap."&amp;AW23,Check[],1,FALSE)</f>
        <v>O.P.4E.TN.Ap.318</v>
      </c>
      <c r="AX24" s="67" t="str">
        <f t="shared" ref="AX24:AZ24" si="108">AW24</f>
        <v>O.P.4E.TN.Ap.318</v>
      </c>
      <c r="AY24" s="68" t="str">
        <f t="shared" si="108"/>
        <v>O.P.4E.TN.Ap.318</v>
      </c>
      <c r="AZ24" s="68" t="str">
        <f t="shared" si="108"/>
        <v>O.P.4E.TN.Ap.318</v>
      </c>
      <c r="BA24" s="72" t="str">
        <f>VLOOKUP("*"&amp;BA$5&amp;".Ap."&amp;BA23,Check[],1,FALSE)</f>
        <v>V.DS.P.4D.TN.Ap.317</v>
      </c>
      <c r="BB24" s="67" t="str">
        <f t="shared" ref="BB24" si="109">BA24</f>
        <v>V.DS.P.4D.TN.Ap.317</v>
      </c>
      <c r="BC24" s="77" t="str">
        <f t="shared" ref="BC24" si="110">BB24</f>
        <v>V.DS.P.4D.TN.Ap.317</v>
      </c>
      <c r="BD24" s="77" t="str">
        <f t="shared" ref="BD24" si="111">BC24</f>
        <v>V.DS.P.4D.TN.Ap.317</v>
      </c>
      <c r="BE24" s="77" t="str">
        <f t="shared" ref="BE24" si="112">BD24</f>
        <v>V.DS.P.4D.TN.Ap.317</v>
      </c>
      <c r="BF24" s="77" t="str">
        <f t="shared" ref="BF24" si="113">BE24</f>
        <v>V.DS.P.4D.TN.Ap.317</v>
      </c>
      <c r="BG24" s="79" t="str">
        <f t="shared" ref="BG24" si="114">BF24</f>
        <v>V.DS.P.4D.TN.Ap.317</v>
      </c>
      <c r="BH24" s="55"/>
      <c r="BI24" s="55"/>
      <c r="BJ24" s="55"/>
      <c r="BK24" s="57"/>
      <c r="BL24" s="361" t="s">
        <v>89</v>
      </c>
      <c r="BM24" s="329">
        <f t="shared" si="80"/>
        <v>46</v>
      </c>
      <c r="BN24" s="1768"/>
      <c r="BP24" s="53" t="s">
        <v>89</v>
      </c>
    </row>
    <row r="25" spans="1:68" s="8" customFormat="1" ht="12" customHeight="1" thickTop="1" x14ac:dyDescent="0.25">
      <c r="A25" s="1766"/>
      <c r="B25" s="330"/>
      <c r="C25" s="279" t="s">
        <v>65</v>
      </c>
      <c r="D25" s="25"/>
      <c r="E25" s="21"/>
      <c r="F25" s="21"/>
      <c r="G25" s="21"/>
      <c r="H25" s="230">
        <f>VLOOKUP(H24,Check[],5,FALSE)</f>
        <v>323</v>
      </c>
      <c r="I25" s="241"/>
      <c r="J25" s="241"/>
      <c r="K25" s="241"/>
      <c r="L25" s="241"/>
      <c r="M25" s="241"/>
      <c r="N25" s="242"/>
      <c r="O25" s="237">
        <f>VLOOKUP(O24,Check[],5,FALSE)</f>
        <v>324</v>
      </c>
      <c r="P25" s="237"/>
      <c r="Q25" s="232"/>
      <c r="R25" s="237">
        <f>VLOOKUP(R24,Check[],5,FALSE)</f>
        <v>325</v>
      </c>
      <c r="S25" s="237"/>
      <c r="T25" s="232"/>
      <c r="U25" s="232"/>
      <c r="V25" s="237">
        <f>VLOOKUP(V24,Check[],5,FALSE)</f>
        <v>326</v>
      </c>
      <c r="W25" s="237"/>
      <c r="X25" s="237"/>
      <c r="Y25" s="237">
        <f>VLOOKUP(Y24,Check[],5,FALSE)</f>
        <v>327</v>
      </c>
      <c r="Z25" s="233"/>
      <c r="AA25" s="233"/>
      <c r="AB25" s="12"/>
      <c r="AC25" s="1898" t="s">
        <v>1</v>
      </c>
      <c r="AD25" s="1900" t="s">
        <v>1207</v>
      </c>
      <c r="AE25" s="1902" t="s">
        <v>132</v>
      </c>
      <c r="AF25" s="1904" t="s">
        <v>91</v>
      </c>
      <c r="AG25" s="1906" t="s">
        <v>64</v>
      </c>
      <c r="AH25" s="1893"/>
      <c r="AI25" s="1908" t="s">
        <v>64</v>
      </c>
      <c r="AJ25" s="1910" t="s">
        <v>91</v>
      </c>
      <c r="AK25" s="1902" t="s">
        <v>132</v>
      </c>
      <c r="AL25" s="1912" t="s">
        <v>1207</v>
      </c>
      <c r="AM25" s="1890" t="s">
        <v>1</v>
      </c>
      <c r="AN25" s="17">
        <v>123</v>
      </c>
      <c r="AO25" s="234">
        <f>VLOOKUP(AO24,Check[],5,FALSE)</f>
        <v>321</v>
      </c>
      <c r="AP25" s="240"/>
      <c r="AQ25" s="243">
        <f>VLOOKUP(AQ24,Check[],5,FALSE)</f>
        <v>320</v>
      </c>
      <c r="AR25" s="240"/>
      <c r="AS25" s="243">
        <f>VLOOKUP(AS24,Check[],5,FALSE)</f>
        <v>319</v>
      </c>
      <c r="AT25" s="231"/>
      <c r="AU25" s="231"/>
      <c r="AV25" s="240"/>
      <c r="AW25" s="243">
        <f>VLOOKUP(AW24,Check[],5,FALSE)</f>
        <v>318</v>
      </c>
      <c r="AX25" s="244"/>
      <c r="AY25" s="242"/>
      <c r="AZ25" s="242"/>
      <c r="BA25" s="243">
        <f>VLOOKUP(BA24,Check[],5,FALSE)</f>
        <v>317</v>
      </c>
      <c r="BB25" s="244"/>
      <c r="BC25" s="245"/>
      <c r="BD25" s="245"/>
      <c r="BE25" s="245"/>
      <c r="BF25" s="245"/>
      <c r="BG25" s="246"/>
      <c r="BH25" s="21"/>
      <c r="BI25" s="21"/>
      <c r="BJ25" s="21"/>
      <c r="BK25" s="31"/>
      <c r="BL25" s="362" t="s">
        <v>65</v>
      </c>
      <c r="BM25" s="330"/>
      <c r="BN25" s="1768"/>
      <c r="BP25" s="236" t="s">
        <v>1078</v>
      </c>
    </row>
    <row r="26" spans="1:68" s="196" customFormat="1" ht="15" customHeight="1" thickBot="1" x14ac:dyDescent="0.35">
      <c r="A26" s="1767"/>
      <c r="B26" s="187">
        <f t="shared" ref="B26" si="115">B30+3.6</f>
        <v>168.04</v>
      </c>
      <c r="C26" s="280" t="s">
        <v>1</v>
      </c>
      <c r="D26" s="204"/>
      <c r="E26" s="203"/>
      <c r="F26" s="203"/>
      <c r="G26" s="203"/>
      <c r="H26" s="188">
        <f>VLOOKUP(H24,Check[],6,FALSE)</f>
        <v>4601</v>
      </c>
      <c r="I26" s="206"/>
      <c r="J26" s="206"/>
      <c r="K26" s="206"/>
      <c r="L26" s="206"/>
      <c r="M26" s="206"/>
      <c r="N26" s="207"/>
      <c r="O26" s="199">
        <f>VLOOKUP(O24,Check[],6,FALSE)</f>
        <v>4602</v>
      </c>
      <c r="P26" s="199"/>
      <c r="Q26" s="190"/>
      <c r="R26" s="199">
        <f>VLOOKUP(R24,Check[],6,FALSE)</f>
        <v>4603</v>
      </c>
      <c r="S26" s="199"/>
      <c r="T26" s="190"/>
      <c r="U26" s="190"/>
      <c r="V26" s="199">
        <f>VLOOKUP(V24,Check[],6,FALSE)</f>
        <v>4604</v>
      </c>
      <c r="W26" s="199"/>
      <c r="X26" s="199"/>
      <c r="Y26" s="199">
        <f>VLOOKUP(Y24,Check[],6,FALSE)</f>
        <v>4605</v>
      </c>
      <c r="Z26" s="191"/>
      <c r="AA26" s="191"/>
      <c r="AB26" s="208"/>
      <c r="AC26" s="1899"/>
      <c r="AD26" s="1901"/>
      <c r="AE26" s="1903"/>
      <c r="AF26" s="1905"/>
      <c r="AG26" s="1907"/>
      <c r="AH26" s="1894"/>
      <c r="AI26" s="1909"/>
      <c r="AJ26" s="1911"/>
      <c r="AK26" s="1903"/>
      <c r="AL26" s="1913"/>
      <c r="AM26" s="1891"/>
      <c r="AN26" s="210">
        <v>124</v>
      </c>
      <c r="AO26" s="194">
        <f>VLOOKUP(AO24,Check[],6,FALSE)</f>
        <v>4602</v>
      </c>
      <c r="AP26" s="202"/>
      <c r="AQ26" s="211">
        <f>VLOOKUP(AQ24,Check[],6,FALSE)</f>
        <v>4603</v>
      </c>
      <c r="AR26" s="202"/>
      <c r="AS26" s="211">
        <f>VLOOKUP(AS24,Check[],6,FALSE)</f>
        <v>4604</v>
      </c>
      <c r="AT26" s="189"/>
      <c r="AU26" s="189"/>
      <c r="AV26" s="202"/>
      <c r="AW26" s="211">
        <f>VLOOKUP(AW24,Check[],6,FALSE)</f>
        <v>4605</v>
      </c>
      <c r="AX26" s="212"/>
      <c r="AY26" s="207"/>
      <c r="AZ26" s="207"/>
      <c r="BA26" s="211">
        <f>VLOOKUP(BA24,Check[],6,FALSE)</f>
        <v>4601</v>
      </c>
      <c r="BB26" s="212"/>
      <c r="BC26" s="213"/>
      <c r="BD26" s="213"/>
      <c r="BE26" s="213"/>
      <c r="BF26" s="213"/>
      <c r="BG26" s="214"/>
      <c r="BH26" s="203"/>
      <c r="BI26" s="203"/>
      <c r="BJ26" s="203"/>
      <c r="BK26" s="205"/>
      <c r="BL26" s="363" t="s">
        <v>1</v>
      </c>
      <c r="BM26" s="187">
        <f t="shared" ref="BM26" si="116">BM30+3.6</f>
        <v>168.04</v>
      </c>
      <c r="BN26" s="1769"/>
      <c r="BP26" s="197" t="s">
        <v>1</v>
      </c>
    </row>
    <row r="27" spans="1:68" s="110" customFormat="1" ht="21.95" customHeight="1" x14ac:dyDescent="0.35">
      <c r="A27" s="1766"/>
      <c r="B27" s="326" t="str">
        <f t="shared" ref="B27" si="117">_xlfn.CONCAT("קומה ",B28)</f>
        <v>קומה 45</v>
      </c>
      <c r="C27" s="278" t="s">
        <v>0</v>
      </c>
      <c r="D27" s="117"/>
      <c r="E27" s="116"/>
      <c r="F27" s="116"/>
      <c r="G27" s="116"/>
      <c r="H27" s="104">
        <f t="shared" ref="H27" si="118">H31+5</f>
        <v>318</v>
      </c>
      <c r="I27" s="120"/>
      <c r="J27" s="120"/>
      <c r="K27" s="120"/>
      <c r="L27" s="120"/>
      <c r="M27" s="120"/>
      <c r="N27" s="115"/>
      <c r="O27" s="112">
        <f t="shared" ref="O27" si="119">O31+5</f>
        <v>319</v>
      </c>
      <c r="P27" s="112"/>
      <c r="Q27" s="106"/>
      <c r="R27" s="112">
        <f t="shared" ref="R27" si="120">R31+5</f>
        <v>320</v>
      </c>
      <c r="S27" s="112"/>
      <c r="T27" s="106"/>
      <c r="U27" s="106"/>
      <c r="V27" s="112">
        <f t="shared" ref="V27" si="121">V31+5</f>
        <v>321</v>
      </c>
      <c r="W27" s="112"/>
      <c r="X27" s="112"/>
      <c r="Y27" s="112">
        <f t="shared" ref="Y27" si="122">Y31+5</f>
        <v>322</v>
      </c>
      <c r="Z27" s="121"/>
      <c r="AA27" s="121"/>
      <c r="AB27" s="107"/>
      <c r="AC27" s="127" t="s">
        <v>6</v>
      </c>
      <c r="AD27" s="128">
        <f>COUNTIF(Check[סימון],("V."&amp;"*"&amp;$AC27&amp;"."&amp;AD$5&amp;"*"))</f>
        <v>1</v>
      </c>
      <c r="AE27" s="129">
        <f>COUNTIF(Check[סימון],("S."&amp;"*"&amp;$AC27&amp;"."&amp;AE$5&amp;"*"))</f>
        <v>6</v>
      </c>
      <c r="AF27" s="130">
        <f>COUNTIF(Check[סימון],("O."&amp;"*"&amp;$AC27&amp;"."&amp;AF$5&amp;"*"))</f>
        <v>2</v>
      </c>
      <c r="AG27" s="131">
        <f>SUM(AD27:AF27)</f>
        <v>9</v>
      </c>
      <c r="AH27" s="132">
        <f>SUM(AI27,AG27)</f>
        <v>17</v>
      </c>
      <c r="AI27" s="133">
        <f>SUM(AJ27:AL27)</f>
        <v>8</v>
      </c>
      <c r="AJ27" s="134">
        <f>COUNTIF(Check[סימון],("O."&amp;"*"&amp;$AC27&amp;"."&amp;AJ$5&amp;"*"))</f>
        <v>3</v>
      </c>
      <c r="AK27" s="129">
        <f>COUNTIF(Check[סימון],("S."&amp;"*"&amp;$AC27&amp;"."&amp;AK$5&amp;"*"))</f>
        <v>5</v>
      </c>
      <c r="AL27" s="135">
        <f>COUNTIF(Check[סימון],("V."&amp;"*"&amp;$AC27&amp;"."&amp;AL$5&amp;"*"))</f>
        <v>0</v>
      </c>
      <c r="AM27" s="136" t="s">
        <v>6</v>
      </c>
      <c r="AN27" s="137"/>
      <c r="AO27" s="108">
        <f t="shared" ref="AO27" si="123">AO31+5</f>
        <v>316</v>
      </c>
      <c r="AP27" s="115"/>
      <c r="AQ27" s="123">
        <f t="shared" ref="AQ27" si="124">AQ31+5</f>
        <v>315</v>
      </c>
      <c r="AR27" s="115"/>
      <c r="AS27" s="123">
        <f t="shared" ref="AS27" si="125">AS31+5</f>
        <v>314</v>
      </c>
      <c r="AT27" s="105"/>
      <c r="AU27" s="105"/>
      <c r="AV27" s="115"/>
      <c r="AW27" s="123">
        <f t="shared" ref="AW27" si="126">AW31+5</f>
        <v>313</v>
      </c>
      <c r="AX27" s="105"/>
      <c r="AY27" s="115"/>
      <c r="AZ27" s="115"/>
      <c r="BA27" s="123">
        <f t="shared" ref="BA27" si="127">BA31+5</f>
        <v>312</v>
      </c>
      <c r="BB27" s="105"/>
      <c r="BC27" s="109"/>
      <c r="BD27" s="109"/>
      <c r="BE27" s="109"/>
      <c r="BF27" s="109"/>
      <c r="BG27" s="124"/>
      <c r="BH27" s="116"/>
      <c r="BI27" s="116"/>
      <c r="BJ27" s="116"/>
      <c r="BK27" s="119"/>
      <c r="BL27" s="361" t="s">
        <v>0</v>
      </c>
      <c r="BM27" s="326" t="str">
        <f t="shared" ref="BM27" si="128">_xlfn.CONCAT("קומה ",BM28)</f>
        <v>קומה 45</v>
      </c>
      <c r="BN27" s="1768"/>
      <c r="BP27" s="111" t="s">
        <v>0</v>
      </c>
    </row>
    <row r="28" spans="1:68" s="52" customFormat="1" ht="9.9499999999999993" hidden="1" customHeight="1" x14ac:dyDescent="0.15">
      <c r="A28" s="1766"/>
      <c r="B28" s="329">
        <f t="shared" si="57"/>
        <v>45</v>
      </c>
      <c r="C28" s="278" t="s">
        <v>89</v>
      </c>
      <c r="D28" s="56"/>
      <c r="E28" s="55"/>
      <c r="F28" s="55"/>
      <c r="G28" s="55"/>
      <c r="H28" s="66" t="str">
        <f>VLOOKUP("*"&amp;H$5&amp;".Ap."&amp;H27,Check[],1,FALSE)</f>
        <v>O.P.4D.TS.Ap.318</v>
      </c>
      <c r="I28" s="64" t="str">
        <f t="shared" ref="I28" si="129">H28</f>
        <v>O.P.4D.TS.Ap.318</v>
      </c>
      <c r="J28" s="64" t="str">
        <f t="shared" ref="J28" si="130">I28</f>
        <v>O.P.4D.TS.Ap.318</v>
      </c>
      <c r="K28" s="64" t="str">
        <f t="shared" ref="K28" si="131">J28</f>
        <v>O.P.4D.TS.Ap.318</v>
      </c>
      <c r="L28" s="64" t="str">
        <f t="shared" ref="L28" si="132">K28</f>
        <v>O.P.4D.TS.Ap.318</v>
      </c>
      <c r="M28" s="64" t="str">
        <f t="shared" ref="M28" si="133">L28</f>
        <v>O.P.4D.TS.Ap.318</v>
      </c>
      <c r="N28" s="68" t="str">
        <f t="shared" ref="N28" si="134">M28</f>
        <v>O.P.4D.TS.Ap.318</v>
      </c>
      <c r="O28" s="64" t="str">
        <f>VLOOKUP("*"&amp;O$5&amp;".Ap."&amp;O27,Check[],1,FALSE)</f>
        <v>S.P.4E.TS.Ap.319</v>
      </c>
      <c r="P28" s="64" t="str">
        <f t="shared" ref="P28:Q28" si="135">O28</f>
        <v>S.P.4E.TS.Ap.319</v>
      </c>
      <c r="Q28" s="68" t="str">
        <f t="shared" si="135"/>
        <v>S.P.4E.TS.Ap.319</v>
      </c>
      <c r="R28" s="64" t="str">
        <f>VLOOKUP("*"&amp;R$5&amp;".Ap."&amp;R27,Check[],1,FALSE)</f>
        <v>O.P.4F.TS.Ap.320</v>
      </c>
      <c r="S28" s="64" t="str">
        <f t="shared" ref="S28:U28" si="136">R28</f>
        <v>O.P.4F.TS.Ap.320</v>
      </c>
      <c r="T28" s="68" t="str">
        <f t="shared" si="136"/>
        <v>O.P.4F.TS.Ap.320</v>
      </c>
      <c r="U28" s="68" t="str">
        <f t="shared" si="136"/>
        <v>O.P.4F.TS.Ap.320</v>
      </c>
      <c r="V28" s="64" t="str">
        <f>VLOOKUP("*"&amp;V$5&amp;".Ap."&amp;V27,Check[],1,FALSE)</f>
        <v>O.P.5AP.TS.Ap.321</v>
      </c>
      <c r="W28" s="64" t="str">
        <f t="shared" si="66"/>
        <v>O.P.5AP.TS.Ap.321</v>
      </c>
      <c r="X28" s="64" t="str">
        <f t="shared" ref="X28" si="137">V28</f>
        <v>O.P.5AP.TS.Ap.321</v>
      </c>
      <c r="Y28" s="64" t="str">
        <f>VLOOKUP("*"&amp;Y$5&amp;".Ap."&amp;Y27,Check[],1,FALSE)</f>
        <v>V.GMC.P.5BP.TS.Ap.322</v>
      </c>
      <c r="Z28" s="65" t="str">
        <f t="shared" si="68"/>
        <v>V.GMC.P.5BP.TS.Ap.322</v>
      </c>
      <c r="AA28" s="65" t="str">
        <f t="shared" ref="AA28" si="138">Y28</f>
        <v>V.GMC.P.5BP.TS.Ap.322</v>
      </c>
      <c r="AB28" s="50"/>
      <c r="AC28" s="314"/>
      <c r="AD28" s="317"/>
      <c r="AE28" s="318"/>
      <c r="AF28" s="319"/>
      <c r="AG28" s="320"/>
      <c r="AH28" s="321"/>
      <c r="AI28" s="314"/>
      <c r="AJ28" s="322"/>
      <c r="AK28" s="318"/>
      <c r="AL28" s="323"/>
      <c r="AM28" s="315"/>
      <c r="AN28" s="61"/>
      <c r="AO28" s="76" t="str">
        <f>VLOOKUP("*"&amp;AO$5&amp;".Ap."&amp;AO27,Check[],1,FALSE)</f>
        <v>V.GMC.P.5BP.TN.Ap.316</v>
      </c>
      <c r="AP28" s="68" t="str">
        <f t="shared" ref="AP28" si="139">AO28</f>
        <v>V.GMC.P.5BP.TN.Ap.316</v>
      </c>
      <c r="AQ28" s="72" t="str">
        <f>VLOOKUP("*"&amp;AQ$5&amp;".Ap."&amp;AQ27,Check[],1,FALSE)</f>
        <v>O.P.5AP.TN.Ap.315</v>
      </c>
      <c r="AR28" s="68" t="str">
        <f t="shared" ref="AR28" si="140">AQ28</f>
        <v>O.P.5AP.TN.Ap.315</v>
      </c>
      <c r="AS28" s="72" t="str">
        <f>VLOOKUP("*"&amp;AS$5&amp;".Ap."&amp;AS27,Check[],1,FALSE)</f>
        <v>S.P.4F.TN.Ap.314</v>
      </c>
      <c r="AT28" s="67" t="str">
        <f t="shared" ref="AT28:AV28" si="141">AS28</f>
        <v>S.P.4F.TN.Ap.314</v>
      </c>
      <c r="AU28" s="67" t="str">
        <f t="shared" si="141"/>
        <v>S.P.4F.TN.Ap.314</v>
      </c>
      <c r="AV28" s="68" t="str">
        <f t="shared" si="141"/>
        <v>S.P.4F.TN.Ap.314</v>
      </c>
      <c r="AW28" s="72" t="str">
        <f>VLOOKUP("*"&amp;AW$5&amp;".Ap."&amp;AW27,Check[],1,FALSE)</f>
        <v>S.P.4E.TN.Ap.313</v>
      </c>
      <c r="AX28" s="67" t="str">
        <f t="shared" ref="AX28:AZ28" si="142">AW28</f>
        <v>S.P.4E.TN.Ap.313</v>
      </c>
      <c r="AY28" s="68" t="str">
        <f t="shared" si="142"/>
        <v>S.P.4E.TN.Ap.313</v>
      </c>
      <c r="AZ28" s="68" t="str">
        <f t="shared" si="142"/>
        <v>S.P.4E.TN.Ap.313</v>
      </c>
      <c r="BA28" s="72" t="str">
        <f>VLOOKUP("*"&amp;BA$5&amp;".Ap."&amp;BA27,Check[],1,FALSE)</f>
        <v>O.P.4D.TN.Ap.312</v>
      </c>
      <c r="BB28" s="67" t="str">
        <f t="shared" ref="BB28" si="143">BA28</f>
        <v>O.P.4D.TN.Ap.312</v>
      </c>
      <c r="BC28" s="77" t="str">
        <f t="shared" ref="BC28" si="144">BB28</f>
        <v>O.P.4D.TN.Ap.312</v>
      </c>
      <c r="BD28" s="77" t="str">
        <f t="shared" ref="BD28" si="145">BC28</f>
        <v>O.P.4D.TN.Ap.312</v>
      </c>
      <c r="BE28" s="77" t="str">
        <f t="shared" ref="BE28" si="146">BD28</f>
        <v>O.P.4D.TN.Ap.312</v>
      </c>
      <c r="BF28" s="77" t="str">
        <f t="shared" ref="BF28" si="147">BE28</f>
        <v>O.P.4D.TN.Ap.312</v>
      </c>
      <c r="BG28" s="79" t="str">
        <f t="shared" ref="BG28" si="148">BF28</f>
        <v>O.P.4D.TN.Ap.312</v>
      </c>
      <c r="BH28" s="55"/>
      <c r="BI28" s="55"/>
      <c r="BJ28" s="55"/>
      <c r="BK28" s="57"/>
      <c r="BL28" s="361" t="s">
        <v>89</v>
      </c>
      <c r="BM28" s="329">
        <f t="shared" si="80"/>
        <v>45</v>
      </c>
      <c r="BN28" s="1768"/>
      <c r="BP28" s="53" t="s">
        <v>89</v>
      </c>
    </row>
    <row r="29" spans="1:68" s="8" customFormat="1" ht="12" customHeight="1" x14ac:dyDescent="0.25">
      <c r="A29" s="1766"/>
      <c r="B29" s="330"/>
      <c r="C29" s="279" t="s">
        <v>65</v>
      </c>
      <c r="D29" s="25"/>
      <c r="E29" s="21"/>
      <c r="F29" s="21"/>
      <c r="G29" s="21"/>
      <c r="H29" s="230">
        <f>VLOOKUP(H28,Check[],5,FALSE)</f>
        <v>318</v>
      </c>
      <c r="I29" s="241"/>
      <c r="J29" s="241"/>
      <c r="K29" s="241"/>
      <c r="L29" s="241"/>
      <c r="M29" s="241"/>
      <c r="N29" s="242"/>
      <c r="O29" s="237">
        <f>VLOOKUP(O28,Check[],5,FALSE)</f>
        <v>319</v>
      </c>
      <c r="P29" s="237"/>
      <c r="Q29" s="232"/>
      <c r="R29" s="237">
        <f>VLOOKUP(R28,Check[],5,FALSE)</f>
        <v>320</v>
      </c>
      <c r="S29" s="237"/>
      <c r="T29" s="232"/>
      <c r="U29" s="232"/>
      <c r="V29" s="237">
        <f>VLOOKUP(V28,Check[],5,FALSE)</f>
        <v>321</v>
      </c>
      <c r="W29" s="237"/>
      <c r="X29" s="237"/>
      <c r="Y29" s="237">
        <f>VLOOKUP(Y28,Check[],5,FALSE)</f>
        <v>322</v>
      </c>
      <c r="Z29" s="233"/>
      <c r="AA29" s="233"/>
      <c r="AB29" s="19"/>
      <c r="AC29" s="1467" t="s">
        <v>7</v>
      </c>
      <c r="AD29" s="1469">
        <f>COUNTIF(Check[סימון],("V."&amp;"*"&amp;$AC29&amp;"."&amp;AD$5&amp;"*"))</f>
        <v>0</v>
      </c>
      <c r="AE29" s="1461">
        <f>COUNTIF(Check[סימון],("S."&amp;"*"&amp;$AC29&amp;"."&amp;AE$5&amp;"*"))</f>
        <v>5</v>
      </c>
      <c r="AF29" s="1931">
        <f>COUNTIF(Check[סימון],("O."&amp;"*"&amp;$AC29&amp;"."&amp;AF$5&amp;"*"))</f>
        <v>4</v>
      </c>
      <c r="AG29" s="1933">
        <f>SUM(AD29:AF29)</f>
        <v>9</v>
      </c>
      <c r="AH29" s="1476">
        <f>SUM(AI29,AG29)</f>
        <v>17</v>
      </c>
      <c r="AI29" s="1478">
        <f>SUM(AJ29:AL29)</f>
        <v>8</v>
      </c>
      <c r="AJ29" s="1480">
        <f>COUNTIF(Check[סימון],("O."&amp;"*"&amp;$AC29&amp;"."&amp;AJ$5&amp;"*"))</f>
        <v>1</v>
      </c>
      <c r="AK29" s="1461">
        <f>COUNTIF(Check[סימון],("S."&amp;"*"&amp;$AC29&amp;"."&amp;AK$5&amp;"*"))</f>
        <v>7</v>
      </c>
      <c r="AL29" s="1927">
        <f>COUNTIF(Check[סימון],("V."&amp;"*"&amp;$AC29&amp;"."&amp;AL$5&amp;"*"))</f>
        <v>0</v>
      </c>
      <c r="AM29" s="1929" t="s">
        <v>20</v>
      </c>
      <c r="AN29" s="247"/>
      <c r="AO29" s="234">
        <f>VLOOKUP(AO28,Check[],5,FALSE)</f>
        <v>316</v>
      </c>
      <c r="AP29" s="240"/>
      <c r="AQ29" s="243">
        <f>VLOOKUP(AQ28,Check[],5,FALSE)</f>
        <v>315</v>
      </c>
      <c r="AR29" s="240"/>
      <c r="AS29" s="243">
        <f>VLOOKUP(AS28,Check[],5,FALSE)</f>
        <v>314</v>
      </c>
      <c r="AT29" s="231"/>
      <c r="AU29" s="231"/>
      <c r="AV29" s="240"/>
      <c r="AW29" s="243">
        <f>VLOOKUP(AW28,Check[],5,FALSE)</f>
        <v>313</v>
      </c>
      <c r="AX29" s="244"/>
      <c r="AY29" s="242"/>
      <c r="AZ29" s="242"/>
      <c r="BA29" s="243">
        <f>VLOOKUP(BA28,Check[],5,FALSE)</f>
        <v>312</v>
      </c>
      <c r="BB29" s="244"/>
      <c r="BC29" s="245"/>
      <c r="BD29" s="245"/>
      <c r="BE29" s="245"/>
      <c r="BF29" s="245"/>
      <c r="BG29" s="246"/>
      <c r="BH29" s="21"/>
      <c r="BI29" s="21"/>
      <c r="BJ29" s="21"/>
      <c r="BK29" s="31"/>
      <c r="BL29" s="362" t="s">
        <v>65</v>
      </c>
      <c r="BM29" s="330"/>
      <c r="BN29" s="1768"/>
      <c r="BP29" s="236" t="s">
        <v>1078</v>
      </c>
    </row>
    <row r="30" spans="1:68" s="196" customFormat="1" ht="15" customHeight="1" thickBot="1" x14ac:dyDescent="0.35">
      <c r="A30" s="1767"/>
      <c r="B30" s="187">
        <f t="shared" ref="B30" si="149">B34+3.6</f>
        <v>164.44</v>
      </c>
      <c r="C30" s="280" t="s">
        <v>1</v>
      </c>
      <c r="D30" s="204"/>
      <c r="E30" s="203"/>
      <c r="F30" s="203"/>
      <c r="G30" s="203"/>
      <c r="H30" s="188">
        <f>VLOOKUP(H28,Check[],6,FALSE)</f>
        <v>4501</v>
      </c>
      <c r="I30" s="206"/>
      <c r="J30" s="206"/>
      <c r="K30" s="206"/>
      <c r="L30" s="206"/>
      <c r="M30" s="206"/>
      <c r="N30" s="207"/>
      <c r="O30" s="199">
        <f>VLOOKUP(O28,Check[],6,FALSE)</f>
        <v>4502</v>
      </c>
      <c r="P30" s="199"/>
      <c r="Q30" s="190"/>
      <c r="R30" s="199">
        <f>VLOOKUP(R28,Check[],6,FALSE)</f>
        <v>4503</v>
      </c>
      <c r="S30" s="199"/>
      <c r="T30" s="190"/>
      <c r="U30" s="190"/>
      <c r="V30" s="199">
        <f>VLOOKUP(V28,Check[],6,FALSE)</f>
        <v>4504</v>
      </c>
      <c r="W30" s="199"/>
      <c r="X30" s="199"/>
      <c r="Y30" s="199">
        <f>VLOOKUP(Y28,Check[],6,FALSE)</f>
        <v>4505</v>
      </c>
      <c r="Z30" s="191"/>
      <c r="AA30" s="191"/>
      <c r="AB30" s="192"/>
      <c r="AC30" s="1468"/>
      <c r="AD30" s="1470"/>
      <c r="AE30" s="1471"/>
      <c r="AF30" s="1932"/>
      <c r="AG30" s="1934"/>
      <c r="AH30" s="1477"/>
      <c r="AI30" s="1479"/>
      <c r="AJ30" s="1481"/>
      <c r="AK30" s="1471"/>
      <c r="AL30" s="1928"/>
      <c r="AM30" s="1930"/>
      <c r="AN30" s="215"/>
      <c r="AO30" s="194">
        <f>VLOOKUP(AO28,Check[],6,FALSE)</f>
        <v>4502</v>
      </c>
      <c r="AP30" s="202"/>
      <c r="AQ30" s="211">
        <f>VLOOKUP(AQ28,Check[],6,FALSE)</f>
        <v>4503</v>
      </c>
      <c r="AR30" s="202"/>
      <c r="AS30" s="211">
        <f>VLOOKUP(AS28,Check[],6,FALSE)</f>
        <v>4504</v>
      </c>
      <c r="AT30" s="189"/>
      <c r="AU30" s="189"/>
      <c r="AV30" s="202"/>
      <c r="AW30" s="211">
        <f>VLOOKUP(AW28,Check[],6,FALSE)</f>
        <v>4505</v>
      </c>
      <c r="AX30" s="212"/>
      <c r="AY30" s="207"/>
      <c r="AZ30" s="207"/>
      <c r="BA30" s="211">
        <f>VLOOKUP(BA28,Check[],6,FALSE)</f>
        <v>4501</v>
      </c>
      <c r="BB30" s="212"/>
      <c r="BC30" s="213"/>
      <c r="BD30" s="213"/>
      <c r="BE30" s="213"/>
      <c r="BF30" s="213"/>
      <c r="BG30" s="214"/>
      <c r="BH30" s="203"/>
      <c r="BI30" s="203"/>
      <c r="BJ30" s="203"/>
      <c r="BK30" s="205"/>
      <c r="BL30" s="363" t="s">
        <v>1</v>
      </c>
      <c r="BM30" s="187">
        <f t="shared" ref="BM30" si="150">BM34+3.6</f>
        <v>164.44</v>
      </c>
      <c r="BN30" s="1769"/>
      <c r="BP30" s="197" t="s">
        <v>1</v>
      </c>
    </row>
    <row r="31" spans="1:68" s="110" customFormat="1" ht="21.95" customHeight="1" x14ac:dyDescent="0.35">
      <c r="A31" s="1766"/>
      <c r="B31" s="326" t="str">
        <f t="shared" ref="B31" si="151">_xlfn.CONCAT("קומה ",B32)</f>
        <v>קומה 44</v>
      </c>
      <c r="C31" s="278" t="s">
        <v>0</v>
      </c>
      <c r="D31" s="117"/>
      <c r="E31" s="116"/>
      <c r="F31" s="116"/>
      <c r="G31" s="116"/>
      <c r="H31" s="104">
        <f t="shared" ref="H31" si="152">H35+5</f>
        <v>313</v>
      </c>
      <c r="I31" s="120"/>
      <c r="J31" s="120"/>
      <c r="K31" s="120"/>
      <c r="L31" s="120"/>
      <c r="M31" s="120"/>
      <c r="N31" s="115"/>
      <c r="O31" s="112">
        <f t="shared" ref="O31" si="153">O35+5</f>
        <v>314</v>
      </c>
      <c r="P31" s="112"/>
      <c r="Q31" s="106"/>
      <c r="R31" s="112">
        <f t="shared" ref="R31" si="154">R35+5</f>
        <v>315</v>
      </c>
      <c r="S31" s="112"/>
      <c r="T31" s="106"/>
      <c r="U31" s="106"/>
      <c r="V31" s="112">
        <f t="shared" ref="V31" si="155">V35+5</f>
        <v>316</v>
      </c>
      <c r="W31" s="112"/>
      <c r="X31" s="112"/>
      <c r="Y31" s="112">
        <f t="shared" ref="Y31" si="156">Y35+5</f>
        <v>317</v>
      </c>
      <c r="Z31" s="121"/>
      <c r="AA31" s="121"/>
      <c r="AB31" s="107"/>
      <c r="AC31" s="138" t="s">
        <v>8</v>
      </c>
      <c r="AD31" s="139">
        <f>COUNTIF(Check[סימון],("V."&amp;"*"&amp;$AC31&amp;"."&amp;AD$5&amp;"*"))</f>
        <v>0</v>
      </c>
      <c r="AE31" s="140">
        <f>COUNTIF(Check[סימון],("S."&amp;"*"&amp;$AC31&amp;"."&amp;AE$5&amp;"*"))</f>
        <v>5</v>
      </c>
      <c r="AF31" s="141">
        <f>COUNTIF(Check[סימון],("O."&amp;"*"&amp;$AC31&amp;"."&amp;AF$5&amp;"*"))</f>
        <v>5</v>
      </c>
      <c r="AG31" s="142">
        <f>SUM(AD31:AF31)</f>
        <v>10</v>
      </c>
      <c r="AH31" s="143">
        <f>SUM(AI31,AG31)</f>
        <v>18</v>
      </c>
      <c r="AI31" s="144">
        <f>SUM(AJ31:AL31)</f>
        <v>8</v>
      </c>
      <c r="AJ31" s="145">
        <f>COUNTIF(Check[סימון],("O."&amp;"*"&amp;$AC31&amp;"."&amp;AJ$5&amp;"*"))</f>
        <v>2</v>
      </c>
      <c r="AK31" s="140">
        <f>COUNTIF(Check[סימון],("S."&amp;"*"&amp;$AC31&amp;"."&amp;AK$5&amp;"*"))</f>
        <v>6</v>
      </c>
      <c r="AL31" s="146">
        <f>COUNTIF(Check[סימון],("V."&amp;"*"&amp;$AC31&amp;"."&amp;AL$5&amp;"*"))</f>
        <v>0</v>
      </c>
      <c r="AM31" s="147" t="s">
        <v>8</v>
      </c>
      <c r="AN31" s="137"/>
      <c r="AO31" s="108">
        <f t="shared" ref="AO31" si="157">AO35+5</f>
        <v>311</v>
      </c>
      <c r="AP31" s="115"/>
      <c r="AQ31" s="123">
        <f t="shared" ref="AQ31" si="158">AQ35+5</f>
        <v>310</v>
      </c>
      <c r="AR31" s="115"/>
      <c r="AS31" s="123">
        <f t="shared" ref="AS31" si="159">AS35+5</f>
        <v>309</v>
      </c>
      <c r="AT31" s="105"/>
      <c r="AU31" s="105"/>
      <c r="AV31" s="115"/>
      <c r="AW31" s="123">
        <f t="shared" ref="AW31" si="160">AW35+5</f>
        <v>308</v>
      </c>
      <c r="AX31" s="105"/>
      <c r="AY31" s="115"/>
      <c r="AZ31" s="115"/>
      <c r="BA31" s="123">
        <f t="shared" ref="BA31" si="161">BA35+5</f>
        <v>307</v>
      </c>
      <c r="BB31" s="105"/>
      <c r="BC31" s="109"/>
      <c r="BD31" s="109"/>
      <c r="BE31" s="109"/>
      <c r="BF31" s="109"/>
      <c r="BG31" s="124"/>
      <c r="BH31" s="116"/>
      <c r="BI31" s="116"/>
      <c r="BJ31" s="116"/>
      <c r="BK31" s="119"/>
      <c r="BL31" s="361" t="s">
        <v>0</v>
      </c>
      <c r="BM31" s="326" t="str">
        <f t="shared" ref="BM31" si="162">_xlfn.CONCAT("קומה ",BM32)</f>
        <v>קומה 44</v>
      </c>
      <c r="BN31" s="1768"/>
      <c r="BP31" s="111" t="s">
        <v>0</v>
      </c>
    </row>
    <row r="32" spans="1:68" s="52" customFormat="1" ht="9.9499999999999993" hidden="1" customHeight="1" x14ac:dyDescent="0.15">
      <c r="A32" s="1766"/>
      <c r="B32" s="329">
        <f t="shared" si="57"/>
        <v>44</v>
      </c>
      <c r="C32" s="278" t="s">
        <v>89</v>
      </c>
      <c r="D32" s="56"/>
      <c r="E32" s="55"/>
      <c r="F32" s="55"/>
      <c r="G32" s="55"/>
      <c r="H32" s="66" t="str">
        <f>VLOOKUP("*"&amp;H$5&amp;".Ap."&amp;H31,Check[],1,FALSE)</f>
        <v>S.P.4D.TS.Ap.313</v>
      </c>
      <c r="I32" s="64" t="str">
        <f t="shared" ref="I32" si="163">H32</f>
        <v>S.P.4D.TS.Ap.313</v>
      </c>
      <c r="J32" s="64" t="str">
        <f t="shared" ref="J32" si="164">I32</f>
        <v>S.P.4D.TS.Ap.313</v>
      </c>
      <c r="K32" s="64" t="str">
        <f t="shared" ref="K32" si="165">J32</f>
        <v>S.P.4D.TS.Ap.313</v>
      </c>
      <c r="L32" s="64" t="str">
        <f t="shared" ref="L32" si="166">K32</f>
        <v>S.P.4D.TS.Ap.313</v>
      </c>
      <c r="M32" s="64" t="str">
        <f t="shared" ref="M32" si="167">L32</f>
        <v>S.P.4D.TS.Ap.313</v>
      </c>
      <c r="N32" s="68" t="str">
        <f t="shared" ref="N32" si="168">M32</f>
        <v>S.P.4D.TS.Ap.313</v>
      </c>
      <c r="O32" s="64" t="str">
        <f>VLOOKUP("*"&amp;O$5&amp;".Ap."&amp;O31,Check[],1,FALSE)</f>
        <v>S.P.4E.TS.Ap.314</v>
      </c>
      <c r="P32" s="64" t="str">
        <f t="shared" ref="P32:Q32" si="169">O32</f>
        <v>S.P.4E.TS.Ap.314</v>
      </c>
      <c r="Q32" s="68" t="str">
        <f t="shared" si="169"/>
        <v>S.P.4E.TS.Ap.314</v>
      </c>
      <c r="R32" s="64" t="str">
        <f>VLOOKUP("*"&amp;R$5&amp;".Ap."&amp;R31,Check[],1,FALSE)</f>
        <v>O.P.4F.TS.Ap.315</v>
      </c>
      <c r="S32" s="64" t="str">
        <f t="shared" ref="S32:U32" si="170">R32</f>
        <v>O.P.4F.TS.Ap.315</v>
      </c>
      <c r="T32" s="68" t="str">
        <f t="shared" si="170"/>
        <v>O.P.4F.TS.Ap.315</v>
      </c>
      <c r="U32" s="68" t="str">
        <f t="shared" si="170"/>
        <v>O.P.4F.TS.Ap.315</v>
      </c>
      <c r="V32" s="64" t="str">
        <f>VLOOKUP("*"&amp;V$5&amp;".Ap."&amp;V31,Check[],1,FALSE)</f>
        <v>O.P.5AP.TS.Ap.316</v>
      </c>
      <c r="W32" s="64" t="str">
        <f t="shared" si="66"/>
        <v>O.P.5AP.TS.Ap.316</v>
      </c>
      <c r="X32" s="64" t="str">
        <f t="shared" ref="X32" si="171">V32</f>
        <v>O.P.5AP.TS.Ap.316</v>
      </c>
      <c r="Y32" s="64" t="str">
        <f>VLOOKUP("*"&amp;Y$5&amp;".Ap."&amp;Y31,Check[],1,FALSE)</f>
        <v>O.P.5BP.TS.Ap.317</v>
      </c>
      <c r="Z32" s="65" t="str">
        <f t="shared" si="68"/>
        <v>O.P.5BP.TS.Ap.317</v>
      </c>
      <c r="AA32" s="65" t="str">
        <f t="shared" ref="AA32" si="172">Y32</f>
        <v>O.P.5BP.TS.Ap.317</v>
      </c>
      <c r="AB32" s="50"/>
      <c r="AC32" s="314"/>
      <c r="AD32" s="317"/>
      <c r="AE32" s="318"/>
      <c r="AF32" s="319"/>
      <c r="AG32" s="320"/>
      <c r="AH32" s="321"/>
      <c r="AI32" s="314"/>
      <c r="AJ32" s="322"/>
      <c r="AK32" s="318"/>
      <c r="AL32" s="323"/>
      <c r="AM32" s="315"/>
      <c r="AN32" s="61"/>
      <c r="AO32" s="76" t="str">
        <f>VLOOKUP("*"&amp;AO$5&amp;".Ap."&amp;AO31,Check[],1,FALSE)</f>
        <v>V.GMC.P.5BP.TN.Ap.311</v>
      </c>
      <c r="AP32" s="68" t="str">
        <f t="shared" ref="AP32" si="173">AO32</f>
        <v>V.GMC.P.5BP.TN.Ap.311</v>
      </c>
      <c r="AQ32" s="72" t="str">
        <f>VLOOKUP("*"&amp;AQ$5&amp;".Ap."&amp;AQ31,Check[],1,FALSE)</f>
        <v>O.P.5AP.TN.Ap.310</v>
      </c>
      <c r="AR32" s="68" t="str">
        <f t="shared" ref="AR32" si="174">AQ32</f>
        <v>O.P.5AP.TN.Ap.310</v>
      </c>
      <c r="AS32" s="72" t="str">
        <f>VLOOKUP("*"&amp;AS$5&amp;".Ap."&amp;AS31,Check[],1,FALSE)</f>
        <v>S.P.4F.TN.Ap.309</v>
      </c>
      <c r="AT32" s="67" t="str">
        <f t="shared" ref="AT32:AV32" si="175">AS32</f>
        <v>S.P.4F.TN.Ap.309</v>
      </c>
      <c r="AU32" s="67" t="str">
        <f t="shared" si="175"/>
        <v>S.P.4F.TN.Ap.309</v>
      </c>
      <c r="AV32" s="68" t="str">
        <f t="shared" si="175"/>
        <v>S.P.4F.TN.Ap.309</v>
      </c>
      <c r="AW32" s="72" t="str">
        <f>VLOOKUP("*"&amp;AW$5&amp;".Ap."&amp;AW31,Check[],1,FALSE)</f>
        <v>S.P.4E.TN.Ap.308</v>
      </c>
      <c r="AX32" s="67" t="str">
        <f t="shared" ref="AX32:AZ32" si="176">AW32</f>
        <v>S.P.4E.TN.Ap.308</v>
      </c>
      <c r="AY32" s="68" t="str">
        <f t="shared" si="176"/>
        <v>S.P.4E.TN.Ap.308</v>
      </c>
      <c r="AZ32" s="68" t="str">
        <f t="shared" si="176"/>
        <v>S.P.4E.TN.Ap.308</v>
      </c>
      <c r="BA32" s="72" t="str">
        <f>VLOOKUP("*"&amp;BA$5&amp;".Ap."&amp;BA31,Check[],1,FALSE)</f>
        <v>O.P.4D.TN.Ap.307</v>
      </c>
      <c r="BB32" s="67" t="str">
        <f t="shared" ref="BB32" si="177">BA32</f>
        <v>O.P.4D.TN.Ap.307</v>
      </c>
      <c r="BC32" s="77" t="str">
        <f t="shared" ref="BC32" si="178">BB32</f>
        <v>O.P.4D.TN.Ap.307</v>
      </c>
      <c r="BD32" s="77" t="str">
        <f t="shared" ref="BD32" si="179">BC32</f>
        <v>O.P.4D.TN.Ap.307</v>
      </c>
      <c r="BE32" s="77" t="str">
        <f t="shared" ref="BE32" si="180">BD32</f>
        <v>O.P.4D.TN.Ap.307</v>
      </c>
      <c r="BF32" s="77" t="str">
        <f t="shared" ref="BF32" si="181">BE32</f>
        <v>O.P.4D.TN.Ap.307</v>
      </c>
      <c r="BG32" s="79" t="str">
        <f t="shared" ref="BG32" si="182">BF32</f>
        <v>O.P.4D.TN.Ap.307</v>
      </c>
      <c r="BH32" s="55"/>
      <c r="BI32" s="55"/>
      <c r="BJ32" s="55"/>
      <c r="BK32" s="57"/>
      <c r="BL32" s="361" t="s">
        <v>89</v>
      </c>
      <c r="BM32" s="329">
        <f t="shared" si="80"/>
        <v>44</v>
      </c>
      <c r="BN32" s="1768"/>
      <c r="BP32" s="53" t="s">
        <v>89</v>
      </c>
    </row>
    <row r="33" spans="1:68" s="8" customFormat="1" ht="12" customHeight="1" x14ac:dyDescent="0.25">
      <c r="A33" s="1766"/>
      <c r="B33" s="330"/>
      <c r="C33" s="279" t="s">
        <v>65</v>
      </c>
      <c r="D33" s="25"/>
      <c r="E33" s="21"/>
      <c r="F33" s="21"/>
      <c r="G33" s="21"/>
      <c r="H33" s="230">
        <f>VLOOKUP(H32,Check[],5,FALSE)</f>
        <v>313</v>
      </c>
      <c r="I33" s="241"/>
      <c r="J33" s="241"/>
      <c r="K33" s="241"/>
      <c r="L33" s="241"/>
      <c r="M33" s="241"/>
      <c r="N33" s="242"/>
      <c r="O33" s="237">
        <f>VLOOKUP(O32,Check[],5,FALSE)</f>
        <v>314</v>
      </c>
      <c r="P33" s="237"/>
      <c r="Q33" s="232"/>
      <c r="R33" s="237">
        <f>VLOOKUP(R32,Check[],5,FALSE)</f>
        <v>315</v>
      </c>
      <c r="S33" s="237"/>
      <c r="T33" s="232"/>
      <c r="U33" s="232"/>
      <c r="V33" s="237">
        <f>VLOOKUP(V32,Check[],5,FALSE)</f>
        <v>316</v>
      </c>
      <c r="W33" s="237"/>
      <c r="X33" s="237"/>
      <c r="Y33" s="237">
        <f>VLOOKUP(Y32,Check[],5,FALSE)</f>
        <v>317</v>
      </c>
      <c r="Z33" s="233"/>
      <c r="AA33" s="233"/>
      <c r="AB33" s="19"/>
      <c r="AC33" s="1467" t="s">
        <v>10</v>
      </c>
      <c r="AD33" s="1469">
        <f>COUNTIF(Check[סימון],("V."&amp;"*"&amp;$AC33&amp;"."&amp;AD$5&amp;"*"))</f>
        <v>1</v>
      </c>
      <c r="AE33" s="1461">
        <f>COUNTIF(Check[סימון],("S."&amp;"*"&amp;$AC33&amp;"."&amp;AE$5&amp;"*"))</f>
        <v>14</v>
      </c>
      <c r="AF33" s="1931">
        <f>COUNTIF(Check[סימון],("O."&amp;"*"&amp;$AC33&amp;"."&amp;AF$5&amp;"*"))</f>
        <v>6</v>
      </c>
      <c r="AG33" s="1933">
        <f>SUM(AD33:AF33)</f>
        <v>21</v>
      </c>
      <c r="AH33" s="1476">
        <f>SUM(AI33,AG33)</f>
        <v>42</v>
      </c>
      <c r="AI33" s="1478">
        <f>SUM(AJ33:AL33)</f>
        <v>21</v>
      </c>
      <c r="AJ33" s="1480">
        <f>COUNTIF(Check[סימון],("O."&amp;"*"&amp;$AC33&amp;"."&amp;AJ$5&amp;"*"))</f>
        <v>0</v>
      </c>
      <c r="AK33" s="1461">
        <f>COUNTIF(Check[סימון],("S."&amp;"*"&amp;$AC33&amp;"."&amp;AK$5&amp;"*"))</f>
        <v>16</v>
      </c>
      <c r="AL33" s="1927">
        <f>COUNTIF(Check[סימון],("V."&amp;"*"&amp;$AC33&amp;"."&amp;AL$5&amp;"*"))</f>
        <v>5</v>
      </c>
      <c r="AM33" s="1929" t="s">
        <v>20</v>
      </c>
      <c r="AN33" s="247"/>
      <c r="AO33" s="234">
        <f>VLOOKUP(AO32,Check[],5,FALSE)</f>
        <v>311</v>
      </c>
      <c r="AP33" s="240"/>
      <c r="AQ33" s="243">
        <f>VLOOKUP(AQ32,Check[],5,FALSE)</f>
        <v>310</v>
      </c>
      <c r="AR33" s="240"/>
      <c r="AS33" s="243">
        <f>VLOOKUP(AS32,Check[],5,FALSE)</f>
        <v>309</v>
      </c>
      <c r="AT33" s="231"/>
      <c r="AU33" s="231"/>
      <c r="AV33" s="240"/>
      <c r="AW33" s="243">
        <f>VLOOKUP(AW32,Check[],5,FALSE)</f>
        <v>308</v>
      </c>
      <c r="AX33" s="244"/>
      <c r="AY33" s="242"/>
      <c r="AZ33" s="242"/>
      <c r="BA33" s="243">
        <f>VLOOKUP(BA32,Check[],5,FALSE)</f>
        <v>307</v>
      </c>
      <c r="BB33" s="244"/>
      <c r="BC33" s="245"/>
      <c r="BD33" s="245"/>
      <c r="BE33" s="245"/>
      <c r="BF33" s="245"/>
      <c r="BG33" s="246"/>
      <c r="BH33" s="21"/>
      <c r="BI33" s="21"/>
      <c r="BJ33" s="21"/>
      <c r="BK33" s="31"/>
      <c r="BL33" s="362" t="s">
        <v>65</v>
      </c>
      <c r="BM33" s="330"/>
      <c r="BN33" s="1768"/>
      <c r="BP33" s="236" t="s">
        <v>1078</v>
      </c>
    </row>
    <row r="34" spans="1:68" s="196" customFormat="1" ht="15" customHeight="1" thickBot="1" x14ac:dyDescent="0.35">
      <c r="A34" s="1767"/>
      <c r="B34" s="187">
        <f t="shared" ref="B34" si="183">B38+3.6</f>
        <v>160.84</v>
      </c>
      <c r="C34" s="280" t="s">
        <v>1</v>
      </c>
      <c r="D34" s="204"/>
      <c r="E34" s="203"/>
      <c r="F34" s="203"/>
      <c r="G34" s="203"/>
      <c r="H34" s="188">
        <f>VLOOKUP(H32,Check[],6,FALSE)</f>
        <v>4401</v>
      </c>
      <c r="I34" s="206"/>
      <c r="J34" s="206"/>
      <c r="K34" s="206"/>
      <c r="L34" s="206"/>
      <c r="M34" s="206"/>
      <c r="N34" s="207"/>
      <c r="O34" s="199">
        <f>VLOOKUP(O32,Check[],6,FALSE)</f>
        <v>4402</v>
      </c>
      <c r="P34" s="199"/>
      <c r="Q34" s="190"/>
      <c r="R34" s="199">
        <f>VLOOKUP(R32,Check[],6,FALSE)</f>
        <v>4403</v>
      </c>
      <c r="S34" s="199"/>
      <c r="T34" s="190"/>
      <c r="U34" s="190"/>
      <c r="V34" s="199">
        <f>VLOOKUP(V32,Check[],6,FALSE)</f>
        <v>4404</v>
      </c>
      <c r="W34" s="199"/>
      <c r="X34" s="199"/>
      <c r="Y34" s="199">
        <f>VLOOKUP(Y32,Check[],6,FALSE)</f>
        <v>4405</v>
      </c>
      <c r="Z34" s="191"/>
      <c r="AA34" s="191"/>
      <c r="AB34" s="192"/>
      <c r="AC34" s="1468"/>
      <c r="AD34" s="1470"/>
      <c r="AE34" s="1471"/>
      <c r="AF34" s="1932"/>
      <c r="AG34" s="1934"/>
      <c r="AH34" s="1477"/>
      <c r="AI34" s="1479"/>
      <c r="AJ34" s="1481"/>
      <c r="AK34" s="1471"/>
      <c r="AL34" s="1928"/>
      <c r="AM34" s="1930"/>
      <c r="AN34" s="215"/>
      <c r="AO34" s="194">
        <f>VLOOKUP(AO32,Check[],6,FALSE)</f>
        <v>4402</v>
      </c>
      <c r="AP34" s="202"/>
      <c r="AQ34" s="211">
        <f>VLOOKUP(AQ32,Check[],6,FALSE)</f>
        <v>4403</v>
      </c>
      <c r="AR34" s="202"/>
      <c r="AS34" s="211">
        <f>VLOOKUP(AS32,Check[],6,FALSE)</f>
        <v>4404</v>
      </c>
      <c r="AT34" s="189"/>
      <c r="AU34" s="189"/>
      <c r="AV34" s="202"/>
      <c r="AW34" s="211">
        <f>VLOOKUP(AW32,Check[],6,FALSE)</f>
        <v>4405</v>
      </c>
      <c r="AX34" s="212"/>
      <c r="AY34" s="207"/>
      <c r="AZ34" s="207"/>
      <c r="BA34" s="211">
        <f>VLOOKUP(BA32,Check[],6,FALSE)</f>
        <v>4401</v>
      </c>
      <c r="BB34" s="212"/>
      <c r="BC34" s="213"/>
      <c r="BD34" s="213"/>
      <c r="BE34" s="213"/>
      <c r="BF34" s="213"/>
      <c r="BG34" s="214"/>
      <c r="BH34" s="203"/>
      <c r="BI34" s="203"/>
      <c r="BJ34" s="203"/>
      <c r="BK34" s="205"/>
      <c r="BL34" s="363" t="s">
        <v>1</v>
      </c>
      <c r="BM34" s="187">
        <f t="shared" ref="BM34" si="184">BM38+3.6</f>
        <v>160.84</v>
      </c>
      <c r="BN34" s="1769"/>
      <c r="BP34" s="197" t="s">
        <v>1</v>
      </c>
    </row>
    <row r="35" spans="1:68" s="110" customFormat="1" ht="21.95" customHeight="1" x14ac:dyDescent="0.35">
      <c r="A35" s="1766"/>
      <c r="B35" s="326" t="str">
        <f t="shared" ref="B35" si="185">_xlfn.CONCAT("קומה ",B36)</f>
        <v>קומה 43</v>
      </c>
      <c r="C35" s="278" t="s">
        <v>0</v>
      </c>
      <c r="D35" s="117"/>
      <c r="E35" s="116"/>
      <c r="F35" s="116"/>
      <c r="G35" s="116"/>
      <c r="H35" s="104">
        <f t="shared" ref="H35" si="186">H39+5</f>
        <v>308</v>
      </c>
      <c r="I35" s="120"/>
      <c r="J35" s="120"/>
      <c r="K35" s="120"/>
      <c r="L35" s="120"/>
      <c r="M35" s="120"/>
      <c r="N35" s="115"/>
      <c r="O35" s="112">
        <f t="shared" ref="O35" si="187">O39+5</f>
        <v>309</v>
      </c>
      <c r="P35" s="112"/>
      <c r="Q35" s="106"/>
      <c r="R35" s="112">
        <f t="shared" ref="R35" si="188">R39+5</f>
        <v>310</v>
      </c>
      <c r="S35" s="112"/>
      <c r="T35" s="106"/>
      <c r="U35" s="106"/>
      <c r="V35" s="112">
        <f t="shared" ref="V35" si="189">V39+5</f>
        <v>311</v>
      </c>
      <c r="W35" s="112"/>
      <c r="X35" s="112"/>
      <c r="Y35" s="112">
        <f t="shared" ref="Y35" si="190">Y39+5</f>
        <v>312</v>
      </c>
      <c r="Z35" s="121"/>
      <c r="AA35" s="121"/>
      <c r="AB35" s="107"/>
      <c r="AC35" s="127" t="s">
        <v>11</v>
      </c>
      <c r="AD35" s="128">
        <f>COUNTIF(Check[סימון],("V."&amp;"*"&amp;$AC35&amp;"."&amp;AD$5&amp;"*"))</f>
        <v>3</v>
      </c>
      <c r="AE35" s="129">
        <f>COUNTIF(Check[סימון],("S."&amp;"*"&amp;$AC35&amp;"."&amp;AE$5&amp;"*"))</f>
        <v>5</v>
      </c>
      <c r="AF35" s="130">
        <f>COUNTIF(Check[סימון],("O."&amp;"*"&amp;$AC35&amp;"."&amp;AF$5&amp;"*"))</f>
        <v>1</v>
      </c>
      <c r="AG35" s="131">
        <f>SUM(AD35:AF35)</f>
        <v>9</v>
      </c>
      <c r="AH35" s="132">
        <f>SUM(AI35,AG35)</f>
        <v>16</v>
      </c>
      <c r="AI35" s="133">
        <f>SUM(AJ35:AL35)</f>
        <v>7</v>
      </c>
      <c r="AJ35" s="134">
        <f>COUNTIF(Check[סימון],("O."&amp;"*"&amp;$AC35&amp;"."&amp;AJ$5&amp;"*"))</f>
        <v>0</v>
      </c>
      <c r="AK35" s="129">
        <f>COUNTIF(Check[סימון],("S."&amp;"*"&amp;$AC35&amp;"."&amp;AK$5&amp;"*"))</f>
        <v>7</v>
      </c>
      <c r="AL35" s="135">
        <f>COUNTIF(Check[סימון],("V."&amp;"*"&amp;$AC35&amp;"."&amp;AL$5&amp;"*"))</f>
        <v>0</v>
      </c>
      <c r="AM35" s="136" t="s">
        <v>11</v>
      </c>
      <c r="AN35" s="137"/>
      <c r="AO35" s="108">
        <f t="shared" ref="AO35" si="191">AO39+5</f>
        <v>306</v>
      </c>
      <c r="AP35" s="115"/>
      <c r="AQ35" s="123">
        <f t="shared" ref="AQ35" si="192">AQ39+5</f>
        <v>305</v>
      </c>
      <c r="AR35" s="115"/>
      <c r="AS35" s="123">
        <f t="shared" ref="AS35" si="193">AS39+5</f>
        <v>304</v>
      </c>
      <c r="AT35" s="105"/>
      <c r="AU35" s="105"/>
      <c r="AV35" s="115"/>
      <c r="AW35" s="123">
        <f t="shared" ref="AW35" si="194">AW39+5</f>
        <v>303</v>
      </c>
      <c r="AX35" s="105"/>
      <c r="AY35" s="115"/>
      <c r="AZ35" s="115"/>
      <c r="BA35" s="123">
        <f t="shared" ref="BA35" si="195">BA39+5</f>
        <v>302</v>
      </c>
      <c r="BB35" s="105"/>
      <c r="BC35" s="109"/>
      <c r="BD35" s="109"/>
      <c r="BE35" s="109"/>
      <c r="BF35" s="109"/>
      <c r="BG35" s="124"/>
      <c r="BH35" s="116"/>
      <c r="BI35" s="116"/>
      <c r="BJ35" s="116"/>
      <c r="BK35" s="119"/>
      <c r="BL35" s="361" t="s">
        <v>0</v>
      </c>
      <c r="BM35" s="326" t="str">
        <f t="shared" ref="BM35" si="196">_xlfn.CONCAT("קומה ",BM36)</f>
        <v>קומה 43</v>
      </c>
      <c r="BN35" s="1768"/>
      <c r="BP35" s="111" t="s">
        <v>0</v>
      </c>
    </row>
    <row r="36" spans="1:68" s="52" customFormat="1" ht="9.9499999999999993" hidden="1" customHeight="1" x14ac:dyDescent="0.15">
      <c r="A36" s="1766"/>
      <c r="B36" s="329">
        <f t="shared" si="57"/>
        <v>43</v>
      </c>
      <c r="C36" s="278" t="s">
        <v>89</v>
      </c>
      <c r="D36" s="56"/>
      <c r="E36" s="55"/>
      <c r="F36" s="55"/>
      <c r="G36" s="55"/>
      <c r="H36" s="66" t="str">
        <f>VLOOKUP("*"&amp;H$5&amp;".Ap."&amp;H35,Check[],1,FALSE)</f>
        <v>V.GMS.P.4D.TS.Ap.308</v>
      </c>
      <c r="I36" s="64" t="str">
        <f t="shared" ref="I36" si="197">H36</f>
        <v>V.GMS.P.4D.TS.Ap.308</v>
      </c>
      <c r="J36" s="64" t="str">
        <f t="shared" ref="J36" si="198">I36</f>
        <v>V.GMS.P.4D.TS.Ap.308</v>
      </c>
      <c r="K36" s="64" t="str">
        <f t="shared" ref="K36" si="199">J36</f>
        <v>V.GMS.P.4D.TS.Ap.308</v>
      </c>
      <c r="L36" s="64" t="str">
        <f t="shared" ref="L36" si="200">K36</f>
        <v>V.GMS.P.4D.TS.Ap.308</v>
      </c>
      <c r="M36" s="64" t="str">
        <f t="shared" ref="M36" si="201">L36</f>
        <v>V.GMS.P.4D.TS.Ap.308</v>
      </c>
      <c r="N36" s="68" t="str">
        <f t="shared" ref="N36" si="202">M36</f>
        <v>V.GMS.P.4D.TS.Ap.308</v>
      </c>
      <c r="O36" s="64" t="str">
        <f>VLOOKUP("*"&amp;O$5&amp;".Ap."&amp;O35,Check[],1,FALSE)</f>
        <v>O.P.4E.TS.Ap.309</v>
      </c>
      <c r="P36" s="64" t="str">
        <f t="shared" ref="P36:Q36" si="203">O36</f>
        <v>O.P.4E.TS.Ap.309</v>
      </c>
      <c r="Q36" s="68" t="str">
        <f t="shared" si="203"/>
        <v>O.P.4E.TS.Ap.309</v>
      </c>
      <c r="R36" s="64" t="str">
        <f>VLOOKUP("*"&amp;R$5&amp;".Ap."&amp;R35,Check[],1,FALSE)</f>
        <v>O.P.4F.TS.Ap.310</v>
      </c>
      <c r="S36" s="64" t="str">
        <f t="shared" ref="S36:U36" si="204">R36</f>
        <v>O.P.4F.TS.Ap.310</v>
      </c>
      <c r="T36" s="68" t="str">
        <f t="shared" si="204"/>
        <v>O.P.4F.TS.Ap.310</v>
      </c>
      <c r="U36" s="68" t="str">
        <f t="shared" si="204"/>
        <v>O.P.4F.TS.Ap.310</v>
      </c>
      <c r="V36" s="64" t="str">
        <f>VLOOKUP("*"&amp;V$5&amp;".Ap."&amp;V35,Check[],1,FALSE)</f>
        <v>S.P.5CP.TS.Ap.311</v>
      </c>
      <c r="W36" s="64" t="str">
        <f t="shared" si="66"/>
        <v>S.P.5CP.TS.Ap.311</v>
      </c>
      <c r="X36" s="64" t="str">
        <f t="shared" ref="X36" si="205">V36</f>
        <v>S.P.5CP.TS.Ap.311</v>
      </c>
      <c r="Y36" s="64" t="str">
        <f>VLOOKUP("*"&amp;Y$5&amp;".Ap."&amp;Y35,Check[],1,FALSE)</f>
        <v>S.P.4BP.TS.Ap.312</v>
      </c>
      <c r="Z36" s="65" t="str">
        <f t="shared" si="68"/>
        <v>S.P.4BP.TS.Ap.312</v>
      </c>
      <c r="AA36" s="65" t="str">
        <f t="shared" ref="AA36" si="206">Y36</f>
        <v>S.P.4BP.TS.Ap.312</v>
      </c>
      <c r="AB36" s="50"/>
      <c r="AC36" s="314"/>
      <c r="AD36" s="317"/>
      <c r="AE36" s="318"/>
      <c r="AF36" s="319"/>
      <c r="AG36" s="320"/>
      <c r="AH36" s="321"/>
      <c r="AI36" s="314"/>
      <c r="AJ36" s="322"/>
      <c r="AK36" s="318"/>
      <c r="AL36" s="323"/>
      <c r="AM36" s="315"/>
      <c r="AN36" s="61"/>
      <c r="AO36" s="76" t="str">
        <f>VLOOKUP("*"&amp;AO$5&amp;".Ap."&amp;AO35,Check[],1,FALSE)</f>
        <v>S.P.5BP.TN.Ap.306</v>
      </c>
      <c r="AP36" s="68" t="str">
        <f t="shared" ref="AP36" si="207">AO36</f>
        <v>S.P.5BP.TN.Ap.306</v>
      </c>
      <c r="AQ36" s="72" t="str">
        <f>VLOOKUP("*"&amp;AQ$5&amp;".Ap."&amp;AQ35,Check[],1,FALSE)</f>
        <v>S.P.5AP.TN.Ap.305</v>
      </c>
      <c r="AR36" s="68" t="str">
        <f t="shared" ref="AR36" si="208">AQ36</f>
        <v>S.P.5AP.TN.Ap.305</v>
      </c>
      <c r="AS36" s="72" t="str">
        <f>VLOOKUP("*"&amp;AS$5&amp;".Ap."&amp;AS35,Check[],1,FALSE)</f>
        <v>O.P.4F.TN.Ap.304</v>
      </c>
      <c r="AT36" s="67" t="str">
        <f t="shared" ref="AT36:AV36" si="209">AS36</f>
        <v>O.P.4F.TN.Ap.304</v>
      </c>
      <c r="AU36" s="67" t="str">
        <f t="shared" si="209"/>
        <v>O.P.4F.TN.Ap.304</v>
      </c>
      <c r="AV36" s="68" t="str">
        <f t="shared" si="209"/>
        <v>O.P.4F.TN.Ap.304</v>
      </c>
      <c r="AW36" s="72" t="str">
        <f>VLOOKUP("*"&amp;AW$5&amp;".Ap."&amp;AW35,Check[],1,FALSE)</f>
        <v>O.P.4E.TN.Ap.303</v>
      </c>
      <c r="AX36" s="67" t="str">
        <f t="shared" ref="AX36:AZ36" si="210">AW36</f>
        <v>O.P.4E.TN.Ap.303</v>
      </c>
      <c r="AY36" s="68" t="str">
        <f t="shared" si="210"/>
        <v>O.P.4E.TN.Ap.303</v>
      </c>
      <c r="AZ36" s="68" t="str">
        <f t="shared" si="210"/>
        <v>O.P.4E.TN.Ap.303</v>
      </c>
      <c r="BA36" s="72" t="str">
        <f>VLOOKUP("*"&amp;BA$5&amp;".Ap."&amp;BA35,Check[],1,FALSE)</f>
        <v>V.GMS.P.4D.TN.Ap.302</v>
      </c>
      <c r="BB36" s="67" t="str">
        <f t="shared" ref="BB36" si="211">BA36</f>
        <v>V.GMS.P.4D.TN.Ap.302</v>
      </c>
      <c r="BC36" s="77" t="str">
        <f t="shared" ref="BC36" si="212">BB36</f>
        <v>V.GMS.P.4D.TN.Ap.302</v>
      </c>
      <c r="BD36" s="77" t="str">
        <f t="shared" ref="BD36" si="213">BC36</f>
        <v>V.GMS.P.4D.TN.Ap.302</v>
      </c>
      <c r="BE36" s="77" t="str">
        <f t="shared" ref="BE36" si="214">BD36</f>
        <v>V.GMS.P.4D.TN.Ap.302</v>
      </c>
      <c r="BF36" s="77" t="str">
        <f t="shared" ref="BF36" si="215">BE36</f>
        <v>V.GMS.P.4D.TN.Ap.302</v>
      </c>
      <c r="BG36" s="79" t="str">
        <f t="shared" ref="BG36" si="216">BF36</f>
        <v>V.GMS.P.4D.TN.Ap.302</v>
      </c>
      <c r="BH36" s="55"/>
      <c r="BI36" s="55"/>
      <c r="BJ36" s="55"/>
      <c r="BK36" s="57"/>
      <c r="BL36" s="361" t="s">
        <v>89</v>
      </c>
      <c r="BM36" s="329">
        <f t="shared" si="80"/>
        <v>43</v>
      </c>
      <c r="BN36" s="1768"/>
      <c r="BP36" s="53" t="s">
        <v>89</v>
      </c>
    </row>
    <row r="37" spans="1:68" s="8" customFormat="1" ht="12" customHeight="1" x14ac:dyDescent="0.25">
      <c r="A37" s="1766"/>
      <c r="B37" s="330"/>
      <c r="C37" s="279" t="s">
        <v>65</v>
      </c>
      <c r="D37" s="25"/>
      <c r="E37" s="21"/>
      <c r="F37" s="21"/>
      <c r="G37" s="21"/>
      <c r="H37" s="230">
        <f>VLOOKUP(H36,Check[],5,FALSE)</f>
        <v>308</v>
      </c>
      <c r="I37" s="241"/>
      <c r="J37" s="241"/>
      <c r="K37" s="241"/>
      <c r="L37" s="241"/>
      <c r="M37" s="241"/>
      <c r="N37" s="242"/>
      <c r="O37" s="237">
        <f>VLOOKUP(O36,Check[],5,FALSE)</f>
        <v>309</v>
      </c>
      <c r="P37" s="237"/>
      <c r="Q37" s="232"/>
      <c r="R37" s="237">
        <f>VLOOKUP(R36,Check[],5,FALSE)</f>
        <v>310</v>
      </c>
      <c r="S37" s="237"/>
      <c r="T37" s="232"/>
      <c r="U37" s="232"/>
      <c r="V37" s="237">
        <f>VLOOKUP(V36,Check[],5,FALSE)</f>
        <v>311</v>
      </c>
      <c r="W37" s="237"/>
      <c r="X37" s="237"/>
      <c r="Y37" s="237">
        <f>VLOOKUP(Y36,Check[],5,FALSE)</f>
        <v>312</v>
      </c>
      <c r="Z37" s="233"/>
      <c r="AA37" s="233"/>
      <c r="AB37" s="19"/>
      <c r="AC37" s="1467" t="s">
        <v>12</v>
      </c>
      <c r="AD37" s="1469">
        <f>COUNTIF(Check[סימון],("V."&amp;"*"&amp;$AC37&amp;"."&amp;AD$5&amp;"*"))</f>
        <v>1</v>
      </c>
      <c r="AE37" s="1461">
        <f>COUNTIF(Check[סימון],("S."&amp;"*"&amp;$AC37&amp;"."&amp;AE$5&amp;"*"))</f>
        <v>2</v>
      </c>
      <c r="AF37" s="1472">
        <f>COUNTIF(Check[סימון],("O."&amp;"*"&amp;$AC37&amp;"."&amp;AF$5&amp;"*"))</f>
        <v>6</v>
      </c>
      <c r="AG37" s="1474">
        <f>SUM(AD37:AF37)</f>
        <v>9</v>
      </c>
      <c r="AH37" s="1476">
        <f>SUM(AI37,AG37)</f>
        <v>16</v>
      </c>
      <c r="AI37" s="1478">
        <f>SUM(AJ37:AL37)</f>
        <v>7</v>
      </c>
      <c r="AJ37" s="1480">
        <f>COUNTIF(Check[סימון],("O."&amp;"*"&amp;$AC37&amp;"."&amp;AJ$5&amp;"*"))</f>
        <v>4</v>
      </c>
      <c r="AK37" s="1461">
        <f>COUNTIF(Check[סימון],("S."&amp;"*"&amp;$AC37&amp;"."&amp;AK$5&amp;"*"))</f>
        <v>3</v>
      </c>
      <c r="AL37" s="1463">
        <f>COUNTIF(Check[סימון],("V."&amp;"*"&amp;$AC37&amp;"."&amp;AL$5&amp;"*"))</f>
        <v>0</v>
      </c>
      <c r="AM37" s="1465" t="s">
        <v>20</v>
      </c>
      <c r="AN37" s="247"/>
      <c r="AO37" s="234">
        <f>VLOOKUP(AO36,Check[],5,FALSE)</f>
        <v>306</v>
      </c>
      <c r="AP37" s="240"/>
      <c r="AQ37" s="243">
        <f>VLOOKUP(AQ36,Check[],5,FALSE)</f>
        <v>305</v>
      </c>
      <c r="AR37" s="240"/>
      <c r="AS37" s="243">
        <f>VLOOKUP(AS36,Check[],5,FALSE)</f>
        <v>304</v>
      </c>
      <c r="AT37" s="231"/>
      <c r="AU37" s="231"/>
      <c r="AV37" s="240"/>
      <c r="AW37" s="243">
        <f>VLOOKUP(AW36,Check[],5,FALSE)</f>
        <v>303</v>
      </c>
      <c r="AX37" s="244"/>
      <c r="AY37" s="242"/>
      <c r="AZ37" s="242"/>
      <c r="BA37" s="243">
        <f>VLOOKUP(BA36,Check[],5,FALSE)</f>
        <v>302</v>
      </c>
      <c r="BB37" s="244"/>
      <c r="BC37" s="245"/>
      <c r="BD37" s="245"/>
      <c r="BE37" s="245"/>
      <c r="BF37" s="245"/>
      <c r="BG37" s="246"/>
      <c r="BH37" s="21"/>
      <c r="BI37" s="21"/>
      <c r="BJ37" s="21"/>
      <c r="BK37" s="31"/>
      <c r="BL37" s="362" t="s">
        <v>65</v>
      </c>
      <c r="BM37" s="330"/>
      <c r="BN37" s="1768"/>
      <c r="BP37" s="236" t="s">
        <v>1078</v>
      </c>
    </row>
    <row r="38" spans="1:68" s="196" customFormat="1" ht="15" customHeight="1" thickBot="1" x14ac:dyDescent="0.35">
      <c r="A38" s="1767"/>
      <c r="B38" s="187">
        <f t="shared" ref="B38" si="217">B42+3.6</f>
        <v>157.24</v>
      </c>
      <c r="C38" s="280" t="s">
        <v>1</v>
      </c>
      <c r="D38" s="204"/>
      <c r="E38" s="203"/>
      <c r="F38" s="203"/>
      <c r="G38" s="203"/>
      <c r="H38" s="188">
        <f>VLOOKUP(H36,Check[],6,FALSE)</f>
        <v>4301</v>
      </c>
      <c r="I38" s="206"/>
      <c r="J38" s="206"/>
      <c r="K38" s="206"/>
      <c r="L38" s="206"/>
      <c r="M38" s="206"/>
      <c r="N38" s="207"/>
      <c r="O38" s="199">
        <f>VLOOKUP(O36,Check[],6,FALSE)</f>
        <v>4302</v>
      </c>
      <c r="P38" s="199"/>
      <c r="Q38" s="190"/>
      <c r="R38" s="199">
        <f>VLOOKUP(R36,Check[],6,FALSE)</f>
        <v>4303</v>
      </c>
      <c r="S38" s="199"/>
      <c r="T38" s="190"/>
      <c r="U38" s="190"/>
      <c r="V38" s="199">
        <f>VLOOKUP(V36,Check[],6,FALSE)</f>
        <v>4304</v>
      </c>
      <c r="W38" s="199"/>
      <c r="X38" s="199"/>
      <c r="Y38" s="199">
        <f>VLOOKUP(Y36,Check[],6,FALSE)</f>
        <v>4305</v>
      </c>
      <c r="Z38" s="191"/>
      <c r="AA38" s="191"/>
      <c r="AB38" s="192"/>
      <c r="AC38" s="1468"/>
      <c r="AD38" s="1470"/>
      <c r="AE38" s="1471"/>
      <c r="AF38" s="1473"/>
      <c r="AG38" s="1475"/>
      <c r="AH38" s="1477"/>
      <c r="AI38" s="1479"/>
      <c r="AJ38" s="1481"/>
      <c r="AK38" s="1471"/>
      <c r="AL38" s="1482"/>
      <c r="AM38" s="1483"/>
      <c r="AN38" s="215"/>
      <c r="AO38" s="194">
        <f>VLOOKUP(AO36,Check[],6,FALSE)</f>
        <v>4302</v>
      </c>
      <c r="AP38" s="202"/>
      <c r="AQ38" s="211">
        <f>VLOOKUP(AQ36,Check[],6,FALSE)</f>
        <v>4303</v>
      </c>
      <c r="AR38" s="202"/>
      <c r="AS38" s="211">
        <f>VLOOKUP(AS36,Check[],6,FALSE)</f>
        <v>4304</v>
      </c>
      <c r="AT38" s="189"/>
      <c r="AU38" s="189"/>
      <c r="AV38" s="202"/>
      <c r="AW38" s="211">
        <f>VLOOKUP(AW36,Check[],6,FALSE)</f>
        <v>4305</v>
      </c>
      <c r="AX38" s="212"/>
      <c r="AY38" s="207"/>
      <c r="AZ38" s="207"/>
      <c r="BA38" s="211">
        <f>VLOOKUP(BA36,Check[],6,FALSE)</f>
        <v>4301</v>
      </c>
      <c r="BB38" s="212"/>
      <c r="BC38" s="213"/>
      <c r="BD38" s="213"/>
      <c r="BE38" s="213"/>
      <c r="BF38" s="213"/>
      <c r="BG38" s="214"/>
      <c r="BH38" s="203"/>
      <c r="BI38" s="203"/>
      <c r="BJ38" s="203"/>
      <c r="BK38" s="205"/>
      <c r="BL38" s="363" t="s">
        <v>1</v>
      </c>
      <c r="BM38" s="187">
        <f t="shared" ref="BM38" si="218">BM42+3.6</f>
        <v>157.24</v>
      </c>
      <c r="BN38" s="1769"/>
      <c r="BP38" s="197" t="s">
        <v>1</v>
      </c>
    </row>
    <row r="39" spans="1:68" s="110" customFormat="1" ht="21.95" customHeight="1" thickBot="1" x14ac:dyDescent="0.5">
      <c r="A39" s="1766"/>
      <c r="B39" s="326" t="str">
        <f t="shared" ref="B39" si="219">_xlfn.CONCAT("קומה ",B40)</f>
        <v>קומה 42</v>
      </c>
      <c r="C39" s="278" t="s">
        <v>0</v>
      </c>
      <c r="D39" s="117"/>
      <c r="E39" s="116"/>
      <c r="F39" s="116"/>
      <c r="G39" s="116"/>
      <c r="H39" s="104">
        <f t="shared" ref="H39" si="220">H43+5</f>
        <v>303</v>
      </c>
      <c r="I39" s="120"/>
      <c r="J39" s="120"/>
      <c r="K39" s="120"/>
      <c r="L39" s="120"/>
      <c r="M39" s="120"/>
      <c r="N39" s="115"/>
      <c r="O39" s="112">
        <f t="shared" ref="O39" si="221">O43+5</f>
        <v>304</v>
      </c>
      <c r="P39" s="112"/>
      <c r="Q39" s="106"/>
      <c r="R39" s="112">
        <f t="shared" ref="R39" si="222">R43+5</f>
        <v>305</v>
      </c>
      <c r="S39" s="112"/>
      <c r="T39" s="106"/>
      <c r="U39" s="106"/>
      <c r="V39" s="112">
        <f t="shared" ref="V39" si="223">V43+5</f>
        <v>306</v>
      </c>
      <c r="W39" s="112"/>
      <c r="X39" s="112"/>
      <c r="Y39" s="112">
        <f t="shared" ref="Y39" si="224">Y43+5</f>
        <v>307</v>
      </c>
      <c r="Z39" s="121"/>
      <c r="AA39" s="121"/>
      <c r="AB39" s="107"/>
      <c r="AC39" s="148" t="s">
        <v>15</v>
      </c>
      <c r="AD39" s="149">
        <f>COUNTIF(Check[סימון],("V."&amp;"*"&amp;$AC39&amp;"."&amp;AD$5&amp;"*"))</f>
        <v>9</v>
      </c>
      <c r="AE39" s="150">
        <f>COUNTIF(Check[סימון],("S."&amp;"*"&amp;$AC39&amp;"."&amp;AE$5&amp;"*"))</f>
        <v>5</v>
      </c>
      <c r="AF39" s="151">
        <f>COUNTIF(Check[סימון],("O."&amp;"*"&amp;$AC39&amp;"."&amp;AF$5&amp;"*"))</f>
        <v>5</v>
      </c>
      <c r="AG39" s="152">
        <f>SUM(AD39:AF39)</f>
        <v>19</v>
      </c>
      <c r="AH39" s="153">
        <f>SUM(AI39,AG39)</f>
        <v>37</v>
      </c>
      <c r="AI39" s="154">
        <f>SUM(AJ39:AL39)</f>
        <v>18</v>
      </c>
      <c r="AJ39" s="155">
        <f>COUNTIF(Check[סימון],("O."&amp;"*"&amp;$AC39&amp;"."&amp;AJ$5&amp;"*"))</f>
        <v>4</v>
      </c>
      <c r="AK39" s="150">
        <f>COUNTIF(Check[סימון],("S."&amp;"*"&amp;$AC39&amp;"."&amp;AK$5&amp;"*"))</f>
        <v>14</v>
      </c>
      <c r="AL39" s="156">
        <f>COUNTIF(Check[סימון],("V."&amp;"*"&amp;$AC39&amp;"."&amp;AL$5&amp;"*"))</f>
        <v>0</v>
      </c>
      <c r="AM39" s="157" t="s">
        <v>15</v>
      </c>
      <c r="AN39" s="137"/>
      <c r="AO39" s="108">
        <f t="shared" ref="AO39" si="225">AO43+5</f>
        <v>301</v>
      </c>
      <c r="AP39" s="115"/>
      <c r="AQ39" s="123">
        <f t="shared" ref="AQ39" si="226">AQ43+5</f>
        <v>300</v>
      </c>
      <c r="AR39" s="115"/>
      <c r="AS39" s="123">
        <f t="shared" ref="AS39" si="227">AS43+5</f>
        <v>299</v>
      </c>
      <c r="AT39" s="105"/>
      <c r="AU39" s="105"/>
      <c r="AV39" s="115"/>
      <c r="AW39" s="123">
        <f t="shared" ref="AW39" si="228">AW43+5</f>
        <v>298</v>
      </c>
      <c r="AX39" s="105"/>
      <c r="AY39" s="115"/>
      <c r="AZ39" s="115"/>
      <c r="BA39" s="123">
        <f t="shared" ref="BA39" si="229">BA43+5</f>
        <v>297</v>
      </c>
      <c r="BB39" s="105"/>
      <c r="BC39" s="109"/>
      <c r="BD39" s="109"/>
      <c r="BE39" s="109"/>
      <c r="BF39" s="109"/>
      <c r="BG39" s="124"/>
      <c r="BH39" s="116"/>
      <c r="BI39" s="116"/>
      <c r="BJ39" s="116"/>
      <c r="BK39" s="119"/>
      <c r="BL39" s="361" t="s">
        <v>0</v>
      </c>
      <c r="BM39" s="326" t="str">
        <f t="shared" ref="BM39" si="230">_xlfn.CONCAT("קומה ",BM40)</f>
        <v>קומה 42</v>
      </c>
      <c r="BN39" s="1768"/>
      <c r="BP39" s="111" t="s">
        <v>0</v>
      </c>
    </row>
    <row r="40" spans="1:68" s="52" customFormat="1" ht="9.9499999999999993" hidden="1" customHeight="1" x14ac:dyDescent="0.2">
      <c r="A40" s="1766"/>
      <c r="B40" s="329">
        <f t="shared" si="57"/>
        <v>42</v>
      </c>
      <c r="C40" s="278" t="s">
        <v>89</v>
      </c>
      <c r="D40" s="56"/>
      <c r="E40" s="55"/>
      <c r="F40" s="55"/>
      <c r="G40" s="55"/>
      <c r="H40" s="66" t="str">
        <f>VLOOKUP("*"&amp;H$5&amp;".Ap."&amp;H39,Check[],1,FALSE)</f>
        <v>V.GMS.P.4D.TS.Ap.303</v>
      </c>
      <c r="I40" s="64" t="str">
        <f t="shared" ref="I40" si="231">H40</f>
        <v>V.GMS.P.4D.TS.Ap.303</v>
      </c>
      <c r="J40" s="64" t="str">
        <f t="shared" ref="J40" si="232">I40</f>
        <v>V.GMS.P.4D.TS.Ap.303</v>
      </c>
      <c r="K40" s="64" t="str">
        <f t="shared" ref="K40" si="233">J40</f>
        <v>V.GMS.P.4D.TS.Ap.303</v>
      </c>
      <c r="L40" s="64" t="str">
        <f t="shared" ref="L40" si="234">K40</f>
        <v>V.GMS.P.4D.TS.Ap.303</v>
      </c>
      <c r="M40" s="64" t="str">
        <f t="shared" ref="M40" si="235">L40</f>
        <v>V.GMS.P.4D.TS.Ap.303</v>
      </c>
      <c r="N40" s="68" t="str">
        <f t="shared" ref="N40" si="236">M40</f>
        <v>V.GMS.P.4D.TS.Ap.303</v>
      </c>
      <c r="O40" s="64" t="str">
        <f>VLOOKUP("*"&amp;O$5&amp;".Ap."&amp;O39,Check[],1,FALSE)</f>
        <v>O.P.4E.TS.Ap.304</v>
      </c>
      <c r="P40" s="64" t="str">
        <f t="shared" ref="P40:Q40" si="237">O40</f>
        <v>O.P.4E.TS.Ap.304</v>
      </c>
      <c r="Q40" s="68" t="str">
        <f t="shared" si="237"/>
        <v>O.P.4E.TS.Ap.304</v>
      </c>
      <c r="R40" s="64" t="str">
        <f>VLOOKUP("*"&amp;R$5&amp;".Ap."&amp;R39,Check[],1,FALSE)</f>
        <v>O.P.4F.TS.Ap.305</v>
      </c>
      <c r="S40" s="64" t="str">
        <f t="shared" ref="S40:U40" si="238">R40</f>
        <v>O.P.4F.TS.Ap.305</v>
      </c>
      <c r="T40" s="68" t="str">
        <f t="shared" si="238"/>
        <v>O.P.4F.TS.Ap.305</v>
      </c>
      <c r="U40" s="68" t="str">
        <f t="shared" si="238"/>
        <v>O.P.4F.TS.Ap.305</v>
      </c>
      <c r="V40" s="64" t="str">
        <f>VLOOKUP("*"&amp;V$5&amp;".Ap."&amp;V39,Check[],1,FALSE)</f>
        <v>S.P.5CP.TS.Ap.306</v>
      </c>
      <c r="W40" s="64" t="str">
        <f t="shared" si="66"/>
        <v>S.P.5CP.TS.Ap.306</v>
      </c>
      <c r="X40" s="64" t="str">
        <f t="shared" ref="X40" si="239">V40</f>
        <v>S.P.5CP.TS.Ap.306</v>
      </c>
      <c r="Y40" s="64" t="str">
        <f>VLOOKUP("*"&amp;Y$5&amp;".Ap."&amp;Y39,Check[],1,FALSE)</f>
        <v>V.GM.P.4BP.TS.Ap.307</v>
      </c>
      <c r="Z40" s="65" t="str">
        <f t="shared" si="68"/>
        <v>V.GM.P.4BP.TS.Ap.307</v>
      </c>
      <c r="AA40" s="65" t="str">
        <f t="shared" ref="AA40" si="240">Y40</f>
        <v>V.GM.P.4BP.TS.Ap.307</v>
      </c>
      <c r="AB40" s="50"/>
      <c r="AC40" s="314"/>
      <c r="AD40" s="317"/>
      <c r="AE40" s="318"/>
      <c r="AF40" s="319"/>
      <c r="AG40" s="320"/>
      <c r="AH40" s="321"/>
      <c r="AI40" s="314"/>
      <c r="AJ40" s="322"/>
      <c r="AK40" s="318"/>
      <c r="AL40" s="323"/>
      <c r="AM40" s="315"/>
      <c r="AN40" s="61"/>
      <c r="AO40" s="76" t="str">
        <f>VLOOKUP("*"&amp;AO$5&amp;".Ap."&amp;AO39,Check[],1,FALSE)</f>
        <v>V.GMC.P.5BP.TN.Ap.301</v>
      </c>
      <c r="AP40" s="68" t="str">
        <f t="shared" ref="AP40" si="241">AO40</f>
        <v>V.GMC.P.5BP.TN.Ap.301</v>
      </c>
      <c r="AQ40" s="72" t="str">
        <f>VLOOKUP("*"&amp;AQ$5&amp;".Ap."&amp;AQ39,Check[],1,FALSE)</f>
        <v>O.P.5AP.TN.Ap.300</v>
      </c>
      <c r="AR40" s="68" t="str">
        <f t="shared" ref="AR40" si="242">AQ40</f>
        <v>O.P.5AP.TN.Ap.300</v>
      </c>
      <c r="AS40" s="72" t="str">
        <f>VLOOKUP("*"&amp;AS$5&amp;".Ap."&amp;AS39,Check[],1,FALSE)</f>
        <v>O.P.4F.TN.Ap.299</v>
      </c>
      <c r="AT40" s="67" t="str">
        <f t="shared" ref="AT40:AV40" si="243">AS40</f>
        <v>O.P.4F.TN.Ap.299</v>
      </c>
      <c r="AU40" s="67" t="str">
        <f t="shared" si="243"/>
        <v>O.P.4F.TN.Ap.299</v>
      </c>
      <c r="AV40" s="68" t="str">
        <f t="shared" si="243"/>
        <v>O.P.4F.TN.Ap.299</v>
      </c>
      <c r="AW40" s="72" t="str">
        <f>VLOOKUP("*"&amp;AW$5&amp;".Ap."&amp;AW39,Check[],1,FALSE)</f>
        <v>S.P.4E.TN.Ap.298</v>
      </c>
      <c r="AX40" s="67" t="str">
        <f t="shared" ref="AX40:AZ40" si="244">AW40</f>
        <v>S.P.4E.TN.Ap.298</v>
      </c>
      <c r="AY40" s="68" t="str">
        <f t="shared" si="244"/>
        <v>S.P.4E.TN.Ap.298</v>
      </c>
      <c r="AZ40" s="68" t="str">
        <f t="shared" si="244"/>
        <v>S.P.4E.TN.Ap.298</v>
      </c>
      <c r="BA40" s="72" t="str">
        <f>VLOOKUP("*"&amp;BA$5&amp;".Ap."&amp;BA39,Check[],1,FALSE)</f>
        <v>V.GMS.P.4D.TN.Ap.297</v>
      </c>
      <c r="BB40" s="67" t="str">
        <f t="shared" ref="BB40" si="245">BA40</f>
        <v>V.GMS.P.4D.TN.Ap.297</v>
      </c>
      <c r="BC40" s="77" t="str">
        <f t="shared" ref="BC40" si="246">BB40</f>
        <v>V.GMS.P.4D.TN.Ap.297</v>
      </c>
      <c r="BD40" s="77" t="str">
        <f t="shared" ref="BD40" si="247">BC40</f>
        <v>V.GMS.P.4D.TN.Ap.297</v>
      </c>
      <c r="BE40" s="77" t="str">
        <f t="shared" ref="BE40" si="248">BD40</f>
        <v>V.GMS.P.4D.TN.Ap.297</v>
      </c>
      <c r="BF40" s="77" t="str">
        <f t="shared" ref="BF40" si="249">BE40</f>
        <v>V.GMS.P.4D.TN.Ap.297</v>
      </c>
      <c r="BG40" s="79" t="str">
        <f t="shared" ref="BG40" si="250">BF40</f>
        <v>V.GMS.P.4D.TN.Ap.297</v>
      </c>
      <c r="BH40" s="55"/>
      <c r="BI40" s="55"/>
      <c r="BJ40" s="55"/>
      <c r="BK40" s="57"/>
      <c r="BL40" s="361" t="s">
        <v>89</v>
      </c>
      <c r="BM40" s="329">
        <f t="shared" si="80"/>
        <v>42</v>
      </c>
      <c r="BN40" s="1768"/>
      <c r="BP40" s="53" t="s">
        <v>89</v>
      </c>
    </row>
    <row r="41" spans="1:68" s="8" customFormat="1" ht="12" customHeight="1" x14ac:dyDescent="0.3">
      <c r="A41" s="1766"/>
      <c r="B41" s="330"/>
      <c r="C41" s="279" t="s">
        <v>65</v>
      </c>
      <c r="D41" s="25"/>
      <c r="E41" s="21"/>
      <c r="F41" s="21"/>
      <c r="G41" s="21"/>
      <c r="H41" s="230">
        <f>VLOOKUP(H40,Check[],5,FALSE)</f>
        <v>303</v>
      </c>
      <c r="I41" s="241"/>
      <c r="J41" s="241"/>
      <c r="K41" s="241"/>
      <c r="L41" s="241"/>
      <c r="M41" s="241"/>
      <c r="N41" s="242"/>
      <c r="O41" s="237">
        <f>VLOOKUP(O40,Check[],5,FALSE)</f>
        <v>304</v>
      </c>
      <c r="P41" s="237"/>
      <c r="Q41" s="232"/>
      <c r="R41" s="237">
        <f>VLOOKUP(R40,Check[],5,FALSE)</f>
        <v>305</v>
      </c>
      <c r="S41" s="237"/>
      <c r="T41" s="232"/>
      <c r="U41" s="232"/>
      <c r="V41" s="237">
        <f>VLOOKUP(V40,Check[],5,FALSE)</f>
        <v>306</v>
      </c>
      <c r="W41" s="237"/>
      <c r="X41" s="237"/>
      <c r="Y41" s="237">
        <f>VLOOKUP(Y40,Check[],5,FALSE)</f>
        <v>307</v>
      </c>
      <c r="Z41" s="233"/>
      <c r="AA41" s="233"/>
      <c r="AB41" s="19"/>
      <c r="AC41" s="1467" t="s">
        <v>9</v>
      </c>
      <c r="AD41" s="1469">
        <f>COUNTIF(Check[סימון],("V."&amp;"*"&amp;$AC41&amp;"."&amp;AD$5&amp;"*"))</f>
        <v>9</v>
      </c>
      <c r="AE41" s="1461">
        <f>COUNTIF(Check[סימון],("S."&amp;"*"&amp;$AC41&amp;"."&amp;AE$5&amp;"*"))</f>
        <v>10</v>
      </c>
      <c r="AF41" s="1472">
        <f>COUNTIF(Check[סימון],("O."&amp;"*"&amp;$AC41&amp;"."&amp;AF$5&amp;"*"))</f>
        <v>13</v>
      </c>
      <c r="AG41" s="1474">
        <f>SUM(AD41:AF41)</f>
        <v>32</v>
      </c>
      <c r="AH41" s="1476">
        <f>SUM(AI41,AG41)</f>
        <v>63</v>
      </c>
      <c r="AI41" s="1478">
        <f>SUM(AJ41:AL41)</f>
        <v>31</v>
      </c>
      <c r="AJ41" s="1480">
        <f>COUNTIF(Check[סימון],("O."&amp;"*"&amp;$AC41&amp;"."&amp;AJ$5&amp;"*"))</f>
        <v>0</v>
      </c>
      <c r="AK41" s="1461">
        <f>COUNTIF(Check[סימון],("S."&amp;"*"&amp;$AC41&amp;"."&amp;AK$5&amp;"*"))</f>
        <v>20</v>
      </c>
      <c r="AL41" s="1463">
        <f>COUNTIF(Check[סימון],("V."&amp;"*"&amp;$AC41&amp;"."&amp;AL$5&amp;"*"))</f>
        <v>11</v>
      </c>
      <c r="AM41" s="1465" t="s">
        <v>20</v>
      </c>
      <c r="AN41" s="247"/>
      <c r="AO41" s="234">
        <f>VLOOKUP(AO40,Check[],5,FALSE)</f>
        <v>301</v>
      </c>
      <c r="AP41" s="240"/>
      <c r="AQ41" s="243">
        <f>VLOOKUP(AQ40,Check[],5,FALSE)</f>
        <v>300</v>
      </c>
      <c r="AR41" s="240"/>
      <c r="AS41" s="243">
        <f>VLOOKUP(AS40,Check[],5,FALSE)</f>
        <v>299</v>
      </c>
      <c r="AT41" s="231"/>
      <c r="AU41" s="231"/>
      <c r="AV41" s="240"/>
      <c r="AW41" s="243">
        <f>VLOOKUP(AW40,Check[],5,FALSE)</f>
        <v>298</v>
      </c>
      <c r="AX41" s="244"/>
      <c r="AY41" s="242"/>
      <c r="AZ41" s="242"/>
      <c r="BA41" s="243">
        <f>VLOOKUP(BA40,Check[],5,FALSE)</f>
        <v>297</v>
      </c>
      <c r="BB41" s="244"/>
      <c r="BC41" s="245"/>
      <c r="BD41" s="245"/>
      <c r="BE41" s="245"/>
      <c r="BF41" s="245"/>
      <c r="BG41" s="246"/>
      <c r="BH41" s="21"/>
      <c r="BI41" s="21"/>
      <c r="BJ41" s="21"/>
      <c r="BK41" s="31"/>
      <c r="BL41" s="362" t="s">
        <v>65</v>
      </c>
      <c r="BM41" s="330"/>
      <c r="BN41" s="1768"/>
      <c r="BP41" s="236" t="s">
        <v>1078</v>
      </c>
    </row>
    <row r="42" spans="1:68" s="196" customFormat="1" ht="15" customHeight="1" thickBot="1" x14ac:dyDescent="0.4">
      <c r="A42" s="1767"/>
      <c r="B42" s="187">
        <f t="shared" ref="B42" si="251">B46+3.6</f>
        <v>153.64000000000001</v>
      </c>
      <c r="C42" s="280" t="s">
        <v>1</v>
      </c>
      <c r="D42" s="204"/>
      <c r="E42" s="203"/>
      <c r="F42" s="203"/>
      <c r="G42" s="203"/>
      <c r="H42" s="188">
        <f>VLOOKUP(H40,Check[],6,FALSE)</f>
        <v>4201</v>
      </c>
      <c r="I42" s="206"/>
      <c r="J42" s="206"/>
      <c r="K42" s="206"/>
      <c r="L42" s="206"/>
      <c r="M42" s="206"/>
      <c r="N42" s="207"/>
      <c r="O42" s="199">
        <f>VLOOKUP(O40,Check[],6,FALSE)</f>
        <v>4202</v>
      </c>
      <c r="P42" s="199"/>
      <c r="Q42" s="190"/>
      <c r="R42" s="199">
        <f>VLOOKUP(R40,Check[],6,FALSE)</f>
        <v>4203</v>
      </c>
      <c r="S42" s="199"/>
      <c r="T42" s="190"/>
      <c r="U42" s="190"/>
      <c r="V42" s="199">
        <f>VLOOKUP(V40,Check[],6,FALSE)</f>
        <v>4204</v>
      </c>
      <c r="W42" s="199"/>
      <c r="X42" s="199"/>
      <c r="Y42" s="199">
        <f>VLOOKUP(Y40,Check[],6,FALSE)</f>
        <v>4205</v>
      </c>
      <c r="Z42" s="191"/>
      <c r="AA42" s="191"/>
      <c r="AB42" s="192"/>
      <c r="AC42" s="1468"/>
      <c r="AD42" s="1470"/>
      <c r="AE42" s="1471"/>
      <c r="AF42" s="1473"/>
      <c r="AG42" s="1475"/>
      <c r="AH42" s="1477"/>
      <c r="AI42" s="1479"/>
      <c r="AJ42" s="1481"/>
      <c r="AK42" s="1471"/>
      <c r="AL42" s="1482"/>
      <c r="AM42" s="1483"/>
      <c r="AN42" s="215"/>
      <c r="AO42" s="194">
        <f>VLOOKUP(AO40,Check[],6,FALSE)</f>
        <v>4202</v>
      </c>
      <c r="AP42" s="202"/>
      <c r="AQ42" s="211">
        <f>VLOOKUP(AQ40,Check[],6,FALSE)</f>
        <v>4203</v>
      </c>
      <c r="AR42" s="202"/>
      <c r="AS42" s="211">
        <f>VLOOKUP(AS40,Check[],6,FALSE)</f>
        <v>4204</v>
      </c>
      <c r="AT42" s="189"/>
      <c r="AU42" s="189"/>
      <c r="AV42" s="202"/>
      <c r="AW42" s="211">
        <f>VLOOKUP(AW40,Check[],6,FALSE)</f>
        <v>4205</v>
      </c>
      <c r="AX42" s="212"/>
      <c r="AY42" s="207"/>
      <c r="AZ42" s="207"/>
      <c r="BA42" s="211">
        <f>VLOOKUP(BA40,Check[],6,FALSE)</f>
        <v>4201</v>
      </c>
      <c r="BB42" s="212"/>
      <c r="BC42" s="213"/>
      <c r="BD42" s="213"/>
      <c r="BE42" s="213"/>
      <c r="BF42" s="213"/>
      <c r="BG42" s="214"/>
      <c r="BH42" s="203"/>
      <c r="BI42" s="203"/>
      <c r="BJ42" s="203"/>
      <c r="BK42" s="205"/>
      <c r="BL42" s="363" t="s">
        <v>1</v>
      </c>
      <c r="BM42" s="187">
        <f t="shared" ref="BM42" si="252">BM46+3.6</f>
        <v>153.64000000000001</v>
      </c>
      <c r="BN42" s="1769"/>
      <c r="BP42" s="197" t="s">
        <v>1</v>
      </c>
    </row>
    <row r="43" spans="1:68" s="110" customFormat="1" ht="21.95" customHeight="1" x14ac:dyDescent="0.45">
      <c r="A43" s="1766"/>
      <c r="B43" s="326" t="str">
        <f t="shared" ref="B43" si="253">_xlfn.CONCAT("קומה ",B44)</f>
        <v>קומה 41</v>
      </c>
      <c r="C43" s="278" t="s">
        <v>0</v>
      </c>
      <c r="D43" s="117"/>
      <c r="E43" s="116"/>
      <c r="F43" s="116"/>
      <c r="G43" s="116"/>
      <c r="H43" s="104">
        <f t="shared" ref="H43" si="254">H47+5</f>
        <v>298</v>
      </c>
      <c r="I43" s="120"/>
      <c r="J43" s="120"/>
      <c r="K43" s="120"/>
      <c r="L43" s="120"/>
      <c r="M43" s="120"/>
      <c r="N43" s="115"/>
      <c r="O43" s="112">
        <f t="shared" ref="O43" si="255">O47+5</f>
        <v>299</v>
      </c>
      <c r="P43" s="112"/>
      <c r="Q43" s="106"/>
      <c r="R43" s="112">
        <f t="shared" ref="R43" si="256">R47+5</f>
        <v>300</v>
      </c>
      <c r="S43" s="112"/>
      <c r="T43" s="106"/>
      <c r="U43" s="106"/>
      <c r="V43" s="112">
        <f t="shared" ref="V43" si="257">V47+5</f>
        <v>301</v>
      </c>
      <c r="W43" s="112"/>
      <c r="X43" s="112"/>
      <c r="Y43" s="112">
        <f t="shared" ref="Y43" si="258">Y47+5</f>
        <v>302</v>
      </c>
      <c r="Z43" s="121"/>
      <c r="AA43" s="121"/>
      <c r="AB43" s="107"/>
      <c r="AC43" s="127" t="s">
        <v>19</v>
      </c>
      <c r="AD43" s="128">
        <f>COUNTIF(Check[סימון],("V."&amp;"*"&amp;$AC43&amp;"."&amp;AD$5&amp;"*"))</f>
        <v>9</v>
      </c>
      <c r="AE43" s="129">
        <f>COUNTIF(Check[סימון],("S."&amp;"*"&amp;$AC43&amp;"."&amp;AE$5&amp;"*"))</f>
        <v>0</v>
      </c>
      <c r="AF43" s="130">
        <f>COUNTIF(Check[סימון],("O."&amp;"*"&amp;$AC43&amp;"."&amp;AF$5&amp;"*"))</f>
        <v>2</v>
      </c>
      <c r="AG43" s="131">
        <f>SUM(AD43:AF43)</f>
        <v>11</v>
      </c>
      <c r="AH43" s="132">
        <f>SUM(AI43,AG43)</f>
        <v>21</v>
      </c>
      <c r="AI43" s="133">
        <f>SUM(AJ43:AL43)</f>
        <v>10</v>
      </c>
      <c r="AJ43" s="134">
        <f>COUNTIF(Check[סימון],("O."&amp;"*"&amp;$AC43&amp;"."&amp;AJ$5&amp;"*"))</f>
        <v>0</v>
      </c>
      <c r="AK43" s="129">
        <f>COUNTIF(Check[סימון],("S."&amp;"*"&amp;$AC43&amp;"."&amp;AK$5&amp;"*"))</f>
        <v>10</v>
      </c>
      <c r="AL43" s="135">
        <f>COUNTIF(Check[סימון],("V."&amp;"*"&amp;$AC43&amp;"."&amp;AL$5&amp;"*"))</f>
        <v>0</v>
      </c>
      <c r="AM43" s="136" t="s">
        <v>19</v>
      </c>
      <c r="AN43" s="137"/>
      <c r="AO43" s="108">
        <f t="shared" ref="AO43" si="259">AO47+5</f>
        <v>296</v>
      </c>
      <c r="AP43" s="115"/>
      <c r="AQ43" s="123">
        <f t="shared" ref="AQ43" si="260">AQ47+5</f>
        <v>295</v>
      </c>
      <c r="AR43" s="115"/>
      <c r="AS43" s="123">
        <f t="shared" ref="AS43" si="261">AS47+5</f>
        <v>294</v>
      </c>
      <c r="AT43" s="105"/>
      <c r="AU43" s="105"/>
      <c r="AV43" s="115"/>
      <c r="AW43" s="123">
        <f t="shared" ref="AW43" si="262">AW47+5</f>
        <v>293</v>
      </c>
      <c r="AX43" s="105"/>
      <c r="AY43" s="115"/>
      <c r="AZ43" s="115"/>
      <c r="BA43" s="123">
        <f t="shared" ref="BA43" si="263">BA47+5</f>
        <v>292</v>
      </c>
      <c r="BB43" s="105"/>
      <c r="BC43" s="109"/>
      <c r="BD43" s="109"/>
      <c r="BE43" s="109"/>
      <c r="BF43" s="109"/>
      <c r="BG43" s="124"/>
      <c r="BH43" s="116"/>
      <c r="BI43" s="116"/>
      <c r="BJ43" s="116"/>
      <c r="BK43" s="119"/>
      <c r="BL43" s="361" t="s">
        <v>0</v>
      </c>
      <c r="BM43" s="326" t="str">
        <f t="shared" ref="BM43" si="264">_xlfn.CONCAT("קומה ",BM44)</f>
        <v>קומה 41</v>
      </c>
      <c r="BN43" s="1768"/>
      <c r="BP43" s="111" t="s">
        <v>0</v>
      </c>
    </row>
    <row r="44" spans="1:68" s="52" customFormat="1" ht="9.9499999999999993" hidden="1" customHeight="1" x14ac:dyDescent="0.2">
      <c r="A44" s="1766"/>
      <c r="B44" s="329">
        <f t="shared" si="57"/>
        <v>41</v>
      </c>
      <c r="C44" s="278" t="s">
        <v>89</v>
      </c>
      <c r="D44" s="56"/>
      <c r="E44" s="55"/>
      <c r="F44" s="55"/>
      <c r="G44" s="55"/>
      <c r="H44" s="66" t="str">
        <f>VLOOKUP("*"&amp;H$5&amp;".Ap."&amp;H43,Check[],1,FALSE)</f>
        <v>V.GMS.P.4D.TS.Ap.298</v>
      </c>
      <c r="I44" s="64" t="str">
        <f t="shared" ref="I44" si="265">H44</f>
        <v>V.GMS.P.4D.TS.Ap.298</v>
      </c>
      <c r="J44" s="64" t="str">
        <f t="shared" ref="J44" si="266">I44</f>
        <v>V.GMS.P.4D.TS.Ap.298</v>
      </c>
      <c r="K44" s="64" t="str">
        <f t="shared" ref="K44" si="267">J44</f>
        <v>V.GMS.P.4D.TS.Ap.298</v>
      </c>
      <c r="L44" s="64" t="str">
        <f t="shared" ref="L44" si="268">K44</f>
        <v>V.GMS.P.4D.TS.Ap.298</v>
      </c>
      <c r="M44" s="64" t="str">
        <f t="shared" ref="M44" si="269">L44</f>
        <v>V.GMS.P.4D.TS.Ap.298</v>
      </c>
      <c r="N44" s="68" t="str">
        <f t="shared" ref="N44" si="270">M44</f>
        <v>V.GMS.P.4D.TS.Ap.298</v>
      </c>
      <c r="O44" s="64" t="str">
        <f>VLOOKUP("*"&amp;O$5&amp;".Ap."&amp;O43,Check[],1,FALSE)</f>
        <v>O.P.4E.TS.Ap.299</v>
      </c>
      <c r="P44" s="64" t="str">
        <f t="shared" ref="P44:Q44" si="271">O44</f>
        <v>O.P.4E.TS.Ap.299</v>
      </c>
      <c r="Q44" s="68" t="str">
        <f t="shared" si="271"/>
        <v>O.P.4E.TS.Ap.299</v>
      </c>
      <c r="R44" s="64" t="str">
        <f>VLOOKUP("*"&amp;R$5&amp;".Ap."&amp;R43,Check[],1,FALSE)</f>
        <v>O.P.4F.TS.Ap.300</v>
      </c>
      <c r="S44" s="64" t="str">
        <f t="shared" ref="S44:U44" si="272">R44</f>
        <v>O.P.4F.TS.Ap.300</v>
      </c>
      <c r="T44" s="68" t="str">
        <f t="shared" si="272"/>
        <v>O.P.4F.TS.Ap.300</v>
      </c>
      <c r="U44" s="68" t="str">
        <f t="shared" si="272"/>
        <v>O.P.4F.TS.Ap.300</v>
      </c>
      <c r="V44" s="64" t="str">
        <f>VLOOKUP("*"&amp;V$5&amp;".Ap."&amp;V43,Check[],1,FALSE)</f>
        <v>S.P.5AP.TS.Ap.301</v>
      </c>
      <c r="W44" s="64" t="str">
        <f t="shared" si="66"/>
        <v>S.P.5AP.TS.Ap.301</v>
      </c>
      <c r="X44" s="64" t="str">
        <f t="shared" ref="X44" si="273">V44</f>
        <v>S.P.5AP.TS.Ap.301</v>
      </c>
      <c r="Y44" s="64" t="str">
        <f>VLOOKUP("*"&amp;Y$5&amp;".Ap."&amp;Y43,Check[],1,FALSE)</f>
        <v>S.P.5BP.TS.Ap.302</v>
      </c>
      <c r="Z44" s="65" t="str">
        <f t="shared" si="68"/>
        <v>S.P.5BP.TS.Ap.302</v>
      </c>
      <c r="AA44" s="65" t="str">
        <f t="shared" ref="AA44" si="274">Y44</f>
        <v>S.P.5BP.TS.Ap.302</v>
      </c>
      <c r="AB44" s="50"/>
      <c r="AC44" s="314"/>
      <c r="AD44" s="317"/>
      <c r="AE44" s="318"/>
      <c r="AF44" s="319"/>
      <c r="AG44" s="320"/>
      <c r="AH44" s="321"/>
      <c r="AI44" s="314"/>
      <c r="AJ44" s="322"/>
      <c r="AK44" s="318"/>
      <c r="AL44" s="323"/>
      <c r="AM44" s="315"/>
      <c r="AN44" s="61"/>
      <c r="AO44" s="76" t="str">
        <f>VLOOKUP("*"&amp;AO$5&amp;".Ap."&amp;AO43,Check[],1,FALSE)</f>
        <v>S.P.5BP.TN.Ap.296</v>
      </c>
      <c r="AP44" s="68" t="str">
        <f t="shared" ref="AP44" si="275">AO44</f>
        <v>S.P.5BP.TN.Ap.296</v>
      </c>
      <c r="AQ44" s="72" t="str">
        <f>VLOOKUP("*"&amp;AQ$5&amp;".Ap."&amp;AQ43,Check[],1,FALSE)</f>
        <v>S.P.5AP.TN.Ap.295</v>
      </c>
      <c r="AR44" s="68" t="str">
        <f t="shared" ref="AR44" si="276">AQ44</f>
        <v>S.P.5AP.TN.Ap.295</v>
      </c>
      <c r="AS44" s="72" t="str">
        <f>VLOOKUP("*"&amp;AS$5&amp;".Ap."&amp;AS43,Check[],1,FALSE)</f>
        <v>S.P.4F.TN.Ap.294</v>
      </c>
      <c r="AT44" s="67" t="str">
        <f t="shared" ref="AT44:AV44" si="277">AS44</f>
        <v>S.P.4F.TN.Ap.294</v>
      </c>
      <c r="AU44" s="67" t="str">
        <f t="shared" si="277"/>
        <v>S.P.4F.TN.Ap.294</v>
      </c>
      <c r="AV44" s="68" t="str">
        <f t="shared" si="277"/>
        <v>S.P.4F.TN.Ap.294</v>
      </c>
      <c r="AW44" s="72" t="str">
        <f>VLOOKUP("*"&amp;AW$5&amp;".Ap."&amp;AW43,Check[],1,FALSE)</f>
        <v>S.P.4E.TN.Ap.293</v>
      </c>
      <c r="AX44" s="67" t="str">
        <f t="shared" ref="AX44:AZ44" si="278">AW44</f>
        <v>S.P.4E.TN.Ap.293</v>
      </c>
      <c r="AY44" s="68" t="str">
        <f t="shared" si="278"/>
        <v>S.P.4E.TN.Ap.293</v>
      </c>
      <c r="AZ44" s="68" t="str">
        <f t="shared" si="278"/>
        <v>S.P.4E.TN.Ap.293</v>
      </c>
      <c r="BA44" s="72" t="str">
        <f>VLOOKUP("*"&amp;BA$5&amp;".Ap."&amp;BA43,Check[],1,FALSE)</f>
        <v>V.GMS.P.4D.TN.Ap.292</v>
      </c>
      <c r="BB44" s="67" t="str">
        <f t="shared" ref="BB44" si="279">BA44</f>
        <v>V.GMS.P.4D.TN.Ap.292</v>
      </c>
      <c r="BC44" s="77" t="str">
        <f t="shared" ref="BC44" si="280">BB44</f>
        <v>V.GMS.P.4D.TN.Ap.292</v>
      </c>
      <c r="BD44" s="77" t="str">
        <f t="shared" ref="BD44" si="281">BC44</f>
        <v>V.GMS.P.4D.TN.Ap.292</v>
      </c>
      <c r="BE44" s="77" t="str">
        <f t="shared" ref="BE44" si="282">BD44</f>
        <v>V.GMS.P.4D.TN.Ap.292</v>
      </c>
      <c r="BF44" s="77" t="str">
        <f t="shared" ref="BF44" si="283">BE44</f>
        <v>V.GMS.P.4D.TN.Ap.292</v>
      </c>
      <c r="BG44" s="79" t="str">
        <f t="shared" ref="BG44" si="284">BF44</f>
        <v>V.GMS.P.4D.TN.Ap.292</v>
      </c>
      <c r="BH44" s="55"/>
      <c r="BI44" s="55"/>
      <c r="BJ44" s="55"/>
      <c r="BK44" s="57"/>
      <c r="BL44" s="361" t="s">
        <v>89</v>
      </c>
      <c r="BM44" s="329">
        <f t="shared" si="80"/>
        <v>41</v>
      </c>
      <c r="BN44" s="1768"/>
      <c r="BP44" s="53" t="s">
        <v>89</v>
      </c>
    </row>
    <row r="45" spans="1:68" s="8" customFormat="1" ht="12" customHeight="1" x14ac:dyDescent="0.3">
      <c r="A45" s="1766"/>
      <c r="B45" s="330"/>
      <c r="C45" s="279" t="s">
        <v>65</v>
      </c>
      <c r="D45" s="25"/>
      <c r="E45" s="21"/>
      <c r="F45" s="21"/>
      <c r="G45" s="21"/>
      <c r="H45" s="230">
        <f>VLOOKUP(H44,Check[],5,FALSE)</f>
        <v>298</v>
      </c>
      <c r="I45" s="241"/>
      <c r="J45" s="241"/>
      <c r="K45" s="241"/>
      <c r="L45" s="241"/>
      <c r="M45" s="241"/>
      <c r="N45" s="242"/>
      <c r="O45" s="237">
        <f>VLOOKUP(O44,Check[],5,FALSE)</f>
        <v>299</v>
      </c>
      <c r="P45" s="237"/>
      <c r="Q45" s="232"/>
      <c r="R45" s="237">
        <f>VLOOKUP(R44,Check[],5,FALSE)</f>
        <v>300</v>
      </c>
      <c r="S45" s="237"/>
      <c r="T45" s="232"/>
      <c r="U45" s="232"/>
      <c r="V45" s="237">
        <f>VLOOKUP(V44,Check[],5,FALSE)</f>
        <v>301</v>
      </c>
      <c r="W45" s="237"/>
      <c r="X45" s="237"/>
      <c r="Y45" s="237">
        <f>VLOOKUP(Y44,Check[],5,FALSE)</f>
        <v>302</v>
      </c>
      <c r="Z45" s="233"/>
      <c r="AA45" s="233"/>
      <c r="AB45" s="19"/>
      <c r="AC45" s="1467" t="s">
        <v>18</v>
      </c>
      <c r="AD45" s="1469">
        <f>COUNTIF(Check[סימון],("V."&amp;"*"&amp;$AC45&amp;"."&amp;AD$5&amp;"*"))</f>
        <v>0</v>
      </c>
      <c r="AE45" s="1461">
        <f>COUNTIF(Check[סימון],("S."&amp;"*"&amp;$AC45&amp;"."&amp;AE$5&amp;"*"))</f>
        <v>10</v>
      </c>
      <c r="AF45" s="1472">
        <f>COUNTIF(Check[סימון],("O."&amp;"*"&amp;$AC45&amp;"."&amp;AF$5&amp;"*"))</f>
        <v>1</v>
      </c>
      <c r="AG45" s="1474">
        <f>SUM(AD45:AF45)</f>
        <v>11</v>
      </c>
      <c r="AH45" s="1476">
        <f>SUM(AI45,AG45)</f>
        <v>21</v>
      </c>
      <c r="AI45" s="1478">
        <f>SUM(AJ45:AL45)</f>
        <v>10</v>
      </c>
      <c r="AJ45" s="1480">
        <f>COUNTIF(Check[סימון],("O."&amp;"*"&amp;$AC45&amp;"."&amp;AJ$5&amp;"*"))</f>
        <v>1</v>
      </c>
      <c r="AK45" s="1461">
        <f>COUNTIF(Check[סימון],("S."&amp;"*"&amp;$AC45&amp;"."&amp;AK$5&amp;"*"))</f>
        <v>9</v>
      </c>
      <c r="AL45" s="1463">
        <f>COUNTIF(Check[סימון],("V."&amp;"*"&amp;$AC45&amp;"."&amp;AL$5&amp;"*"))</f>
        <v>0</v>
      </c>
      <c r="AM45" s="1465" t="s">
        <v>20</v>
      </c>
      <c r="AN45" s="247"/>
      <c r="AO45" s="234">
        <f>VLOOKUP(AO44,Check[],5,FALSE)</f>
        <v>296</v>
      </c>
      <c r="AP45" s="240"/>
      <c r="AQ45" s="243">
        <f>VLOOKUP(AQ44,Check[],5,FALSE)</f>
        <v>295</v>
      </c>
      <c r="AR45" s="240"/>
      <c r="AS45" s="243">
        <f>VLOOKUP(AS44,Check[],5,FALSE)</f>
        <v>294</v>
      </c>
      <c r="AT45" s="231"/>
      <c r="AU45" s="231"/>
      <c r="AV45" s="240"/>
      <c r="AW45" s="243">
        <f>VLOOKUP(AW44,Check[],5,FALSE)</f>
        <v>293</v>
      </c>
      <c r="AX45" s="244"/>
      <c r="AY45" s="242"/>
      <c r="AZ45" s="242"/>
      <c r="BA45" s="243">
        <f>VLOOKUP(BA44,Check[],5,FALSE)</f>
        <v>292</v>
      </c>
      <c r="BB45" s="244"/>
      <c r="BC45" s="245"/>
      <c r="BD45" s="245"/>
      <c r="BE45" s="245"/>
      <c r="BF45" s="245"/>
      <c r="BG45" s="246"/>
      <c r="BH45" s="21"/>
      <c r="BI45" s="21"/>
      <c r="BJ45" s="21"/>
      <c r="BK45" s="31"/>
      <c r="BL45" s="362" t="s">
        <v>65</v>
      </c>
      <c r="BM45" s="330"/>
      <c r="BN45" s="1768"/>
      <c r="BP45" s="236" t="s">
        <v>1078</v>
      </c>
    </row>
    <row r="46" spans="1:68" s="196" customFormat="1" ht="15" customHeight="1" thickBot="1" x14ac:dyDescent="0.4">
      <c r="A46" s="1767"/>
      <c r="B46" s="187">
        <f t="shared" ref="B46" si="285">B50+3.6</f>
        <v>150.04000000000002</v>
      </c>
      <c r="C46" s="280" t="s">
        <v>1</v>
      </c>
      <c r="D46" s="204"/>
      <c r="E46" s="203"/>
      <c r="F46" s="203"/>
      <c r="G46" s="203"/>
      <c r="H46" s="188">
        <f>VLOOKUP(H44,Check[],6,FALSE)</f>
        <v>4101</v>
      </c>
      <c r="I46" s="206"/>
      <c r="J46" s="206"/>
      <c r="K46" s="206"/>
      <c r="L46" s="206"/>
      <c r="M46" s="206"/>
      <c r="N46" s="207"/>
      <c r="O46" s="199">
        <f>VLOOKUP(O44,Check[],6,FALSE)</f>
        <v>4102</v>
      </c>
      <c r="P46" s="199"/>
      <c r="Q46" s="190"/>
      <c r="R46" s="199">
        <f>VLOOKUP(R44,Check[],6,FALSE)</f>
        <v>4103</v>
      </c>
      <c r="S46" s="199"/>
      <c r="T46" s="190"/>
      <c r="U46" s="190"/>
      <c r="V46" s="199">
        <f>VLOOKUP(V44,Check[],6,FALSE)</f>
        <v>4104</v>
      </c>
      <c r="W46" s="199"/>
      <c r="X46" s="199"/>
      <c r="Y46" s="199">
        <f>VLOOKUP(Y44,Check[],6,FALSE)</f>
        <v>4105</v>
      </c>
      <c r="Z46" s="191"/>
      <c r="AA46" s="191"/>
      <c r="AB46" s="192"/>
      <c r="AC46" s="1468"/>
      <c r="AD46" s="1470"/>
      <c r="AE46" s="1471"/>
      <c r="AF46" s="1473"/>
      <c r="AG46" s="1475"/>
      <c r="AH46" s="1477"/>
      <c r="AI46" s="1479"/>
      <c r="AJ46" s="1481"/>
      <c r="AK46" s="1471"/>
      <c r="AL46" s="1482"/>
      <c r="AM46" s="1483"/>
      <c r="AN46" s="215"/>
      <c r="AO46" s="194">
        <f>VLOOKUP(AO44,Check[],6,FALSE)</f>
        <v>4102</v>
      </c>
      <c r="AP46" s="202"/>
      <c r="AQ46" s="211">
        <f>VLOOKUP(AQ44,Check[],6,FALSE)</f>
        <v>4103</v>
      </c>
      <c r="AR46" s="202"/>
      <c r="AS46" s="211">
        <f>VLOOKUP(AS44,Check[],6,FALSE)</f>
        <v>4104</v>
      </c>
      <c r="AT46" s="189"/>
      <c r="AU46" s="189"/>
      <c r="AV46" s="202"/>
      <c r="AW46" s="211">
        <f>VLOOKUP(AW44,Check[],6,FALSE)</f>
        <v>4105</v>
      </c>
      <c r="AX46" s="212"/>
      <c r="AY46" s="207"/>
      <c r="AZ46" s="207"/>
      <c r="BA46" s="211">
        <f>VLOOKUP(BA44,Check[],6,FALSE)</f>
        <v>4101</v>
      </c>
      <c r="BB46" s="212"/>
      <c r="BC46" s="213"/>
      <c r="BD46" s="213"/>
      <c r="BE46" s="213"/>
      <c r="BF46" s="213"/>
      <c r="BG46" s="214"/>
      <c r="BH46" s="203"/>
      <c r="BI46" s="203"/>
      <c r="BJ46" s="203"/>
      <c r="BK46" s="205"/>
      <c r="BL46" s="363" t="s">
        <v>1</v>
      </c>
      <c r="BM46" s="187">
        <f t="shared" ref="BM46" si="286">BM50+3.6</f>
        <v>150.04000000000002</v>
      </c>
      <c r="BN46" s="1769"/>
      <c r="BP46" s="197" t="s">
        <v>1</v>
      </c>
    </row>
    <row r="47" spans="1:68" s="110" customFormat="1" ht="21.95" customHeight="1" x14ac:dyDescent="0.45">
      <c r="A47" s="1766"/>
      <c r="B47" s="326" t="str">
        <f t="shared" ref="B47" si="287">_xlfn.CONCAT("קומה ",B48)</f>
        <v>קומה 40</v>
      </c>
      <c r="C47" s="278" t="s">
        <v>0</v>
      </c>
      <c r="D47" s="117"/>
      <c r="E47" s="116"/>
      <c r="F47" s="116"/>
      <c r="G47" s="116"/>
      <c r="H47" s="104">
        <f t="shared" ref="H47" si="288">H51+5</f>
        <v>293</v>
      </c>
      <c r="I47" s="120"/>
      <c r="J47" s="120"/>
      <c r="K47" s="120"/>
      <c r="L47" s="120"/>
      <c r="M47" s="120"/>
      <c r="N47" s="115"/>
      <c r="O47" s="112">
        <f t="shared" ref="O47" si="289">O51+5</f>
        <v>294</v>
      </c>
      <c r="P47" s="112"/>
      <c r="Q47" s="106"/>
      <c r="R47" s="112">
        <f t="shared" ref="R47" si="290">R51+5</f>
        <v>295</v>
      </c>
      <c r="S47" s="112"/>
      <c r="T47" s="106"/>
      <c r="U47" s="106"/>
      <c r="V47" s="112">
        <f t="shared" ref="V47" si="291">V51+5</f>
        <v>296</v>
      </c>
      <c r="W47" s="112"/>
      <c r="X47" s="112"/>
      <c r="Y47" s="112">
        <f t="shared" ref="Y47" si="292">Y51+5</f>
        <v>297</v>
      </c>
      <c r="Z47" s="121"/>
      <c r="AA47" s="121"/>
      <c r="AB47" s="107"/>
      <c r="AC47" s="127" t="s">
        <v>21</v>
      </c>
      <c r="AD47" s="128">
        <f>COUNTIF(Check[סימון],("V."&amp;"*"&amp;$AC47&amp;"."&amp;AD$5&amp;"*"))</f>
        <v>0</v>
      </c>
      <c r="AE47" s="129">
        <f>COUNTIF(Check[סימון],("S."&amp;"*"&amp;$AC47&amp;"."&amp;AE$5&amp;"*"))</f>
        <v>10</v>
      </c>
      <c r="AF47" s="130">
        <f>COUNTIF(Check[סימון],("O."&amp;"*"&amp;$AC47&amp;"."&amp;AF$5&amp;"*"))</f>
        <v>1</v>
      </c>
      <c r="AG47" s="131">
        <f>SUM(AD47:AF47)</f>
        <v>11</v>
      </c>
      <c r="AH47" s="132">
        <f>SUM(AI47,AG47)</f>
        <v>21</v>
      </c>
      <c r="AI47" s="133">
        <f>SUM(AJ47:AL47)</f>
        <v>10</v>
      </c>
      <c r="AJ47" s="134">
        <f>COUNTIF(Check[סימון],("O."&amp;"*"&amp;$AC47&amp;"."&amp;AJ$5&amp;"*"))</f>
        <v>0</v>
      </c>
      <c r="AK47" s="129">
        <f>COUNTIF(Check[סימון],("S."&amp;"*"&amp;$AC47&amp;"."&amp;AK$5&amp;"*"))</f>
        <v>10</v>
      </c>
      <c r="AL47" s="135">
        <f>COUNTIF(Check[סימון],("V."&amp;"*"&amp;$AC47&amp;"."&amp;AL$5&amp;"*"))</f>
        <v>0</v>
      </c>
      <c r="AM47" s="136" t="s">
        <v>21</v>
      </c>
      <c r="AN47" s="137"/>
      <c r="AO47" s="108">
        <f t="shared" ref="AO47" si="293">AO51+5</f>
        <v>291</v>
      </c>
      <c r="AP47" s="115"/>
      <c r="AQ47" s="123">
        <f t="shared" ref="AQ47" si="294">AQ51+5</f>
        <v>290</v>
      </c>
      <c r="AR47" s="115"/>
      <c r="AS47" s="123">
        <f t="shared" ref="AS47" si="295">AS51+5</f>
        <v>289</v>
      </c>
      <c r="AT47" s="105"/>
      <c r="AU47" s="105"/>
      <c r="AV47" s="115"/>
      <c r="AW47" s="123">
        <f t="shared" ref="AW47" si="296">AW51+5</f>
        <v>288</v>
      </c>
      <c r="AX47" s="105"/>
      <c r="AY47" s="115"/>
      <c r="AZ47" s="115"/>
      <c r="BA47" s="123">
        <f t="shared" ref="BA47" si="297">BA51+5</f>
        <v>287</v>
      </c>
      <c r="BB47" s="105"/>
      <c r="BC47" s="109"/>
      <c r="BD47" s="109"/>
      <c r="BE47" s="109"/>
      <c r="BF47" s="109"/>
      <c r="BG47" s="124"/>
      <c r="BH47" s="116"/>
      <c r="BI47" s="116"/>
      <c r="BJ47" s="116"/>
      <c r="BK47" s="119"/>
      <c r="BL47" s="361" t="s">
        <v>0</v>
      </c>
      <c r="BM47" s="326" t="str">
        <f t="shared" ref="BM47" si="298">_xlfn.CONCAT("קומה ",BM48)</f>
        <v>קומה 40</v>
      </c>
      <c r="BN47" s="1768"/>
      <c r="BP47" s="111" t="s">
        <v>0</v>
      </c>
    </row>
    <row r="48" spans="1:68" s="52" customFormat="1" ht="9.9499999999999993" hidden="1" customHeight="1" x14ac:dyDescent="0.2">
      <c r="A48" s="1766"/>
      <c r="B48" s="329">
        <f t="shared" si="57"/>
        <v>40</v>
      </c>
      <c r="C48" s="278" t="s">
        <v>89</v>
      </c>
      <c r="D48" s="56"/>
      <c r="E48" s="55"/>
      <c r="F48" s="55"/>
      <c r="G48" s="55"/>
      <c r="H48" s="66" t="str">
        <f>VLOOKUP("*"&amp;H$5&amp;".Ap."&amp;H47,Check[],1,FALSE)</f>
        <v>S.P.4D.TS.Ap.293</v>
      </c>
      <c r="I48" s="64" t="str">
        <f t="shared" ref="I48" si="299">H48</f>
        <v>S.P.4D.TS.Ap.293</v>
      </c>
      <c r="J48" s="64" t="str">
        <f t="shared" ref="J48" si="300">I48</f>
        <v>S.P.4D.TS.Ap.293</v>
      </c>
      <c r="K48" s="64" t="str">
        <f t="shared" ref="K48" si="301">J48</f>
        <v>S.P.4D.TS.Ap.293</v>
      </c>
      <c r="L48" s="64" t="str">
        <f t="shared" ref="L48" si="302">K48</f>
        <v>S.P.4D.TS.Ap.293</v>
      </c>
      <c r="M48" s="64" t="str">
        <f t="shared" ref="M48" si="303">L48</f>
        <v>S.P.4D.TS.Ap.293</v>
      </c>
      <c r="N48" s="68" t="str">
        <f t="shared" ref="N48" si="304">M48</f>
        <v>S.P.4D.TS.Ap.293</v>
      </c>
      <c r="O48" s="64" t="str">
        <f>VLOOKUP("*"&amp;O$5&amp;".Ap."&amp;O47,Check[],1,FALSE)</f>
        <v>S.P.4E.TS.Ap.294</v>
      </c>
      <c r="P48" s="64" t="str">
        <f t="shared" ref="P48:Q48" si="305">O48</f>
        <v>S.P.4E.TS.Ap.294</v>
      </c>
      <c r="Q48" s="68" t="str">
        <f t="shared" si="305"/>
        <v>S.P.4E.TS.Ap.294</v>
      </c>
      <c r="R48" s="64" t="str">
        <f>VLOOKUP("*"&amp;R$5&amp;".Ap."&amp;R47,Check[],1,FALSE)</f>
        <v>S.P.4F.TS.Ap.295</v>
      </c>
      <c r="S48" s="64" t="str">
        <f t="shared" ref="S48:U48" si="306">R48</f>
        <v>S.P.4F.TS.Ap.295</v>
      </c>
      <c r="T48" s="68" t="str">
        <f t="shared" si="306"/>
        <v>S.P.4F.TS.Ap.295</v>
      </c>
      <c r="U48" s="68" t="str">
        <f t="shared" si="306"/>
        <v>S.P.4F.TS.Ap.295</v>
      </c>
      <c r="V48" s="64" t="str">
        <f>VLOOKUP("*"&amp;V$5&amp;".Ap."&amp;V47,Check[],1,FALSE)</f>
        <v>S.P.5AP.TS.Ap.296</v>
      </c>
      <c r="W48" s="64" t="str">
        <f t="shared" si="66"/>
        <v>S.P.5AP.TS.Ap.296</v>
      </c>
      <c r="X48" s="64" t="str">
        <f t="shared" ref="X48" si="307">V48</f>
        <v>S.P.5AP.TS.Ap.296</v>
      </c>
      <c r="Y48" s="64" t="str">
        <f>VLOOKUP("*"&amp;Y$5&amp;".Ap."&amp;Y47,Check[],1,FALSE)</f>
        <v>V.GM.P.5BP.TS.Ap.297</v>
      </c>
      <c r="Z48" s="65" t="str">
        <f t="shared" si="68"/>
        <v>V.GM.P.5BP.TS.Ap.297</v>
      </c>
      <c r="AA48" s="65" t="str">
        <f t="shared" ref="AA48" si="308">Y48</f>
        <v>V.GM.P.5BP.TS.Ap.297</v>
      </c>
      <c r="AB48" s="50"/>
      <c r="AC48" s="314"/>
      <c r="AD48" s="317"/>
      <c r="AE48" s="318"/>
      <c r="AF48" s="319"/>
      <c r="AG48" s="320"/>
      <c r="AH48" s="321"/>
      <c r="AI48" s="314"/>
      <c r="AJ48" s="322"/>
      <c r="AK48" s="318"/>
      <c r="AL48" s="323"/>
      <c r="AM48" s="315"/>
      <c r="AN48" s="61"/>
      <c r="AO48" s="76" t="str">
        <f>VLOOKUP("*"&amp;AO$5&amp;".Ap."&amp;AO47,Check[],1,FALSE)</f>
        <v>S.P.5BP.TN.Ap.291</v>
      </c>
      <c r="AP48" s="68" t="str">
        <f t="shared" ref="AP48" si="309">AO48</f>
        <v>S.P.5BP.TN.Ap.291</v>
      </c>
      <c r="AQ48" s="72" t="str">
        <f>VLOOKUP("*"&amp;AQ$5&amp;".Ap."&amp;AQ47,Check[],1,FALSE)</f>
        <v>S.P.5AP.TN.Ap.290</v>
      </c>
      <c r="AR48" s="68" t="str">
        <f t="shared" ref="AR48" si="310">AQ48</f>
        <v>S.P.5AP.TN.Ap.290</v>
      </c>
      <c r="AS48" s="72" t="str">
        <f>VLOOKUP("*"&amp;AS$5&amp;".Ap."&amp;AS47,Check[],1,FALSE)</f>
        <v>O.P.4F.TN.Ap.289</v>
      </c>
      <c r="AT48" s="67" t="str">
        <f t="shared" ref="AT48:AV48" si="311">AS48</f>
        <v>O.P.4F.TN.Ap.289</v>
      </c>
      <c r="AU48" s="67" t="str">
        <f t="shared" si="311"/>
        <v>O.P.4F.TN.Ap.289</v>
      </c>
      <c r="AV48" s="68" t="str">
        <f t="shared" si="311"/>
        <v>O.P.4F.TN.Ap.289</v>
      </c>
      <c r="AW48" s="72" t="str">
        <f>VLOOKUP("*"&amp;AW$5&amp;".Ap."&amp;AW47,Check[],1,FALSE)</f>
        <v>O.P.4E.TN.Ap.288</v>
      </c>
      <c r="AX48" s="67" t="str">
        <f t="shared" ref="AX48:AZ48" si="312">AW48</f>
        <v>O.P.4E.TN.Ap.288</v>
      </c>
      <c r="AY48" s="68" t="str">
        <f t="shared" si="312"/>
        <v>O.P.4E.TN.Ap.288</v>
      </c>
      <c r="AZ48" s="68" t="str">
        <f t="shared" si="312"/>
        <v>O.P.4E.TN.Ap.288</v>
      </c>
      <c r="BA48" s="72" t="str">
        <f>VLOOKUP("*"&amp;BA$5&amp;".Ap."&amp;BA47,Check[],1,FALSE)</f>
        <v>V.GMS.P.4D.TN.Ap.287</v>
      </c>
      <c r="BB48" s="67" t="str">
        <f t="shared" ref="BB48" si="313">BA48</f>
        <v>V.GMS.P.4D.TN.Ap.287</v>
      </c>
      <c r="BC48" s="77" t="str">
        <f t="shared" ref="BC48" si="314">BB48</f>
        <v>V.GMS.P.4D.TN.Ap.287</v>
      </c>
      <c r="BD48" s="77" t="str">
        <f t="shared" ref="BD48" si="315">BC48</f>
        <v>V.GMS.P.4D.TN.Ap.287</v>
      </c>
      <c r="BE48" s="77" t="str">
        <f t="shared" ref="BE48" si="316">BD48</f>
        <v>V.GMS.P.4D.TN.Ap.287</v>
      </c>
      <c r="BF48" s="77" t="str">
        <f t="shared" ref="BF48" si="317">BE48</f>
        <v>V.GMS.P.4D.TN.Ap.287</v>
      </c>
      <c r="BG48" s="79" t="str">
        <f t="shared" ref="BG48" si="318">BF48</f>
        <v>V.GMS.P.4D.TN.Ap.287</v>
      </c>
      <c r="BH48" s="55"/>
      <c r="BI48" s="55"/>
      <c r="BJ48" s="55"/>
      <c r="BK48" s="57"/>
      <c r="BL48" s="361" t="s">
        <v>89</v>
      </c>
      <c r="BM48" s="329">
        <f t="shared" si="80"/>
        <v>40</v>
      </c>
      <c r="BN48" s="1768"/>
      <c r="BP48" s="53" t="s">
        <v>89</v>
      </c>
    </row>
    <row r="49" spans="1:68" s="8" customFormat="1" ht="12" customHeight="1" x14ac:dyDescent="0.3">
      <c r="A49" s="1766"/>
      <c r="B49" s="330"/>
      <c r="C49" s="279" t="s">
        <v>65</v>
      </c>
      <c r="D49" s="25"/>
      <c r="E49" s="21"/>
      <c r="F49" s="21"/>
      <c r="G49" s="21"/>
      <c r="H49" s="230">
        <f>VLOOKUP(H48,Check[],5,FALSE)</f>
        <v>293</v>
      </c>
      <c r="I49" s="241"/>
      <c r="J49" s="241"/>
      <c r="K49" s="241"/>
      <c r="L49" s="241"/>
      <c r="M49" s="241"/>
      <c r="N49" s="242"/>
      <c r="O49" s="237">
        <f>VLOOKUP(O48,Check[],5,FALSE)</f>
        <v>294</v>
      </c>
      <c r="P49" s="237"/>
      <c r="Q49" s="232"/>
      <c r="R49" s="237">
        <f>VLOOKUP(R48,Check[],5,FALSE)</f>
        <v>295</v>
      </c>
      <c r="S49" s="237"/>
      <c r="T49" s="232"/>
      <c r="U49" s="232"/>
      <c r="V49" s="237">
        <f>VLOOKUP(V48,Check[],5,FALSE)</f>
        <v>296</v>
      </c>
      <c r="W49" s="237"/>
      <c r="X49" s="237"/>
      <c r="Y49" s="237">
        <f>VLOOKUP(Y48,Check[],5,FALSE)</f>
        <v>297</v>
      </c>
      <c r="Z49" s="233"/>
      <c r="AA49" s="233"/>
      <c r="AB49" s="19"/>
      <c r="AC49" s="1467" t="s">
        <v>20</v>
      </c>
      <c r="AD49" s="1469">
        <f>COUNTIF(Check[סימון],("V."&amp;"*"&amp;$AC49&amp;"."&amp;AD$5&amp;"*"))</f>
        <v>0</v>
      </c>
      <c r="AE49" s="1461">
        <f>COUNTIF(Check[סימון],("S."&amp;"*"&amp;$AC49&amp;"."&amp;AE$5&amp;"*"))</f>
        <v>10</v>
      </c>
      <c r="AF49" s="1472">
        <f>COUNTIF(Check[סימון],("O."&amp;"*"&amp;$AC49&amp;"."&amp;AF$5&amp;"*"))</f>
        <v>1</v>
      </c>
      <c r="AG49" s="1474">
        <f>SUM(AD49:AF49)</f>
        <v>11</v>
      </c>
      <c r="AH49" s="1476">
        <f>SUM(AI49,AG49)</f>
        <v>21</v>
      </c>
      <c r="AI49" s="1478">
        <f>SUM(AJ49:AL49)</f>
        <v>10</v>
      </c>
      <c r="AJ49" s="1480">
        <f>COUNTIF(Check[סימון],("O."&amp;"*"&amp;$AC49&amp;"."&amp;AJ$5&amp;"*"))</f>
        <v>0</v>
      </c>
      <c r="AK49" s="1461">
        <f>COUNTIF(Check[סימון],("S."&amp;"*"&amp;$AC49&amp;"."&amp;AK$5&amp;"*"))</f>
        <v>10</v>
      </c>
      <c r="AL49" s="1463">
        <f>COUNTIF(Check[סימון],("V."&amp;"*"&amp;$AC49&amp;"."&amp;AL$5&amp;"*"))</f>
        <v>0</v>
      </c>
      <c r="AM49" s="1465" t="s">
        <v>20</v>
      </c>
      <c r="AN49" s="247"/>
      <c r="AO49" s="234">
        <f>VLOOKUP(AO48,Check[],5,FALSE)</f>
        <v>291</v>
      </c>
      <c r="AP49" s="240"/>
      <c r="AQ49" s="243">
        <f>VLOOKUP(AQ48,Check[],5,FALSE)</f>
        <v>290</v>
      </c>
      <c r="AR49" s="240"/>
      <c r="AS49" s="243">
        <f>VLOOKUP(AS48,Check[],5,FALSE)</f>
        <v>289</v>
      </c>
      <c r="AT49" s="231"/>
      <c r="AU49" s="231"/>
      <c r="AV49" s="240"/>
      <c r="AW49" s="243">
        <f>VLOOKUP(AW48,Check[],5,FALSE)</f>
        <v>288</v>
      </c>
      <c r="AX49" s="244"/>
      <c r="AY49" s="242"/>
      <c r="AZ49" s="242"/>
      <c r="BA49" s="243">
        <f>VLOOKUP(BA48,Check[],5,FALSE)</f>
        <v>287</v>
      </c>
      <c r="BB49" s="244"/>
      <c r="BC49" s="245"/>
      <c r="BD49" s="245"/>
      <c r="BE49" s="245"/>
      <c r="BF49" s="245"/>
      <c r="BG49" s="246"/>
      <c r="BH49" s="21"/>
      <c r="BI49" s="21"/>
      <c r="BJ49" s="21"/>
      <c r="BK49" s="31"/>
      <c r="BL49" s="362" t="s">
        <v>65</v>
      </c>
      <c r="BM49" s="330"/>
      <c r="BN49" s="1768"/>
      <c r="BP49" s="236" t="s">
        <v>1078</v>
      </c>
    </row>
    <row r="50" spans="1:68" s="196" customFormat="1" ht="15" customHeight="1" thickBot="1" x14ac:dyDescent="0.4">
      <c r="A50" s="1767"/>
      <c r="B50" s="187">
        <f t="shared" ref="B50" si="319">B54+3.6</f>
        <v>146.44000000000003</v>
      </c>
      <c r="C50" s="280" t="s">
        <v>1</v>
      </c>
      <c r="D50" s="204"/>
      <c r="E50" s="203"/>
      <c r="F50" s="203"/>
      <c r="G50" s="203"/>
      <c r="H50" s="188">
        <f>VLOOKUP(H48,Check[],6,FALSE)</f>
        <v>4001</v>
      </c>
      <c r="I50" s="206"/>
      <c r="J50" s="206"/>
      <c r="K50" s="206"/>
      <c r="L50" s="206"/>
      <c r="M50" s="206"/>
      <c r="N50" s="207"/>
      <c r="O50" s="199">
        <f>VLOOKUP(O48,Check[],6,FALSE)</f>
        <v>4002</v>
      </c>
      <c r="P50" s="199"/>
      <c r="Q50" s="190"/>
      <c r="R50" s="199">
        <f>VLOOKUP(R48,Check[],6,FALSE)</f>
        <v>4003</v>
      </c>
      <c r="S50" s="199"/>
      <c r="T50" s="190"/>
      <c r="U50" s="190"/>
      <c r="V50" s="199">
        <f>VLOOKUP(V48,Check[],6,FALSE)</f>
        <v>4004</v>
      </c>
      <c r="W50" s="199"/>
      <c r="X50" s="199"/>
      <c r="Y50" s="199">
        <f>VLOOKUP(Y48,Check[],6,FALSE)</f>
        <v>4005</v>
      </c>
      <c r="Z50" s="191"/>
      <c r="AA50" s="191"/>
      <c r="AB50" s="192"/>
      <c r="AC50" s="1468"/>
      <c r="AD50" s="1470"/>
      <c r="AE50" s="1471"/>
      <c r="AF50" s="1473"/>
      <c r="AG50" s="1475"/>
      <c r="AH50" s="1477"/>
      <c r="AI50" s="1479"/>
      <c r="AJ50" s="1481"/>
      <c r="AK50" s="1471"/>
      <c r="AL50" s="1482"/>
      <c r="AM50" s="1483"/>
      <c r="AN50" s="215"/>
      <c r="AO50" s="194">
        <f>VLOOKUP(AO48,Check[],6,FALSE)</f>
        <v>4002</v>
      </c>
      <c r="AP50" s="202"/>
      <c r="AQ50" s="211">
        <f>VLOOKUP(AQ48,Check[],6,FALSE)</f>
        <v>4003</v>
      </c>
      <c r="AR50" s="202"/>
      <c r="AS50" s="211">
        <f>VLOOKUP(AS48,Check[],6,FALSE)</f>
        <v>4004</v>
      </c>
      <c r="AT50" s="189"/>
      <c r="AU50" s="189"/>
      <c r="AV50" s="202"/>
      <c r="AW50" s="211">
        <f>VLOOKUP(AW48,Check[],6,FALSE)</f>
        <v>4005</v>
      </c>
      <c r="AX50" s="212"/>
      <c r="AY50" s="207"/>
      <c r="AZ50" s="207"/>
      <c r="BA50" s="211">
        <f>VLOOKUP(BA48,Check[],6,FALSE)</f>
        <v>4001</v>
      </c>
      <c r="BB50" s="212"/>
      <c r="BC50" s="213"/>
      <c r="BD50" s="213"/>
      <c r="BE50" s="213"/>
      <c r="BF50" s="213"/>
      <c r="BG50" s="214"/>
      <c r="BH50" s="203"/>
      <c r="BI50" s="203"/>
      <c r="BJ50" s="203"/>
      <c r="BK50" s="205"/>
      <c r="BL50" s="363" t="s">
        <v>1</v>
      </c>
      <c r="BM50" s="187">
        <f t="shared" ref="BM50" si="320">BM54+3.6</f>
        <v>146.44000000000003</v>
      </c>
      <c r="BN50" s="1769"/>
      <c r="BP50" s="197" t="s">
        <v>1</v>
      </c>
    </row>
    <row r="51" spans="1:68" s="110" customFormat="1" ht="21.95" customHeight="1" x14ac:dyDescent="0.45">
      <c r="A51" s="1766"/>
      <c r="B51" s="326" t="str">
        <f t="shared" ref="B51" si="321">_xlfn.CONCAT("קומה ",B52)</f>
        <v>קומה 39</v>
      </c>
      <c r="C51" s="278" t="s">
        <v>0</v>
      </c>
      <c r="D51" s="117"/>
      <c r="E51" s="116"/>
      <c r="F51" s="116"/>
      <c r="G51" s="116"/>
      <c r="H51" s="104">
        <f t="shared" ref="H51" si="322">H55+5</f>
        <v>288</v>
      </c>
      <c r="I51" s="120"/>
      <c r="J51" s="120"/>
      <c r="K51" s="120"/>
      <c r="L51" s="120"/>
      <c r="M51" s="120"/>
      <c r="N51" s="115"/>
      <c r="O51" s="112">
        <f t="shared" ref="O51" si="323">O55+5</f>
        <v>289</v>
      </c>
      <c r="P51" s="112"/>
      <c r="Q51" s="106"/>
      <c r="R51" s="112">
        <f t="shared" ref="R51" si="324">R55+5</f>
        <v>290</v>
      </c>
      <c r="S51" s="112"/>
      <c r="T51" s="106"/>
      <c r="U51" s="106"/>
      <c r="V51" s="112">
        <f t="shared" ref="V51" si="325">V55+5</f>
        <v>291</v>
      </c>
      <c r="W51" s="112"/>
      <c r="X51" s="112"/>
      <c r="Y51" s="112">
        <f t="shared" ref="Y51" si="326">Y55+5</f>
        <v>292</v>
      </c>
      <c r="Z51" s="121"/>
      <c r="AA51" s="121"/>
      <c r="AB51" s="107"/>
      <c r="AC51" s="127" t="s">
        <v>23</v>
      </c>
      <c r="AD51" s="128">
        <f>COUNTIF(Check[סימון],("V."&amp;"*"&amp;$AC51&amp;"."&amp;AD$5&amp;"*"))</f>
        <v>2</v>
      </c>
      <c r="AE51" s="129">
        <f>COUNTIF(Check[סימון],("S."&amp;"*"&amp;$AC51&amp;"."&amp;AE$5&amp;"*"))</f>
        <v>6</v>
      </c>
      <c r="AF51" s="130">
        <f>COUNTIF(Check[סימון],("O."&amp;"*"&amp;$AC51&amp;"."&amp;AF$5&amp;"*"))</f>
        <v>4</v>
      </c>
      <c r="AG51" s="131">
        <f>SUM(AD51:AF51)</f>
        <v>12</v>
      </c>
      <c r="AH51" s="132">
        <f>SUM(AI51,AG51)</f>
        <v>26</v>
      </c>
      <c r="AI51" s="133">
        <f>SUM(AJ51:AL51)</f>
        <v>14</v>
      </c>
      <c r="AJ51" s="134">
        <f>COUNTIF(Check[סימון],("O."&amp;"*"&amp;$AC51&amp;"."&amp;AJ$5&amp;"*"))</f>
        <v>1</v>
      </c>
      <c r="AK51" s="129">
        <f>COUNTIF(Check[סימון],("S."&amp;"*"&amp;$AC51&amp;"."&amp;AK$5&amp;"*"))</f>
        <v>8</v>
      </c>
      <c r="AL51" s="135">
        <f>COUNTIF(Check[סימון],("V."&amp;"*"&amp;$AC51&amp;"."&amp;AL$5&amp;"*"))</f>
        <v>5</v>
      </c>
      <c r="AM51" s="136" t="s">
        <v>23</v>
      </c>
      <c r="AN51" s="137"/>
      <c r="AO51" s="108">
        <f t="shared" ref="AO51" si="327">AO55+5</f>
        <v>286</v>
      </c>
      <c r="AP51" s="115"/>
      <c r="AQ51" s="123">
        <f t="shared" ref="AQ51" si="328">AQ55+5</f>
        <v>285</v>
      </c>
      <c r="AR51" s="115"/>
      <c r="AS51" s="123">
        <f t="shared" ref="AS51" si="329">AS55+5</f>
        <v>284</v>
      </c>
      <c r="AT51" s="105"/>
      <c r="AU51" s="105"/>
      <c r="AV51" s="115"/>
      <c r="AW51" s="123">
        <f t="shared" ref="AW51" si="330">AW55+5</f>
        <v>283</v>
      </c>
      <c r="AX51" s="105"/>
      <c r="AY51" s="115"/>
      <c r="AZ51" s="115"/>
      <c r="BA51" s="123">
        <f t="shared" ref="BA51" si="331">BA55+5</f>
        <v>282</v>
      </c>
      <c r="BB51" s="105"/>
      <c r="BC51" s="109"/>
      <c r="BD51" s="109"/>
      <c r="BE51" s="109"/>
      <c r="BF51" s="109"/>
      <c r="BG51" s="124"/>
      <c r="BH51" s="116"/>
      <c r="BI51" s="116"/>
      <c r="BJ51" s="116"/>
      <c r="BK51" s="119"/>
      <c r="BL51" s="361" t="s">
        <v>0</v>
      </c>
      <c r="BM51" s="326" t="str">
        <f t="shared" ref="BM51" si="332">_xlfn.CONCAT("קומה ",BM52)</f>
        <v>קומה 39</v>
      </c>
      <c r="BN51" s="1768"/>
      <c r="BP51" s="111" t="s">
        <v>0</v>
      </c>
    </row>
    <row r="52" spans="1:68" s="52" customFormat="1" ht="9.9499999999999993" hidden="1" customHeight="1" x14ac:dyDescent="0.2">
      <c r="A52" s="1766"/>
      <c r="B52" s="329">
        <f t="shared" si="57"/>
        <v>39</v>
      </c>
      <c r="C52" s="278" t="s">
        <v>89</v>
      </c>
      <c r="D52" s="56"/>
      <c r="E52" s="55"/>
      <c r="F52" s="55"/>
      <c r="G52" s="55"/>
      <c r="H52" s="66" t="str">
        <f>VLOOKUP("*"&amp;H$5&amp;".Ap."&amp;H51,Check[],1,FALSE)</f>
        <v>S.P.4D.TS.Ap.288</v>
      </c>
      <c r="I52" s="64" t="str">
        <f t="shared" ref="I52" si="333">H52</f>
        <v>S.P.4D.TS.Ap.288</v>
      </c>
      <c r="J52" s="64" t="str">
        <f t="shared" ref="J52" si="334">I52</f>
        <v>S.P.4D.TS.Ap.288</v>
      </c>
      <c r="K52" s="64" t="str">
        <f t="shared" ref="K52" si="335">J52</f>
        <v>S.P.4D.TS.Ap.288</v>
      </c>
      <c r="L52" s="64" t="str">
        <f t="shared" ref="L52" si="336">K52</f>
        <v>S.P.4D.TS.Ap.288</v>
      </c>
      <c r="M52" s="64" t="str">
        <f t="shared" ref="M52" si="337">L52</f>
        <v>S.P.4D.TS.Ap.288</v>
      </c>
      <c r="N52" s="68" t="str">
        <f t="shared" ref="N52" si="338">M52</f>
        <v>S.P.4D.TS.Ap.288</v>
      </c>
      <c r="O52" s="64" t="str">
        <f>VLOOKUP("*"&amp;O$5&amp;".Ap."&amp;O51,Check[],1,FALSE)</f>
        <v>S.P.4E.TS.Ap.289</v>
      </c>
      <c r="P52" s="64" t="str">
        <f t="shared" ref="P52:Q52" si="339">O52</f>
        <v>S.P.4E.TS.Ap.289</v>
      </c>
      <c r="Q52" s="68" t="str">
        <f t="shared" si="339"/>
        <v>S.P.4E.TS.Ap.289</v>
      </c>
      <c r="R52" s="64" t="str">
        <f>VLOOKUP("*"&amp;R$5&amp;".Ap."&amp;R51,Check[],1,FALSE)</f>
        <v>S.P.4F.TS.Ap.290</v>
      </c>
      <c r="S52" s="64" t="str">
        <f t="shared" ref="S52:U52" si="340">R52</f>
        <v>S.P.4F.TS.Ap.290</v>
      </c>
      <c r="T52" s="68" t="str">
        <f t="shared" si="340"/>
        <v>S.P.4F.TS.Ap.290</v>
      </c>
      <c r="U52" s="68" t="str">
        <f t="shared" si="340"/>
        <v>S.P.4F.TS.Ap.290</v>
      </c>
      <c r="V52" s="64" t="str">
        <f>VLOOKUP("*"&amp;V$5&amp;".Ap."&amp;V51,Check[],1,FALSE)</f>
        <v>S.P.5AP.TS.Ap.291</v>
      </c>
      <c r="W52" s="64" t="str">
        <f t="shared" si="66"/>
        <v>S.P.5AP.TS.Ap.291</v>
      </c>
      <c r="X52" s="64" t="str">
        <f t="shared" ref="X52" si="341">V52</f>
        <v>S.P.5AP.TS.Ap.291</v>
      </c>
      <c r="Y52" s="64" t="str">
        <f>VLOOKUP("*"&amp;Y$5&amp;".Ap."&amp;Y51,Check[],1,FALSE)</f>
        <v>V.GMC.P.5BP.TS.Ap.292</v>
      </c>
      <c r="Z52" s="65" t="str">
        <f t="shared" si="68"/>
        <v>V.GMC.P.5BP.TS.Ap.292</v>
      </c>
      <c r="AA52" s="65" t="str">
        <f t="shared" ref="AA52" si="342">Y52</f>
        <v>V.GMC.P.5BP.TS.Ap.292</v>
      </c>
      <c r="AB52" s="50"/>
      <c r="AC52" s="314"/>
      <c r="AD52" s="317"/>
      <c r="AE52" s="318"/>
      <c r="AF52" s="319"/>
      <c r="AG52" s="320"/>
      <c r="AH52" s="321"/>
      <c r="AI52" s="314"/>
      <c r="AJ52" s="322"/>
      <c r="AK52" s="318"/>
      <c r="AL52" s="323"/>
      <c r="AM52" s="315"/>
      <c r="AN52" s="61"/>
      <c r="AO52" s="76" t="str">
        <f>VLOOKUP("*"&amp;AO$5&amp;".Ap."&amp;AO51,Check[],1,FALSE)</f>
        <v>O.P.5BP.TN.Ap.286</v>
      </c>
      <c r="AP52" s="68" t="str">
        <f t="shared" ref="AP52" si="343">AO52</f>
        <v>O.P.5BP.TN.Ap.286</v>
      </c>
      <c r="AQ52" s="72" t="str">
        <f>VLOOKUP("*"&amp;AQ$5&amp;".Ap."&amp;AQ51,Check[],1,FALSE)</f>
        <v>O.P.5AP.TN.Ap.285</v>
      </c>
      <c r="AR52" s="68" t="str">
        <f t="shared" ref="AR52" si="344">AQ52</f>
        <v>O.P.5AP.TN.Ap.285</v>
      </c>
      <c r="AS52" s="72" t="str">
        <f>VLOOKUP("*"&amp;AS$5&amp;".Ap."&amp;AS51,Check[],1,FALSE)</f>
        <v>S.P.4F.TN.Ap.284</v>
      </c>
      <c r="AT52" s="67" t="str">
        <f t="shared" ref="AT52:AV52" si="345">AS52</f>
        <v>S.P.4F.TN.Ap.284</v>
      </c>
      <c r="AU52" s="67" t="str">
        <f t="shared" si="345"/>
        <v>S.P.4F.TN.Ap.284</v>
      </c>
      <c r="AV52" s="68" t="str">
        <f t="shared" si="345"/>
        <v>S.P.4F.TN.Ap.284</v>
      </c>
      <c r="AW52" s="72" t="str">
        <f>VLOOKUP("*"&amp;AW$5&amp;".Ap."&amp;AW51,Check[],1,FALSE)</f>
        <v>O.P.4E.TN.Ap.283</v>
      </c>
      <c r="AX52" s="67" t="str">
        <f t="shared" ref="AX52:AZ52" si="346">AW52</f>
        <v>O.P.4E.TN.Ap.283</v>
      </c>
      <c r="AY52" s="68" t="str">
        <f t="shared" si="346"/>
        <v>O.P.4E.TN.Ap.283</v>
      </c>
      <c r="AZ52" s="68" t="str">
        <f t="shared" si="346"/>
        <v>O.P.4E.TN.Ap.283</v>
      </c>
      <c r="BA52" s="72" t="str">
        <f>VLOOKUP("*"&amp;BA$5&amp;".Ap."&amp;BA51,Check[],1,FALSE)</f>
        <v>V.GMS.P.4D.TN.Ap.282</v>
      </c>
      <c r="BB52" s="67" t="str">
        <f t="shared" ref="BB52" si="347">BA52</f>
        <v>V.GMS.P.4D.TN.Ap.282</v>
      </c>
      <c r="BC52" s="77" t="str">
        <f t="shared" ref="BC52" si="348">BB52</f>
        <v>V.GMS.P.4D.TN.Ap.282</v>
      </c>
      <c r="BD52" s="77" t="str">
        <f t="shared" ref="BD52" si="349">BC52</f>
        <v>V.GMS.P.4D.TN.Ap.282</v>
      </c>
      <c r="BE52" s="77" t="str">
        <f t="shared" ref="BE52" si="350">BD52</f>
        <v>V.GMS.P.4D.TN.Ap.282</v>
      </c>
      <c r="BF52" s="77" t="str">
        <f t="shared" ref="BF52" si="351">BE52</f>
        <v>V.GMS.P.4D.TN.Ap.282</v>
      </c>
      <c r="BG52" s="79" t="str">
        <f t="shared" ref="BG52" si="352">BF52</f>
        <v>V.GMS.P.4D.TN.Ap.282</v>
      </c>
      <c r="BH52" s="55"/>
      <c r="BI52" s="55"/>
      <c r="BJ52" s="55"/>
      <c r="BK52" s="57"/>
      <c r="BL52" s="361" t="s">
        <v>89</v>
      </c>
      <c r="BM52" s="329">
        <f t="shared" si="80"/>
        <v>39</v>
      </c>
      <c r="BN52" s="1768"/>
      <c r="BP52" s="53" t="s">
        <v>89</v>
      </c>
    </row>
    <row r="53" spans="1:68" s="8" customFormat="1" ht="12" customHeight="1" x14ac:dyDescent="0.3">
      <c r="A53" s="1766"/>
      <c r="B53" s="330"/>
      <c r="C53" s="279" t="s">
        <v>65</v>
      </c>
      <c r="D53" s="25"/>
      <c r="E53" s="21"/>
      <c r="F53" s="21"/>
      <c r="G53" s="21"/>
      <c r="H53" s="230">
        <f>VLOOKUP(H52,Check[],5,FALSE)</f>
        <v>288</v>
      </c>
      <c r="I53" s="241"/>
      <c r="J53" s="241"/>
      <c r="K53" s="241"/>
      <c r="L53" s="241"/>
      <c r="M53" s="241"/>
      <c r="N53" s="242"/>
      <c r="O53" s="237">
        <f>VLOOKUP(O52,Check[],5,FALSE)</f>
        <v>289</v>
      </c>
      <c r="P53" s="237"/>
      <c r="Q53" s="232"/>
      <c r="R53" s="237">
        <f>VLOOKUP(R52,Check[],5,FALSE)</f>
        <v>290</v>
      </c>
      <c r="S53" s="237"/>
      <c r="T53" s="232"/>
      <c r="U53" s="232"/>
      <c r="V53" s="237">
        <f>VLOOKUP(V52,Check[],5,FALSE)</f>
        <v>291</v>
      </c>
      <c r="W53" s="237"/>
      <c r="X53" s="237"/>
      <c r="Y53" s="237">
        <f>VLOOKUP(Y52,Check[],5,FALSE)</f>
        <v>292</v>
      </c>
      <c r="Z53" s="233"/>
      <c r="AA53" s="233"/>
      <c r="AB53" s="19"/>
      <c r="AC53" s="1467" t="s">
        <v>22</v>
      </c>
      <c r="AD53" s="1469">
        <f>COUNTIF(Check[סימון],("V."&amp;"*"&amp;$AC53&amp;"."&amp;AD$5&amp;"*"))</f>
        <v>7</v>
      </c>
      <c r="AE53" s="1461">
        <f>COUNTIF(Check[סימון],("S."&amp;"*"&amp;$AC53&amp;"."&amp;AE$5&amp;"*"))</f>
        <v>5</v>
      </c>
      <c r="AF53" s="1472">
        <f>COUNTIF(Check[סימון],("O."&amp;"*"&amp;$AC53&amp;"."&amp;AF$5&amp;"*"))</f>
        <v>0</v>
      </c>
      <c r="AG53" s="1474">
        <f>SUM(AD53:AF53)</f>
        <v>12</v>
      </c>
      <c r="AH53" s="1476">
        <f>SUM(AI53,AG53)</f>
        <v>26</v>
      </c>
      <c r="AI53" s="1478">
        <f>SUM(AJ53:AL53)</f>
        <v>14</v>
      </c>
      <c r="AJ53" s="1480">
        <f>COUNTIF(Check[סימון],("O."&amp;"*"&amp;$AC53&amp;"."&amp;AJ$5&amp;"*"))</f>
        <v>0</v>
      </c>
      <c r="AK53" s="1461">
        <f>COUNTIF(Check[סימון],("S."&amp;"*"&amp;$AC53&amp;"."&amp;AK$5&amp;"*"))</f>
        <v>13</v>
      </c>
      <c r="AL53" s="1463">
        <f>COUNTIF(Check[סימון],("V."&amp;"*"&amp;$AC53&amp;"."&amp;AL$5&amp;"*"))</f>
        <v>1</v>
      </c>
      <c r="AM53" s="1465" t="s">
        <v>22</v>
      </c>
      <c r="AN53" s="247"/>
      <c r="AO53" s="234">
        <f>VLOOKUP(AO52,Check[],5,FALSE)</f>
        <v>286</v>
      </c>
      <c r="AP53" s="240"/>
      <c r="AQ53" s="243">
        <f>VLOOKUP(AQ52,Check[],5,FALSE)</f>
        <v>285</v>
      </c>
      <c r="AR53" s="240"/>
      <c r="AS53" s="243">
        <f>VLOOKUP(AS52,Check[],5,FALSE)</f>
        <v>284</v>
      </c>
      <c r="AT53" s="231"/>
      <c r="AU53" s="231"/>
      <c r="AV53" s="240"/>
      <c r="AW53" s="243">
        <f>VLOOKUP(AW52,Check[],5,FALSE)</f>
        <v>283</v>
      </c>
      <c r="AX53" s="244"/>
      <c r="AY53" s="242"/>
      <c r="AZ53" s="242"/>
      <c r="BA53" s="243">
        <f>VLOOKUP(BA52,Check[],5,FALSE)</f>
        <v>282</v>
      </c>
      <c r="BB53" s="244"/>
      <c r="BC53" s="245"/>
      <c r="BD53" s="245"/>
      <c r="BE53" s="245"/>
      <c r="BF53" s="245"/>
      <c r="BG53" s="246"/>
      <c r="BH53" s="21"/>
      <c r="BI53" s="21"/>
      <c r="BJ53" s="21"/>
      <c r="BK53" s="31"/>
      <c r="BL53" s="362" t="s">
        <v>65</v>
      </c>
      <c r="BM53" s="330"/>
      <c r="BN53" s="1768"/>
      <c r="BP53" s="236" t="s">
        <v>1078</v>
      </c>
    </row>
    <row r="54" spans="1:68" s="196" customFormat="1" ht="15" customHeight="1" thickBot="1" x14ac:dyDescent="0.4">
      <c r="A54" s="1767"/>
      <c r="B54" s="187">
        <f t="shared" ref="B54" si="353">B58+3.6</f>
        <v>142.84000000000003</v>
      </c>
      <c r="C54" s="280" t="s">
        <v>1</v>
      </c>
      <c r="D54" s="204"/>
      <c r="E54" s="203"/>
      <c r="F54" s="203"/>
      <c r="G54" s="203"/>
      <c r="H54" s="188">
        <f>VLOOKUP(H52,Check[],6,FALSE)</f>
        <v>3901</v>
      </c>
      <c r="I54" s="206"/>
      <c r="J54" s="206"/>
      <c r="K54" s="206"/>
      <c r="L54" s="206"/>
      <c r="M54" s="206"/>
      <c r="N54" s="207"/>
      <c r="O54" s="199">
        <f>VLOOKUP(O52,Check[],6,FALSE)</f>
        <v>3902</v>
      </c>
      <c r="P54" s="199"/>
      <c r="Q54" s="190"/>
      <c r="R54" s="199">
        <f>VLOOKUP(R52,Check[],6,FALSE)</f>
        <v>3903</v>
      </c>
      <c r="S54" s="199"/>
      <c r="T54" s="190"/>
      <c r="U54" s="190"/>
      <c r="V54" s="199">
        <f>VLOOKUP(V52,Check[],6,FALSE)</f>
        <v>3904</v>
      </c>
      <c r="W54" s="199"/>
      <c r="X54" s="199"/>
      <c r="Y54" s="199">
        <f>VLOOKUP(Y52,Check[],6,FALSE)</f>
        <v>3905</v>
      </c>
      <c r="Z54" s="191"/>
      <c r="AA54" s="191"/>
      <c r="AB54" s="192"/>
      <c r="AC54" s="1781"/>
      <c r="AD54" s="1782"/>
      <c r="AE54" s="1462"/>
      <c r="AF54" s="1783"/>
      <c r="AG54" s="1784"/>
      <c r="AH54" s="1484"/>
      <c r="AI54" s="1485"/>
      <c r="AJ54" s="1486"/>
      <c r="AK54" s="1462"/>
      <c r="AL54" s="1464"/>
      <c r="AM54" s="1466"/>
      <c r="AN54" s="215"/>
      <c r="AO54" s="194">
        <f>VLOOKUP(AO52,Check[],6,FALSE)</f>
        <v>3902</v>
      </c>
      <c r="AP54" s="202"/>
      <c r="AQ54" s="211">
        <f>VLOOKUP(AQ52,Check[],6,FALSE)</f>
        <v>3903</v>
      </c>
      <c r="AR54" s="202"/>
      <c r="AS54" s="211">
        <f>VLOOKUP(AS52,Check[],6,FALSE)</f>
        <v>3904</v>
      </c>
      <c r="AT54" s="189"/>
      <c r="AU54" s="189"/>
      <c r="AV54" s="202"/>
      <c r="AW54" s="211">
        <f>VLOOKUP(AW52,Check[],6,FALSE)</f>
        <v>3905</v>
      </c>
      <c r="AX54" s="212"/>
      <c r="AY54" s="207"/>
      <c r="AZ54" s="207"/>
      <c r="BA54" s="211">
        <f>VLOOKUP(BA52,Check[],6,FALSE)</f>
        <v>3901</v>
      </c>
      <c r="BB54" s="212"/>
      <c r="BC54" s="213"/>
      <c r="BD54" s="213"/>
      <c r="BE54" s="213"/>
      <c r="BF54" s="213"/>
      <c r="BG54" s="214"/>
      <c r="BH54" s="203"/>
      <c r="BI54" s="203"/>
      <c r="BJ54" s="203"/>
      <c r="BK54" s="205"/>
      <c r="BL54" s="363" t="s">
        <v>1</v>
      </c>
      <c r="BM54" s="187">
        <f t="shared" ref="BM54" si="354">BM58+3.6</f>
        <v>142.84000000000003</v>
      </c>
      <c r="BN54" s="1769"/>
      <c r="BP54" s="197" t="s">
        <v>1</v>
      </c>
    </row>
    <row r="55" spans="1:68" s="110" customFormat="1" ht="21.95" customHeight="1" x14ac:dyDescent="0.45">
      <c r="A55" s="1766"/>
      <c r="B55" s="326" t="str">
        <f t="shared" ref="B55" si="355">_xlfn.CONCAT("קומה ",B56)</f>
        <v>קומה 38</v>
      </c>
      <c r="C55" s="278" t="s">
        <v>0</v>
      </c>
      <c r="D55" s="117"/>
      <c r="E55" s="116"/>
      <c r="F55" s="116"/>
      <c r="G55" s="116"/>
      <c r="H55" s="104">
        <f t="shared" ref="H55" si="356">H59+5</f>
        <v>283</v>
      </c>
      <c r="I55" s="120"/>
      <c r="J55" s="120"/>
      <c r="K55" s="120"/>
      <c r="L55" s="120"/>
      <c r="M55" s="120"/>
      <c r="N55" s="115"/>
      <c r="O55" s="112">
        <f t="shared" ref="O55" si="357">O59+5</f>
        <v>284</v>
      </c>
      <c r="P55" s="112"/>
      <c r="Q55" s="106"/>
      <c r="R55" s="112">
        <f t="shared" ref="R55" si="358">R59+5</f>
        <v>285</v>
      </c>
      <c r="S55" s="112"/>
      <c r="T55" s="106"/>
      <c r="U55" s="106"/>
      <c r="V55" s="112">
        <f t="shared" ref="V55" si="359">V59+5</f>
        <v>286</v>
      </c>
      <c r="W55" s="112"/>
      <c r="X55" s="112"/>
      <c r="Y55" s="112">
        <f t="shared" ref="Y55" si="360">Y59+5</f>
        <v>287</v>
      </c>
      <c r="Z55" s="121"/>
      <c r="AA55" s="121"/>
      <c r="AB55" s="107"/>
      <c r="AC55" s="127" t="s">
        <v>14</v>
      </c>
      <c r="AD55" s="128">
        <f>COUNTIF(Check[סימון],("V."&amp;"*"&amp;$AC55&amp;"."&amp;AD$5&amp;"*"))</f>
        <v>7</v>
      </c>
      <c r="AE55" s="129">
        <f>COUNTIF(Check[סימון],("S."&amp;"*"&amp;$AC55&amp;"."&amp;AE$5&amp;"*"))</f>
        <v>7</v>
      </c>
      <c r="AF55" s="130">
        <f>COUNTIF(Check[סימון],("O."&amp;"*"&amp;$AC55&amp;"."&amp;AF$5&amp;"*"))</f>
        <v>5</v>
      </c>
      <c r="AG55" s="131">
        <f>SUM(AD55:AF55)</f>
        <v>19</v>
      </c>
      <c r="AH55" s="132">
        <f>SUM(AI55,AG55)</f>
        <v>37</v>
      </c>
      <c r="AI55" s="133">
        <f>SUM(AJ55:AL55)</f>
        <v>18</v>
      </c>
      <c r="AJ55" s="134">
        <f>COUNTIF(Check[סימון],("O."&amp;"*"&amp;$AC55&amp;"."&amp;AJ$5&amp;"*"))</f>
        <v>2</v>
      </c>
      <c r="AK55" s="129">
        <f>COUNTIF(Check[סימון],("S."&amp;"*"&amp;$AC55&amp;"."&amp;AK$5&amp;"*"))</f>
        <v>14</v>
      </c>
      <c r="AL55" s="135">
        <f>COUNTIF(Check[סימון],("V."&amp;"*"&amp;$AC55&amp;"."&amp;AL$5&amp;"*"))</f>
        <v>2</v>
      </c>
      <c r="AM55" s="136" t="s">
        <v>14</v>
      </c>
      <c r="AN55" s="137"/>
      <c r="AO55" s="108">
        <f t="shared" ref="AO55" si="361">AO59+5</f>
        <v>281</v>
      </c>
      <c r="AP55" s="115"/>
      <c r="AQ55" s="123">
        <f t="shared" ref="AQ55" si="362">AQ59+5</f>
        <v>280</v>
      </c>
      <c r="AR55" s="115"/>
      <c r="AS55" s="123">
        <f t="shared" ref="AS55" si="363">AS59+5</f>
        <v>279</v>
      </c>
      <c r="AT55" s="105"/>
      <c r="AU55" s="105"/>
      <c r="AV55" s="115"/>
      <c r="AW55" s="123">
        <f t="shared" ref="AW55" si="364">AW59+5</f>
        <v>278</v>
      </c>
      <c r="AX55" s="105"/>
      <c r="AY55" s="115"/>
      <c r="AZ55" s="115"/>
      <c r="BA55" s="123">
        <f t="shared" ref="BA55" si="365">BA59+5</f>
        <v>277</v>
      </c>
      <c r="BB55" s="105"/>
      <c r="BC55" s="109"/>
      <c r="BD55" s="109"/>
      <c r="BE55" s="109"/>
      <c r="BF55" s="109"/>
      <c r="BG55" s="124"/>
      <c r="BH55" s="116"/>
      <c r="BI55" s="116"/>
      <c r="BJ55" s="116"/>
      <c r="BK55" s="119"/>
      <c r="BL55" s="361" t="s">
        <v>0</v>
      </c>
      <c r="BM55" s="326" t="str">
        <f t="shared" ref="BM55" si="366">_xlfn.CONCAT("קומה ",BM56)</f>
        <v>קומה 38</v>
      </c>
      <c r="BN55" s="1768"/>
      <c r="BP55" s="111" t="s">
        <v>0</v>
      </c>
    </row>
    <row r="56" spans="1:68" s="52" customFormat="1" ht="9.9499999999999993" hidden="1" customHeight="1" x14ac:dyDescent="0.2">
      <c r="A56" s="1766"/>
      <c r="B56" s="329">
        <f t="shared" si="57"/>
        <v>38</v>
      </c>
      <c r="C56" s="278" t="s">
        <v>89</v>
      </c>
      <c r="D56" s="56"/>
      <c r="E56" s="55"/>
      <c r="F56" s="55"/>
      <c r="G56" s="55"/>
      <c r="H56" s="66" t="str">
        <f>VLOOKUP("*"&amp;H$5&amp;".Ap."&amp;H55,Check[],1,FALSE)</f>
        <v>S.P.4D.TS.Ap.283</v>
      </c>
      <c r="I56" s="64" t="str">
        <f t="shared" ref="I56" si="367">H56</f>
        <v>S.P.4D.TS.Ap.283</v>
      </c>
      <c r="J56" s="64" t="str">
        <f t="shared" ref="J56" si="368">I56</f>
        <v>S.P.4D.TS.Ap.283</v>
      </c>
      <c r="K56" s="64" t="str">
        <f t="shared" ref="K56" si="369">J56</f>
        <v>S.P.4D.TS.Ap.283</v>
      </c>
      <c r="L56" s="64" t="str">
        <f t="shared" ref="L56" si="370">K56</f>
        <v>S.P.4D.TS.Ap.283</v>
      </c>
      <c r="M56" s="64" t="str">
        <f t="shared" ref="M56" si="371">L56</f>
        <v>S.P.4D.TS.Ap.283</v>
      </c>
      <c r="N56" s="68" t="str">
        <f t="shared" ref="N56" si="372">M56</f>
        <v>S.P.4D.TS.Ap.283</v>
      </c>
      <c r="O56" s="64" t="str">
        <f>VLOOKUP("*"&amp;O$5&amp;".Ap."&amp;O55,Check[],1,FALSE)</f>
        <v>S.P.4E.TS.Ap.284</v>
      </c>
      <c r="P56" s="64" t="str">
        <f t="shared" ref="P56:Q56" si="373">O56</f>
        <v>S.P.4E.TS.Ap.284</v>
      </c>
      <c r="Q56" s="68" t="str">
        <f t="shared" si="373"/>
        <v>S.P.4E.TS.Ap.284</v>
      </c>
      <c r="R56" s="64" t="str">
        <f>VLOOKUP("*"&amp;R$5&amp;".Ap."&amp;R55,Check[],1,FALSE)</f>
        <v>S.P.4F.TS.Ap.285</v>
      </c>
      <c r="S56" s="64" t="str">
        <f t="shared" ref="S56:U56" si="374">R56</f>
        <v>S.P.4F.TS.Ap.285</v>
      </c>
      <c r="T56" s="68" t="str">
        <f t="shared" si="374"/>
        <v>S.P.4F.TS.Ap.285</v>
      </c>
      <c r="U56" s="68" t="str">
        <f t="shared" si="374"/>
        <v>S.P.4F.TS.Ap.285</v>
      </c>
      <c r="V56" s="64" t="str">
        <f>VLOOKUP("*"&amp;V$5&amp;".Ap."&amp;V55,Check[],1,FALSE)</f>
        <v>O.P.5AP.TS.Ap.286</v>
      </c>
      <c r="W56" s="64" t="str">
        <f t="shared" si="66"/>
        <v>O.P.5AP.TS.Ap.286</v>
      </c>
      <c r="X56" s="64" t="str">
        <f t="shared" ref="X56" si="375">V56</f>
        <v>O.P.5AP.TS.Ap.286</v>
      </c>
      <c r="Y56" s="64" t="str">
        <f>VLOOKUP("*"&amp;Y$5&amp;".Ap."&amp;Y55,Check[],1,FALSE)</f>
        <v>O.P.5BP.TS.Ap.287</v>
      </c>
      <c r="Z56" s="65" t="str">
        <f t="shared" si="68"/>
        <v>O.P.5BP.TS.Ap.287</v>
      </c>
      <c r="AA56" s="65" t="str">
        <f t="shared" ref="AA56" si="376">Y56</f>
        <v>O.P.5BP.TS.Ap.287</v>
      </c>
      <c r="AB56" s="50"/>
      <c r="AC56" s="314"/>
      <c r="AD56" s="317"/>
      <c r="AE56" s="318"/>
      <c r="AF56" s="319"/>
      <c r="AG56" s="320"/>
      <c r="AH56" s="321"/>
      <c r="AI56" s="314"/>
      <c r="AJ56" s="322"/>
      <c r="AK56" s="318"/>
      <c r="AL56" s="323"/>
      <c r="AM56" s="315"/>
      <c r="AN56" s="61"/>
      <c r="AO56" s="76" t="str">
        <f>VLOOKUP("*"&amp;AO$5&amp;".Ap."&amp;AO55,Check[],1,FALSE)</f>
        <v>S.P.5BP.TN.Ap.281</v>
      </c>
      <c r="AP56" s="68" t="str">
        <f t="shared" ref="AP56" si="377">AO56</f>
        <v>S.P.5BP.TN.Ap.281</v>
      </c>
      <c r="AQ56" s="72" t="str">
        <f>VLOOKUP("*"&amp;AQ$5&amp;".Ap."&amp;AQ55,Check[],1,FALSE)</f>
        <v>S.P.5AP.TN.Ap.280</v>
      </c>
      <c r="AR56" s="68" t="str">
        <f t="shared" ref="AR56" si="378">AQ56</f>
        <v>S.P.5AP.TN.Ap.280</v>
      </c>
      <c r="AS56" s="72" t="str">
        <f>VLOOKUP("*"&amp;AS$5&amp;".Ap."&amp;AS55,Check[],1,FALSE)</f>
        <v>O.P.4F.TN.Ap.279</v>
      </c>
      <c r="AT56" s="67" t="str">
        <f t="shared" ref="AT56:AV56" si="379">AS56</f>
        <v>O.P.4F.TN.Ap.279</v>
      </c>
      <c r="AU56" s="67" t="str">
        <f t="shared" si="379"/>
        <v>O.P.4F.TN.Ap.279</v>
      </c>
      <c r="AV56" s="68" t="str">
        <f t="shared" si="379"/>
        <v>O.P.4F.TN.Ap.279</v>
      </c>
      <c r="AW56" s="72" t="str">
        <f>VLOOKUP("*"&amp;AW$5&amp;".Ap."&amp;AW55,Check[],1,FALSE)</f>
        <v>O.P.4E.TN.Ap.278</v>
      </c>
      <c r="AX56" s="67" t="str">
        <f t="shared" ref="AX56:AZ56" si="380">AW56</f>
        <v>O.P.4E.TN.Ap.278</v>
      </c>
      <c r="AY56" s="68" t="str">
        <f t="shared" si="380"/>
        <v>O.P.4E.TN.Ap.278</v>
      </c>
      <c r="AZ56" s="68" t="str">
        <f t="shared" si="380"/>
        <v>O.P.4E.TN.Ap.278</v>
      </c>
      <c r="BA56" s="72" t="str">
        <f>VLOOKUP("*"&amp;BA$5&amp;".Ap."&amp;BA55,Check[],1,FALSE)</f>
        <v>S.P.4D.TN.Ap.277</v>
      </c>
      <c r="BB56" s="67" t="str">
        <f t="shared" ref="BB56" si="381">BA56</f>
        <v>S.P.4D.TN.Ap.277</v>
      </c>
      <c r="BC56" s="77" t="str">
        <f t="shared" ref="BC56" si="382">BB56</f>
        <v>S.P.4D.TN.Ap.277</v>
      </c>
      <c r="BD56" s="77" t="str">
        <f t="shared" ref="BD56" si="383">BC56</f>
        <v>S.P.4D.TN.Ap.277</v>
      </c>
      <c r="BE56" s="77" t="str">
        <f t="shared" ref="BE56" si="384">BD56</f>
        <v>S.P.4D.TN.Ap.277</v>
      </c>
      <c r="BF56" s="77" t="str">
        <f t="shared" ref="BF56" si="385">BE56</f>
        <v>S.P.4D.TN.Ap.277</v>
      </c>
      <c r="BG56" s="79" t="str">
        <f t="shared" ref="BG56" si="386">BF56</f>
        <v>S.P.4D.TN.Ap.277</v>
      </c>
      <c r="BH56" s="55"/>
      <c r="BI56" s="55"/>
      <c r="BJ56" s="55"/>
      <c r="BK56" s="57"/>
      <c r="BL56" s="361" t="s">
        <v>89</v>
      </c>
      <c r="BM56" s="329">
        <f t="shared" si="80"/>
        <v>38</v>
      </c>
      <c r="BN56" s="1768"/>
      <c r="BP56" s="53" t="s">
        <v>89</v>
      </c>
    </row>
    <row r="57" spans="1:68" s="8" customFormat="1" ht="12" customHeight="1" x14ac:dyDescent="0.3">
      <c r="A57" s="1766"/>
      <c r="B57" s="330"/>
      <c r="C57" s="279" t="s">
        <v>65</v>
      </c>
      <c r="D57" s="25"/>
      <c r="E57" s="21"/>
      <c r="F57" s="21"/>
      <c r="G57" s="21"/>
      <c r="H57" s="230">
        <f>VLOOKUP(H56,Check[],5,FALSE)</f>
        <v>283</v>
      </c>
      <c r="I57" s="241"/>
      <c r="J57" s="241"/>
      <c r="K57" s="241"/>
      <c r="L57" s="241"/>
      <c r="M57" s="241"/>
      <c r="N57" s="242"/>
      <c r="O57" s="237">
        <f>VLOOKUP(O56,Check[],5,FALSE)</f>
        <v>284</v>
      </c>
      <c r="P57" s="237"/>
      <c r="Q57" s="232"/>
      <c r="R57" s="237">
        <f>VLOOKUP(R56,Check[],5,FALSE)</f>
        <v>285</v>
      </c>
      <c r="S57" s="237"/>
      <c r="T57" s="232"/>
      <c r="U57" s="232"/>
      <c r="V57" s="237">
        <f>VLOOKUP(V56,Check[],5,FALSE)</f>
        <v>286</v>
      </c>
      <c r="W57" s="237"/>
      <c r="X57" s="237"/>
      <c r="Y57" s="237">
        <f>VLOOKUP(Y56,Check[],5,FALSE)</f>
        <v>287</v>
      </c>
      <c r="Z57" s="233"/>
      <c r="AA57" s="233"/>
      <c r="AB57" s="19"/>
      <c r="AC57" s="1467" t="s">
        <v>16</v>
      </c>
      <c r="AD57" s="1469">
        <f>COUNTIF(Check[סימון],("V."&amp;"*"&amp;$AC57&amp;"."&amp;AD$5&amp;"*"))</f>
        <v>11</v>
      </c>
      <c r="AE57" s="1461">
        <f>COUNTIF(Check[סימון],("S."&amp;"*"&amp;$AC57&amp;"."&amp;AE$5&amp;"*"))</f>
        <v>3</v>
      </c>
      <c r="AF57" s="1472">
        <f>COUNTIF(Check[סימון],("O."&amp;"*"&amp;$AC57&amp;"."&amp;AF$5&amp;"*"))</f>
        <v>5</v>
      </c>
      <c r="AG57" s="1474">
        <f>SUM(AD57:AF57)</f>
        <v>19</v>
      </c>
      <c r="AH57" s="1476">
        <f>SUM(AI57,AG57)</f>
        <v>37</v>
      </c>
      <c r="AI57" s="1478">
        <f>SUM(AJ57:AL57)</f>
        <v>18</v>
      </c>
      <c r="AJ57" s="1480">
        <f>COUNTIF(Check[סימון],("O."&amp;"*"&amp;$AC57&amp;"."&amp;AJ$5&amp;"*"))</f>
        <v>0</v>
      </c>
      <c r="AK57" s="1461">
        <f>COUNTIF(Check[סימון],("S."&amp;"*"&amp;$AC57&amp;"."&amp;AK$5&amp;"*"))</f>
        <v>18</v>
      </c>
      <c r="AL57" s="1463">
        <f>COUNTIF(Check[סימון],("V."&amp;"*"&amp;$AC57&amp;"."&amp;AL$5&amp;"*"))</f>
        <v>0</v>
      </c>
      <c r="AM57" s="1465" t="s">
        <v>16</v>
      </c>
      <c r="AN57" s="247"/>
      <c r="AO57" s="234">
        <f>VLOOKUP(AO56,Check[],5,FALSE)</f>
        <v>281</v>
      </c>
      <c r="AP57" s="240"/>
      <c r="AQ57" s="243">
        <f>VLOOKUP(AQ56,Check[],5,FALSE)</f>
        <v>280</v>
      </c>
      <c r="AR57" s="240"/>
      <c r="AS57" s="243">
        <f>VLOOKUP(AS56,Check[],5,FALSE)</f>
        <v>279</v>
      </c>
      <c r="AT57" s="231"/>
      <c r="AU57" s="231"/>
      <c r="AV57" s="240"/>
      <c r="AW57" s="243">
        <f>VLOOKUP(AW56,Check[],5,FALSE)</f>
        <v>278</v>
      </c>
      <c r="AX57" s="244"/>
      <c r="AY57" s="242"/>
      <c r="AZ57" s="242"/>
      <c r="BA57" s="243">
        <f>VLOOKUP(BA56,Check[],5,FALSE)</f>
        <v>277</v>
      </c>
      <c r="BB57" s="244"/>
      <c r="BC57" s="245"/>
      <c r="BD57" s="245"/>
      <c r="BE57" s="245"/>
      <c r="BF57" s="245"/>
      <c r="BG57" s="246"/>
      <c r="BH57" s="21"/>
      <c r="BI57" s="21"/>
      <c r="BJ57" s="21"/>
      <c r="BK57" s="31"/>
      <c r="BL57" s="362" t="s">
        <v>65</v>
      </c>
      <c r="BM57" s="330"/>
      <c r="BN57" s="1768"/>
      <c r="BP57" s="236" t="s">
        <v>1078</v>
      </c>
    </row>
    <row r="58" spans="1:68" s="196" customFormat="1" ht="15" customHeight="1" thickBot="1" x14ac:dyDescent="0.4">
      <c r="A58" s="1767"/>
      <c r="B58" s="187">
        <f t="shared" ref="B58" si="387">B62+3.6</f>
        <v>139.24000000000004</v>
      </c>
      <c r="C58" s="280" t="s">
        <v>1</v>
      </c>
      <c r="D58" s="204"/>
      <c r="E58" s="203"/>
      <c r="F58" s="203"/>
      <c r="G58" s="203"/>
      <c r="H58" s="188">
        <f>VLOOKUP(H56,Check[],6,FALSE)</f>
        <v>3801</v>
      </c>
      <c r="I58" s="206"/>
      <c r="J58" s="206"/>
      <c r="K58" s="206"/>
      <c r="L58" s="206"/>
      <c r="M58" s="206"/>
      <c r="N58" s="207"/>
      <c r="O58" s="199">
        <f>VLOOKUP(O56,Check[],6,FALSE)</f>
        <v>3802</v>
      </c>
      <c r="P58" s="199"/>
      <c r="Q58" s="190"/>
      <c r="R58" s="199">
        <f>VLOOKUP(R56,Check[],6,FALSE)</f>
        <v>3803</v>
      </c>
      <c r="S58" s="199"/>
      <c r="T58" s="190"/>
      <c r="U58" s="190"/>
      <c r="V58" s="199">
        <f>VLOOKUP(V56,Check[],6,FALSE)</f>
        <v>3804</v>
      </c>
      <c r="W58" s="199"/>
      <c r="X58" s="199"/>
      <c r="Y58" s="199">
        <f>VLOOKUP(Y56,Check[],6,FALSE)</f>
        <v>3805</v>
      </c>
      <c r="Z58" s="191"/>
      <c r="AA58" s="191"/>
      <c r="AB58" s="192"/>
      <c r="AC58" s="1468"/>
      <c r="AD58" s="1470"/>
      <c r="AE58" s="1471"/>
      <c r="AF58" s="1473"/>
      <c r="AG58" s="1475"/>
      <c r="AH58" s="1477"/>
      <c r="AI58" s="1479"/>
      <c r="AJ58" s="1481"/>
      <c r="AK58" s="1471"/>
      <c r="AL58" s="1482"/>
      <c r="AM58" s="1483"/>
      <c r="AN58" s="215"/>
      <c r="AO58" s="194">
        <f>VLOOKUP(AO56,Check[],6,FALSE)</f>
        <v>3802</v>
      </c>
      <c r="AP58" s="202"/>
      <c r="AQ58" s="211">
        <f>VLOOKUP(AQ56,Check[],6,FALSE)</f>
        <v>3803</v>
      </c>
      <c r="AR58" s="202"/>
      <c r="AS58" s="211">
        <f>VLOOKUP(AS56,Check[],6,FALSE)</f>
        <v>3804</v>
      </c>
      <c r="AT58" s="189"/>
      <c r="AU58" s="189"/>
      <c r="AV58" s="202"/>
      <c r="AW58" s="211">
        <f>VLOOKUP(AW56,Check[],6,FALSE)</f>
        <v>3805</v>
      </c>
      <c r="AX58" s="212"/>
      <c r="AY58" s="207"/>
      <c r="AZ58" s="207"/>
      <c r="BA58" s="211">
        <f>VLOOKUP(BA56,Check[],6,FALSE)</f>
        <v>3801</v>
      </c>
      <c r="BB58" s="212"/>
      <c r="BC58" s="213"/>
      <c r="BD58" s="213"/>
      <c r="BE58" s="213"/>
      <c r="BF58" s="213"/>
      <c r="BG58" s="214"/>
      <c r="BH58" s="203"/>
      <c r="BI58" s="203"/>
      <c r="BJ58" s="203"/>
      <c r="BK58" s="205"/>
      <c r="BL58" s="363" t="s">
        <v>1</v>
      </c>
      <c r="BM58" s="187">
        <f t="shared" ref="BM58" si="388">BM62+3.6</f>
        <v>139.24000000000004</v>
      </c>
      <c r="BN58" s="1769"/>
      <c r="BP58" s="197" t="s">
        <v>1</v>
      </c>
    </row>
    <row r="59" spans="1:68" s="110" customFormat="1" ht="21.95" customHeight="1" x14ac:dyDescent="0.45">
      <c r="A59" s="1766"/>
      <c r="B59" s="326" t="str">
        <f t="shared" ref="B59" si="389">_xlfn.CONCAT("קומה ",B60)</f>
        <v>קומה 37</v>
      </c>
      <c r="C59" s="278" t="s">
        <v>0</v>
      </c>
      <c r="D59" s="117"/>
      <c r="E59" s="116"/>
      <c r="F59" s="116"/>
      <c r="G59" s="116"/>
      <c r="H59" s="104">
        <f t="shared" ref="H59" si="390">H63+5</f>
        <v>278</v>
      </c>
      <c r="I59" s="120"/>
      <c r="J59" s="120"/>
      <c r="K59" s="120"/>
      <c r="L59" s="120"/>
      <c r="M59" s="120"/>
      <c r="N59" s="115"/>
      <c r="O59" s="112">
        <f t="shared" ref="O59" si="391">O63+5</f>
        <v>279</v>
      </c>
      <c r="P59" s="112"/>
      <c r="Q59" s="106"/>
      <c r="R59" s="112">
        <f t="shared" ref="R59" si="392">R63+5</f>
        <v>280</v>
      </c>
      <c r="S59" s="112"/>
      <c r="T59" s="106"/>
      <c r="U59" s="106"/>
      <c r="V59" s="112">
        <f t="shared" ref="V59" si="393">V63+5</f>
        <v>281</v>
      </c>
      <c r="W59" s="112"/>
      <c r="X59" s="112"/>
      <c r="Y59" s="112">
        <f t="shared" ref="Y59" si="394">Y63+5</f>
        <v>282</v>
      </c>
      <c r="Z59" s="121"/>
      <c r="AA59" s="121"/>
      <c r="AB59" s="107"/>
      <c r="AC59" s="127" t="s">
        <v>26</v>
      </c>
      <c r="AD59" s="128">
        <f>COUNTIF(Check[סימון],("V."&amp;"*"&amp;$AC59&amp;"."&amp;AD$5&amp;"*"))</f>
        <v>0</v>
      </c>
      <c r="AE59" s="129">
        <f>COUNTIF(Check[סימון],("S."&amp;"*"&amp;$AC59&amp;"."&amp;AE$5&amp;"*"))</f>
        <v>8</v>
      </c>
      <c r="AF59" s="130">
        <f>COUNTIF(Check[סימון],("O."&amp;"*"&amp;$AC59&amp;"."&amp;AF$5&amp;"*"))</f>
        <v>4</v>
      </c>
      <c r="AG59" s="131">
        <f>SUM(AD59:AF59)</f>
        <v>12</v>
      </c>
      <c r="AH59" s="132">
        <f>SUM(AI59,AG59)</f>
        <v>26</v>
      </c>
      <c r="AI59" s="133">
        <f>SUM(AJ59:AL59)</f>
        <v>14</v>
      </c>
      <c r="AJ59" s="134">
        <f>COUNTIF(Check[סימון],("O."&amp;"*"&amp;$AC59&amp;"."&amp;AJ$5&amp;"*"))</f>
        <v>4</v>
      </c>
      <c r="AK59" s="129">
        <f>COUNTIF(Check[סימון],("S."&amp;"*"&amp;$AC59&amp;"."&amp;AK$5&amp;"*"))</f>
        <v>10</v>
      </c>
      <c r="AL59" s="135">
        <f>COUNTIF(Check[סימון],("V."&amp;"*"&amp;$AC59&amp;"."&amp;AL$5&amp;"*"))</f>
        <v>0</v>
      </c>
      <c r="AM59" s="136" t="s">
        <v>26</v>
      </c>
      <c r="AN59" s="137"/>
      <c r="AO59" s="108">
        <f t="shared" ref="AO59" si="395">AO63+5</f>
        <v>276</v>
      </c>
      <c r="AP59" s="115"/>
      <c r="AQ59" s="123">
        <f t="shared" ref="AQ59" si="396">AQ63+5</f>
        <v>275</v>
      </c>
      <c r="AR59" s="115"/>
      <c r="AS59" s="123">
        <f t="shared" ref="AS59" si="397">AS63+5</f>
        <v>274</v>
      </c>
      <c r="AT59" s="105"/>
      <c r="AU59" s="105"/>
      <c r="AV59" s="115"/>
      <c r="AW59" s="123">
        <f t="shared" ref="AW59" si="398">AW63+5</f>
        <v>273</v>
      </c>
      <c r="AX59" s="105"/>
      <c r="AY59" s="115"/>
      <c r="AZ59" s="115"/>
      <c r="BA59" s="123">
        <f t="shared" ref="BA59" si="399">BA63+5</f>
        <v>272</v>
      </c>
      <c r="BB59" s="105"/>
      <c r="BC59" s="109"/>
      <c r="BD59" s="109"/>
      <c r="BE59" s="109"/>
      <c r="BF59" s="109"/>
      <c r="BG59" s="124"/>
      <c r="BH59" s="116"/>
      <c r="BI59" s="116"/>
      <c r="BJ59" s="116"/>
      <c r="BK59" s="119"/>
      <c r="BL59" s="361" t="s">
        <v>0</v>
      </c>
      <c r="BM59" s="326" t="str">
        <f t="shared" ref="BM59" si="400">_xlfn.CONCAT("קומה ",BM60)</f>
        <v>קומה 37</v>
      </c>
      <c r="BN59" s="1768"/>
      <c r="BP59" s="111" t="s">
        <v>0</v>
      </c>
    </row>
    <row r="60" spans="1:68" s="52" customFormat="1" ht="9.9499999999999993" hidden="1" customHeight="1" x14ac:dyDescent="0.2">
      <c r="A60" s="1766"/>
      <c r="B60" s="329">
        <f t="shared" si="57"/>
        <v>37</v>
      </c>
      <c r="C60" s="278" t="s">
        <v>89</v>
      </c>
      <c r="D60" s="56"/>
      <c r="E60" s="55"/>
      <c r="F60" s="55"/>
      <c r="G60" s="55"/>
      <c r="H60" s="66" t="str">
        <f>VLOOKUP("*"&amp;H$5&amp;".Ap."&amp;H59,Check[],1,FALSE)</f>
        <v>S.P.4D.TS.Ap.278</v>
      </c>
      <c r="I60" s="64" t="str">
        <f t="shared" ref="I60" si="401">H60</f>
        <v>S.P.4D.TS.Ap.278</v>
      </c>
      <c r="J60" s="64" t="str">
        <f t="shared" ref="J60" si="402">I60</f>
        <v>S.P.4D.TS.Ap.278</v>
      </c>
      <c r="K60" s="64" t="str">
        <f t="shared" ref="K60" si="403">J60</f>
        <v>S.P.4D.TS.Ap.278</v>
      </c>
      <c r="L60" s="64" t="str">
        <f t="shared" ref="L60" si="404">K60</f>
        <v>S.P.4D.TS.Ap.278</v>
      </c>
      <c r="M60" s="64" t="str">
        <f t="shared" ref="M60" si="405">L60</f>
        <v>S.P.4D.TS.Ap.278</v>
      </c>
      <c r="N60" s="68" t="str">
        <f t="shared" ref="N60" si="406">M60</f>
        <v>S.P.4D.TS.Ap.278</v>
      </c>
      <c r="O60" s="64" t="str">
        <f>VLOOKUP("*"&amp;O$5&amp;".Ap."&amp;O59,Check[],1,FALSE)</f>
        <v>S.P.4E.TS.Ap.279</v>
      </c>
      <c r="P60" s="64" t="str">
        <f t="shared" ref="P60:Q60" si="407">O60</f>
        <v>S.P.4E.TS.Ap.279</v>
      </c>
      <c r="Q60" s="68" t="str">
        <f t="shared" si="407"/>
        <v>S.P.4E.TS.Ap.279</v>
      </c>
      <c r="R60" s="64" t="str">
        <f>VLOOKUP("*"&amp;R$5&amp;".Ap."&amp;R59,Check[],1,FALSE)</f>
        <v>S.P.4F.TS.Ap.280</v>
      </c>
      <c r="S60" s="64" t="str">
        <f t="shared" ref="S60:U60" si="408">R60</f>
        <v>S.P.4F.TS.Ap.280</v>
      </c>
      <c r="T60" s="68" t="str">
        <f t="shared" si="408"/>
        <v>S.P.4F.TS.Ap.280</v>
      </c>
      <c r="U60" s="68" t="str">
        <f t="shared" si="408"/>
        <v>S.P.4F.TS.Ap.280</v>
      </c>
      <c r="V60" s="64" t="str">
        <f>VLOOKUP("*"&amp;V$5&amp;".Ap."&amp;V59,Check[],1,FALSE)</f>
        <v>O.P.5AP.TS.Ap.281</v>
      </c>
      <c r="W60" s="64" t="str">
        <f t="shared" si="66"/>
        <v>O.P.5AP.TS.Ap.281</v>
      </c>
      <c r="X60" s="64" t="str">
        <f t="shared" ref="X60" si="409">V60</f>
        <v>O.P.5AP.TS.Ap.281</v>
      </c>
      <c r="Y60" s="64" t="str">
        <f>VLOOKUP("*"&amp;Y$5&amp;".Ap."&amp;Y59,Check[],1,FALSE)</f>
        <v>O.P.5BP.TS.Ap.282</v>
      </c>
      <c r="Z60" s="65" t="str">
        <f t="shared" si="68"/>
        <v>O.P.5BP.TS.Ap.282</v>
      </c>
      <c r="AA60" s="65" t="str">
        <f t="shared" ref="AA60" si="410">Y60</f>
        <v>O.P.5BP.TS.Ap.282</v>
      </c>
      <c r="AB60" s="50"/>
      <c r="AC60" s="314"/>
      <c r="AD60" s="317"/>
      <c r="AE60" s="318"/>
      <c r="AF60" s="319"/>
      <c r="AG60" s="320"/>
      <c r="AH60" s="321"/>
      <c r="AI60" s="314"/>
      <c r="AJ60" s="322"/>
      <c r="AK60" s="318"/>
      <c r="AL60" s="323"/>
      <c r="AM60" s="315"/>
      <c r="AN60" s="61"/>
      <c r="AO60" s="76" t="str">
        <f>VLOOKUP("*"&amp;AO$5&amp;".Ap."&amp;AO59,Check[],1,FALSE)</f>
        <v>S.P.5BP.TN.Ap.276</v>
      </c>
      <c r="AP60" s="68" t="str">
        <f t="shared" ref="AP60" si="411">AO60</f>
        <v>S.P.5BP.TN.Ap.276</v>
      </c>
      <c r="AQ60" s="72" t="str">
        <f>VLOOKUP("*"&amp;AQ$5&amp;".Ap."&amp;AQ59,Check[],1,FALSE)</f>
        <v>S.P.5AP.TN.Ap.275</v>
      </c>
      <c r="AR60" s="68" t="str">
        <f t="shared" ref="AR60" si="412">AQ60</f>
        <v>S.P.5AP.TN.Ap.275</v>
      </c>
      <c r="AS60" s="72" t="str">
        <f>VLOOKUP("*"&amp;AS$5&amp;".Ap."&amp;AS59,Check[],1,FALSE)</f>
        <v>S.P.4F.TN.Ap.274</v>
      </c>
      <c r="AT60" s="67" t="str">
        <f t="shared" ref="AT60:AV60" si="413">AS60</f>
        <v>S.P.4F.TN.Ap.274</v>
      </c>
      <c r="AU60" s="67" t="str">
        <f t="shared" si="413"/>
        <v>S.P.4F.TN.Ap.274</v>
      </c>
      <c r="AV60" s="68" t="str">
        <f t="shared" si="413"/>
        <v>S.P.4F.TN.Ap.274</v>
      </c>
      <c r="AW60" s="72" t="str">
        <f>VLOOKUP("*"&amp;AW$5&amp;".Ap."&amp;AW59,Check[],1,FALSE)</f>
        <v>O.P.4E.TN.Ap.273</v>
      </c>
      <c r="AX60" s="67" t="str">
        <f t="shared" ref="AX60:AZ60" si="414">AW60</f>
        <v>O.P.4E.TN.Ap.273</v>
      </c>
      <c r="AY60" s="68" t="str">
        <f t="shared" si="414"/>
        <v>O.P.4E.TN.Ap.273</v>
      </c>
      <c r="AZ60" s="68" t="str">
        <f t="shared" si="414"/>
        <v>O.P.4E.TN.Ap.273</v>
      </c>
      <c r="BA60" s="72" t="str">
        <f>VLOOKUP("*"&amp;BA$5&amp;".Ap."&amp;BA59,Check[],1,FALSE)</f>
        <v>V.GMS.P.4D.TN.Ap.272</v>
      </c>
      <c r="BB60" s="67" t="str">
        <f t="shared" ref="BB60" si="415">BA60</f>
        <v>V.GMS.P.4D.TN.Ap.272</v>
      </c>
      <c r="BC60" s="77" t="str">
        <f t="shared" ref="BC60" si="416">BB60</f>
        <v>V.GMS.P.4D.TN.Ap.272</v>
      </c>
      <c r="BD60" s="77" t="str">
        <f t="shared" ref="BD60" si="417">BC60</f>
        <v>V.GMS.P.4D.TN.Ap.272</v>
      </c>
      <c r="BE60" s="77" t="str">
        <f t="shared" ref="BE60" si="418">BD60</f>
        <v>V.GMS.P.4D.TN.Ap.272</v>
      </c>
      <c r="BF60" s="77" t="str">
        <f t="shared" ref="BF60" si="419">BE60</f>
        <v>V.GMS.P.4D.TN.Ap.272</v>
      </c>
      <c r="BG60" s="79" t="str">
        <f t="shared" ref="BG60" si="420">BF60</f>
        <v>V.GMS.P.4D.TN.Ap.272</v>
      </c>
      <c r="BH60" s="55"/>
      <c r="BI60" s="55"/>
      <c r="BJ60" s="55"/>
      <c r="BK60" s="57"/>
      <c r="BL60" s="361" t="s">
        <v>89</v>
      </c>
      <c r="BM60" s="329">
        <f t="shared" si="80"/>
        <v>37</v>
      </c>
      <c r="BN60" s="1768"/>
      <c r="BP60" s="53" t="s">
        <v>89</v>
      </c>
    </row>
    <row r="61" spans="1:68" s="8" customFormat="1" ht="12" customHeight="1" x14ac:dyDescent="0.3">
      <c r="A61" s="1766"/>
      <c r="B61" s="330"/>
      <c r="C61" s="279" t="s">
        <v>65</v>
      </c>
      <c r="D61" s="25"/>
      <c r="E61" s="21"/>
      <c r="F61" s="21"/>
      <c r="G61" s="21"/>
      <c r="H61" s="230">
        <f>VLOOKUP(H60,Check[],5,FALSE)</f>
        <v>278</v>
      </c>
      <c r="I61" s="241"/>
      <c r="J61" s="241"/>
      <c r="K61" s="241"/>
      <c r="L61" s="241"/>
      <c r="M61" s="241"/>
      <c r="N61" s="242"/>
      <c r="O61" s="237">
        <f>VLOOKUP(O60,Check[],5,FALSE)</f>
        <v>279</v>
      </c>
      <c r="P61" s="237"/>
      <c r="Q61" s="232"/>
      <c r="R61" s="237">
        <f>VLOOKUP(R60,Check[],5,FALSE)</f>
        <v>280</v>
      </c>
      <c r="S61" s="237"/>
      <c r="T61" s="232"/>
      <c r="U61" s="232"/>
      <c r="V61" s="237">
        <f>VLOOKUP(V60,Check[],5,FALSE)</f>
        <v>281</v>
      </c>
      <c r="W61" s="237"/>
      <c r="X61" s="237"/>
      <c r="Y61" s="237">
        <f>VLOOKUP(Y60,Check[],5,FALSE)</f>
        <v>282</v>
      </c>
      <c r="Z61" s="233"/>
      <c r="AA61" s="233"/>
      <c r="AB61" s="19"/>
      <c r="AC61" s="1467" t="s">
        <v>27</v>
      </c>
      <c r="AD61" s="1469">
        <f>COUNTIF(Check[סימון],("V."&amp;"*"&amp;$AC61&amp;"."&amp;AD$5&amp;"*"))</f>
        <v>5</v>
      </c>
      <c r="AE61" s="1461">
        <f>COUNTIF(Check[סימון],("S."&amp;"*"&amp;$AC61&amp;"."&amp;AE$5&amp;"*"))</f>
        <v>6</v>
      </c>
      <c r="AF61" s="1472">
        <f>COUNTIF(Check[סימון],("O."&amp;"*"&amp;$AC61&amp;"."&amp;AF$5&amp;"*"))</f>
        <v>3</v>
      </c>
      <c r="AG61" s="1474">
        <f>SUM(AD61:AF61)</f>
        <v>14</v>
      </c>
      <c r="AH61" s="1476">
        <f>SUM(AI61,AG61)</f>
        <v>28</v>
      </c>
      <c r="AI61" s="1478">
        <f>SUM(AJ61:AL61)</f>
        <v>14</v>
      </c>
      <c r="AJ61" s="1480">
        <f>COUNTIF(Check[סימון],("O."&amp;"*"&amp;$AC61&amp;"."&amp;AJ$5&amp;"*"))</f>
        <v>2</v>
      </c>
      <c r="AK61" s="1461">
        <f>COUNTIF(Check[סימון],("S."&amp;"*"&amp;$AC61&amp;"."&amp;AK$5&amp;"*"))</f>
        <v>1</v>
      </c>
      <c r="AL61" s="1463">
        <f>COUNTIF(Check[סימון],("V."&amp;"*"&amp;$AC61&amp;"."&amp;AL$5&amp;"*"))</f>
        <v>11</v>
      </c>
      <c r="AM61" s="1465" t="s">
        <v>27</v>
      </c>
      <c r="AN61" s="247"/>
      <c r="AO61" s="234">
        <f>VLOOKUP(AO60,Check[],5,FALSE)</f>
        <v>276</v>
      </c>
      <c r="AP61" s="240"/>
      <c r="AQ61" s="243">
        <f>VLOOKUP(AQ60,Check[],5,FALSE)</f>
        <v>275</v>
      </c>
      <c r="AR61" s="240"/>
      <c r="AS61" s="243">
        <f>VLOOKUP(AS60,Check[],5,FALSE)</f>
        <v>274</v>
      </c>
      <c r="AT61" s="231"/>
      <c r="AU61" s="231"/>
      <c r="AV61" s="240"/>
      <c r="AW61" s="243">
        <f>VLOOKUP(AW60,Check[],5,FALSE)</f>
        <v>273</v>
      </c>
      <c r="AX61" s="244"/>
      <c r="AY61" s="242"/>
      <c r="AZ61" s="242"/>
      <c r="BA61" s="243">
        <f>VLOOKUP(BA60,Check[],5,FALSE)</f>
        <v>272</v>
      </c>
      <c r="BB61" s="244"/>
      <c r="BC61" s="245"/>
      <c r="BD61" s="245"/>
      <c r="BE61" s="245"/>
      <c r="BF61" s="245"/>
      <c r="BG61" s="246"/>
      <c r="BH61" s="21"/>
      <c r="BI61" s="21"/>
      <c r="BJ61" s="21"/>
      <c r="BK61" s="31"/>
      <c r="BL61" s="362" t="s">
        <v>65</v>
      </c>
      <c r="BM61" s="330"/>
      <c r="BN61" s="1768"/>
      <c r="BP61" s="236" t="s">
        <v>1078</v>
      </c>
    </row>
    <row r="62" spans="1:68" s="196" customFormat="1" ht="15" customHeight="1" thickBot="1" x14ac:dyDescent="0.4">
      <c r="A62" s="1767"/>
      <c r="B62" s="187">
        <f t="shared" ref="B62" si="421">B66+3.6</f>
        <v>135.64000000000004</v>
      </c>
      <c r="C62" s="280" t="s">
        <v>1</v>
      </c>
      <c r="D62" s="204"/>
      <c r="E62" s="203"/>
      <c r="F62" s="203"/>
      <c r="G62" s="203"/>
      <c r="H62" s="188">
        <f>VLOOKUP(H60,Check[],6,FALSE)</f>
        <v>3701</v>
      </c>
      <c r="I62" s="206"/>
      <c r="J62" s="206"/>
      <c r="K62" s="206"/>
      <c r="L62" s="206"/>
      <c r="M62" s="206"/>
      <c r="N62" s="207"/>
      <c r="O62" s="199">
        <f>VLOOKUP(O60,Check[],6,FALSE)</f>
        <v>3702</v>
      </c>
      <c r="P62" s="199"/>
      <c r="Q62" s="190"/>
      <c r="R62" s="199">
        <f>VLOOKUP(R60,Check[],6,FALSE)</f>
        <v>3703</v>
      </c>
      <c r="S62" s="199"/>
      <c r="T62" s="190"/>
      <c r="U62" s="190"/>
      <c r="V62" s="199">
        <f>VLOOKUP(V60,Check[],6,FALSE)</f>
        <v>3704</v>
      </c>
      <c r="W62" s="199"/>
      <c r="X62" s="199"/>
      <c r="Y62" s="199">
        <f>VLOOKUP(Y60,Check[],6,FALSE)</f>
        <v>3705</v>
      </c>
      <c r="Z62" s="191"/>
      <c r="AA62" s="191"/>
      <c r="AB62" s="192"/>
      <c r="AC62" s="1468"/>
      <c r="AD62" s="1470"/>
      <c r="AE62" s="1471"/>
      <c r="AF62" s="1473"/>
      <c r="AG62" s="1475"/>
      <c r="AH62" s="1477"/>
      <c r="AI62" s="1479"/>
      <c r="AJ62" s="1481"/>
      <c r="AK62" s="1471"/>
      <c r="AL62" s="1482"/>
      <c r="AM62" s="1483"/>
      <c r="AN62" s="215"/>
      <c r="AO62" s="194">
        <f>VLOOKUP(AO60,Check[],6,FALSE)</f>
        <v>3702</v>
      </c>
      <c r="AP62" s="202"/>
      <c r="AQ62" s="211">
        <f>VLOOKUP(AQ60,Check[],6,FALSE)</f>
        <v>3703</v>
      </c>
      <c r="AR62" s="202"/>
      <c r="AS62" s="211">
        <f>VLOOKUP(AS60,Check[],6,FALSE)</f>
        <v>3704</v>
      </c>
      <c r="AT62" s="189"/>
      <c r="AU62" s="189"/>
      <c r="AV62" s="202"/>
      <c r="AW62" s="211">
        <f>VLOOKUP(AW60,Check[],6,FALSE)</f>
        <v>3705</v>
      </c>
      <c r="AX62" s="212"/>
      <c r="AY62" s="207"/>
      <c r="AZ62" s="207"/>
      <c r="BA62" s="211">
        <f>VLOOKUP(BA60,Check[],6,FALSE)</f>
        <v>3701</v>
      </c>
      <c r="BB62" s="212"/>
      <c r="BC62" s="213"/>
      <c r="BD62" s="213"/>
      <c r="BE62" s="213"/>
      <c r="BF62" s="213"/>
      <c r="BG62" s="214"/>
      <c r="BH62" s="203"/>
      <c r="BI62" s="203"/>
      <c r="BJ62" s="203"/>
      <c r="BK62" s="205"/>
      <c r="BL62" s="363" t="s">
        <v>1</v>
      </c>
      <c r="BM62" s="187">
        <f t="shared" ref="BM62" si="422">BM66+3.6</f>
        <v>135.64000000000004</v>
      </c>
      <c r="BN62" s="1769"/>
      <c r="BP62" s="197" t="s">
        <v>1</v>
      </c>
    </row>
    <row r="63" spans="1:68" s="110" customFormat="1" ht="21.95" customHeight="1" x14ac:dyDescent="0.45">
      <c r="A63" s="1766"/>
      <c r="B63" s="326" t="str">
        <f t="shared" ref="B63" si="423">_xlfn.CONCAT("קומה ",B64)</f>
        <v>קומה 36</v>
      </c>
      <c r="C63" s="278" t="s">
        <v>0</v>
      </c>
      <c r="D63" s="117"/>
      <c r="E63" s="116"/>
      <c r="F63" s="116"/>
      <c r="G63" s="116"/>
      <c r="H63" s="104">
        <f t="shared" ref="H63" si="424">H67+5</f>
        <v>273</v>
      </c>
      <c r="I63" s="120"/>
      <c r="J63" s="120"/>
      <c r="K63" s="120"/>
      <c r="L63" s="120"/>
      <c r="M63" s="120"/>
      <c r="N63" s="115"/>
      <c r="O63" s="112">
        <f t="shared" ref="O63" si="425">O67+5</f>
        <v>274</v>
      </c>
      <c r="P63" s="112"/>
      <c r="Q63" s="106"/>
      <c r="R63" s="112">
        <f t="shared" ref="R63" si="426">R67+5</f>
        <v>275</v>
      </c>
      <c r="S63" s="112"/>
      <c r="T63" s="106"/>
      <c r="U63" s="106"/>
      <c r="V63" s="112">
        <f t="shared" ref="V63" si="427">V67+5</f>
        <v>276</v>
      </c>
      <c r="W63" s="112"/>
      <c r="X63" s="112"/>
      <c r="Y63" s="112">
        <f t="shared" ref="Y63" si="428">Y67+5</f>
        <v>277</v>
      </c>
      <c r="Z63" s="121"/>
      <c r="AA63" s="121"/>
      <c r="AB63" s="107"/>
      <c r="AC63" s="127" t="s">
        <v>28</v>
      </c>
      <c r="AD63" s="128">
        <f>COUNTIF(Check[סימון],("V."&amp;"*"&amp;$AC63&amp;"."&amp;AD$5&amp;"*"))</f>
        <v>0</v>
      </c>
      <c r="AE63" s="129">
        <f>COUNTIF(Check[סימון],("S."&amp;"*"&amp;$AC63&amp;"."&amp;AE$5&amp;"*"))</f>
        <v>8</v>
      </c>
      <c r="AF63" s="130">
        <f>COUNTIF(Check[סימון],("O."&amp;"*"&amp;$AC63&amp;"."&amp;AF$5&amp;"*"))</f>
        <v>6</v>
      </c>
      <c r="AG63" s="131">
        <f>SUM(AD63:AF63)</f>
        <v>14</v>
      </c>
      <c r="AH63" s="132">
        <f>SUM(AI63,AG63)</f>
        <v>28</v>
      </c>
      <c r="AI63" s="133">
        <f>SUM(AJ63:AL63)</f>
        <v>14</v>
      </c>
      <c r="AJ63" s="134">
        <f>COUNTIF(Check[סימון],("O."&amp;"*"&amp;$AC63&amp;"."&amp;AJ$5&amp;"*"))</f>
        <v>7</v>
      </c>
      <c r="AK63" s="129">
        <f>COUNTIF(Check[סימון],("S."&amp;"*"&amp;$AC63&amp;"."&amp;AK$5&amp;"*"))</f>
        <v>7</v>
      </c>
      <c r="AL63" s="135">
        <f>COUNTIF(Check[סימון],("V."&amp;"*"&amp;$AC63&amp;"."&amp;AL$5&amp;"*"))</f>
        <v>0</v>
      </c>
      <c r="AM63" s="136" t="s">
        <v>28</v>
      </c>
      <c r="AN63" s="137"/>
      <c r="AO63" s="108">
        <f t="shared" ref="AO63" si="429">AO67+5</f>
        <v>271</v>
      </c>
      <c r="AP63" s="115"/>
      <c r="AQ63" s="123">
        <f t="shared" ref="AQ63" si="430">AQ67+5</f>
        <v>270</v>
      </c>
      <c r="AR63" s="115"/>
      <c r="AS63" s="123">
        <f t="shared" ref="AS63" si="431">AS67+5</f>
        <v>269</v>
      </c>
      <c r="AT63" s="105"/>
      <c r="AU63" s="105"/>
      <c r="AV63" s="115"/>
      <c r="AW63" s="123">
        <f t="shared" ref="AW63" si="432">AW67+5</f>
        <v>268</v>
      </c>
      <c r="AX63" s="105"/>
      <c r="AY63" s="115"/>
      <c r="AZ63" s="115"/>
      <c r="BA63" s="123">
        <f t="shared" ref="BA63" si="433">BA67+5</f>
        <v>267</v>
      </c>
      <c r="BB63" s="105"/>
      <c r="BC63" s="109"/>
      <c r="BD63" s="109"/>
      <c r="BE63" s="109"/>
      <c r="BF63" s="109"/>
      <c r="BG63" s="124"/>
      <c r="BH63" s="116"/>
      <c r="BI63" s="116"/>
      <c r="BJ63" s="116"/>
      <c r="BK63" s="119"/>
      <c r="BL63" s="361" t="s">
        <v>0</v>
      </c>
      <c r="BM63" s="326" t="str">
        <f t="shared" ref="BM63" si="434">_xlfn.CONCAT("קומה ",BM64)</f>
        <v>קומה 36</v>
      </c>
      <c r="BN63" s="1768"/>
      <c r="BP63" s="111" t="s">
        <v>0</v>
      </c>
    </row>
    <row r="64" spans="1:68" s="52" customFormat="1" ht="9.9499999999999993" hidden="1" customHeight="1" x14ac:dyDescent="0.2">
      <c r="A64" s="1766"/>
      <c r="B64" s="329">
        <f t="shared" si="57"/>
        <v>36</v>
      </c>
      <c r="C64" s="278" t="s">
        <v>89</v>
      </c>
      <c r="D64" s="56"/>
      <c r="E64" s="55"/>
      <c r="F64" s="55"/>
      <c r="G64" s="55"/>
      <c r="H64" s="66" t="str">
        <f>VLOOKUP("*"&amp;H$5&amp;".Ap."&amp;H63,Check[],1,FALSE)</f>
        <v>V.GMS.P.4D.TS.Ap.273</v>
      </c>
      <c r="I64" s="64" t="str">
        <f t="shared" ref="I64" si="435">H64</f>
        <v>V.GMS.P.4D.TS.Ap.273</v>
      </c>
      <c r="J64" s="64" t="str">
        <f t="shared" ref="J64" si="436">I64</f>
        <v>V.GMS.P.4D.TS.Ap.273</v>
      </c>
      <c r="K64" s="64" t="str">
        <f t="shared" ref="K64" si="437">J64</f>
        <v>V.GMS.P.4D.TS.Ap.273</v>
      </c>
      <c r="L64" s="64" t="str">
        <f t="shared" ref="L64" si="438">K64</f>
        <v>V.GMS.P.4D.TS.Ap.273</v>
      </c>
      <c r="M64" s="64" t="str">
        <f t="shared" ref="M64" si="439">L64</f>
        <v>V.GMS.P.4D.TS.Ap.273</v>
      </c>
      <c r="N64" s="68" t="str">
        <f t="shared" ref="N64" si="440">M64</f>
        <v>V.GMS.P.4D.TS.Ap.273</v>
      </c>
      <c r="O64" s="64" t="str">
        <f>VLOOKUP("*"&amp;O$5&amp;".Ap."&amp;O63,Check[],1,FALSE)</f>
        <v>S.P.4E.TS.Ap.274</v>
      </c>
      <c r="P64" s="64" t="str">
        <f t="shared" ref="P64:Q64" si="441">O64</f>
        <v>S.P.4E.TS.Ap.274</v>
      </c>
      <c r="Q64" s="68" t="str">
        <f t="shared" si="441"/>
        <v>S.P.4E.TS.Ap.274</v>
      </c>
      <c r="R64" s="64" t="str">
        <f>VLOOKUP("*"&amp;R$5&amp;".Ap."&amp;R63,Check[],1,FALSE)</f>
        <v>O.P.4F.TS.Ap.275</v>
      </c>
      <c r="S64" s="64" t="str">
        <f t="shared" ref="S64:U64" si="442">R64</f>
        <v>O.P.4F.TS.Ap.275</v>
      </c>
      <c r="T64" s="68" t="str">
        <f t="shared" si="442"/>
        <v>O.P.4F.TS.Ap.275</v>
      </c>
      <c r="U64" s="68" t="str">
        <f t="shared" si="442"/>
        <v>O.P.4F.TS.Ap.275</v>
      </c>
      <c r="V64" s="64" t="str">
        <f>VLOOKUP("*"&amp;V$5&amp;".Ap."&amp;V63,Check[],1,FALSE)</f>
        <v>S.P.5AP.TS.Ap.276</v>
      </c>
      <c r="W64" s="64" t="str">
        <f t="shared" si="66"/>
        <v>S.P.5AP.TS.Ap.276</v>
      </c>
      <c r="X64" s="64" t="str">
        <f t="shared" ref="X64" si="443">V64</f>
        <v>S.P.5AP.TS.Ap.276</v>
      </c>
      <c r="Y64" s="64" t="str">
        <f>VLOOKUP("*"&amp;Y$5&amp;".Ap."&amp;Y63,Check[],1,FALSE)</f>
        <v>V.GM.P.5BP.TS.Ap.277</v>
      </c>
      <c r="Z64" s="65" t="str">
        <f t="shared" si="68"/>
        <v>V.GM.P.5BP.TS.Ap.277</v>
      </c>
      <c r="AA64" s="65" t="str">
        <f t="shared" ref="AA64" si="444">Y64</f>
        <v>V.GM.P.5BP.TS.Ap.277</v>
      </c>
      <c r="AB64" s="50"/>
      <c r="AC64" s="314"/>
      <c r="AD64" s="317"/>
      <c r="AE64" s="318"/>
      <c r="AF64" s="319"/>
      <c r="AG64" s="320"/>
      <c r="AH64" s="321"/>
      <c r="AI64" s="314"/>
      <c r="AJ64" s="322"/>
      <c r="AK64" s="318"/>
      <c r="AL64" s="323"/>
      <c r="AM64" s="315"/>
      <c r="AN64" s="61"/>
      <c r="AO64" s="76" t="str">
        <f>VLOOKUP("*"&amp;AO$5&amp;".Ap."&amp;AO63,Check[],1,FALSE)</f>
        <v>S.P.5BP.TN.Ap.271</v>
      </c>
      <c r="AP64" s="68" t="str">
        <f t="shared" ref="AP64" si="445">AO64</f>
        <v>S.P.5BP.TN.Ap.271</v>
      </c>
      <c r="AQ64" s="72" t="str">
        <f>VLOOKUP("*"&amp;AQ$5&amp;".Ap."&amp;AQ63,Check[],1,FALSE)</f>
        <v>S.P.5AP.TN.Ap.270</v>
      </c>
      <c r="AR64" s="68" t="str">
        <f t="shared" ref="AR64" si="446">AQ64</f>
        <v>S.P.5AP.TN.Ap.270</v>
      </c>
      <c r="AS64" s="72" t="str">
        <f>VLOOKUP("*"&amp;AS$5&amp;".Ap."&amp;AS63,Check[],1,FALSE)</f>
        <v>S.P.4F.TN.Ap.269</v>
      </c>
      <c r="AT64" s="67" t="str">
        <f t="shared" ref="AT64:AV64" si="447">AS64</f>
        <v>S.P.4F.TN.Ap.269</v>
      </c>
      <c r="AU64" s="67" t="str">
        <f t="shared" si="447"/>
        <v>S.P.4F.TN.Ap.269</v>
      </c>
      <c r="AV64" s="68" t="str">
        <f t="shared" si="447"/>
        <v>S.P.4F.TN.Ap.269</v>
      </c>
      <c r="AW64" s="72" t="str">
        <f>VLOOKUP("*"&amp;AW$5&amp;".Ap."&amp;AW63,Check[],1,FALSE)</f>
        <v>S.P.4E.TN.Ap.268</v>
      </c>
      <c r="AX64" s="67" t="str">
        <f t="shared" ref="AX64:AZ64" si="448">AW64</f>
        <v>S.P.4E.TN.Ap.268</v>
      </c>
      <c r="AY64" s="68" t="str">
        <f t="shared" si="448"/>
        <v>S.P.4E.TN.Ap.268</v>
      </c>
      <c r="AZ64" s="68" t="str">
        <f t="shared" si="448"/>
        <v>S.P.4E.TN.Ap.268</v>
      </c>
      <c r="BA64" s="72" t="str">
        <f>VLOOKUP("*"&amp;BA$5&amp;".Ap."&amp;BA63,Check[],1,FALSE)</f>
        <v>V.GMS.P.4D.TN.Ap.267</v>
      </c>
      <c r="BB64" s="67" t="str">
        <f t="shared" ref="BB64" si="449">BA64</f>
        <v>V.GMS.P.4D.TN.Ap.267</v>
      </c>
      <c r="BC64" s="77" t="str">
        <f t="shared" ref="BC64" si="450">BB64</f>
        <v>V.GMS.P.4D.TN.Ap.267</v>
      </c>
      <c r="BD64" s="77" t="str">
        <f t="shared" ref="BD64" si="451">BC64</f>
        <v>V.GMS.P.4D.TN.Ap.267</v>
      </c>
      <c r="BE64" s="77" t="str">
        <f t="shared" ref="BE64" si="452">BD64</f>
        <v>V.GMS.P.4D.TN.Ap.267</v>
      </c>
      <c r="BF64" s="77" t="str">
        <f t="shared" ref="BF64" si="453">BE64</f>
        <v>V.GMS.P.4D.TN.Ap.267</v>
      </c>
      <c r="BG64" s="79" t="str">
        <f t="shared" ref="BG64" si="454">BF64</f>
        <v>V.GMS.P.4D.TN.Ap.267</v>
      </c>
      <c r="BH64" s="55"/>
      <c r="BI64" s="55"/>
      <c r="BJ64" s="55"/>
      <c r="BK64" s="57"/>
      <c r="BL64" s="361" t="s">
        <v>89</v>
      </c>
      <c r="BM64" s="329">
        <f t="shared" si="80"/>
        <v>36</v>
      </c>
      <c r="BN64" s="1768"/>
      <c r="BP64" s="53" t="s">
        <v>89</v>
      </c>
    </row>
    <row r="65" spans="1:68" s="8" customFormat="1" ht="12" customHeight="1" x14ac:dyDescent="0.3">
      <c r="A65" s="1766"/>
      <c r="B65" s="330"/>
      <c r="C65" s="279" t="s">
        <v>65</v>
      </c>
      <c r="D65" s="25"/>
      <c r="E65" s="21"/>
      <c r="F65" s="21"/>
      <c r="G65" s="21"/>
      <c r="H65" s="230">
        <f>VLOOKUP(H64,Check[],5,FALSE)</f>
        <v>273</v>
      </c>
      <c r="I65" s="241"/>
      <c r="J65" s="241"/>
      <c r="K65" s="241"/>
      <c r="L65" s="241"/>
      <c r="M65" s="241"/>
      <c r="N65" s="242"/>
      <c r="O65" s="237">
        <f>VLOOKUP(O64,Check[],5,FALSE)</f>
        <v>274</v>
      </c>
      <c r="P65" s="237"/>
      <c r="Q65" s="232"/>
      <c r="R65" s="237">
        <f>VLOOKUP(R64,Check[],5,FALSE)</f>
        <v>275</v>
      </c>
      <c r="S65" s="237"/>
      <c r="T65" s="232"/>
      <c r="U65" s="232"/>
      <c r="V65" s="237">
        <f>VLOOKUP(V64,Check[],5,FALSE)</f>
        <v>276</v>
      </c>
      <c r="W65" s="237"/>
      <c r="X65" s="237"/>
      <c r="Y65" s="237">
        <f>VLOOKUP(Y64,Check[],5,FALSE)</f>
        <v>277</v>
      </c>
      <c r="Z65" s="233"/>
      <c r="AA65" s="233"/>
      <c r="AB65" s="19"/>
      <c r="AC65" s="1467" t="s">
        <v>29</v>
      </c>
      <c r="AD65" s="1469">
        <f>COUNTIF(Check[סימון],("V."&amp;"*"&amp;$AC65&amp;"."&amp;AD$5&amp;"*"))</f>
        <v>0</v>
      </c>
      <c r="AE65" s="1461">
        <f>COUNTIF(Check[סימון],("S."&amp;"*"&amp;$AC65&amp;"."&amp;AE$5&amp;"*"))</f>
        <v>6</v>
      </c>
      <c r="AF65" s="1472">
        <f>COUNTIF(Check[סימון],("O."&amp;"*"&amp;$AC65&amp;"."&amp;AF$5&amp;"*"))</f>
        <v>8</v>
      </c>
      <c r="AG65" s="1474">
        <f>SUM(AD65:AF65)</f>
        <v>14</v>
      </c>
      <c r="AH65" s="1476">
        <f>SUM(AI65,AG65)</f>
        <v>28</v>
      </c>
      <c r="AI65" s="1478">
        <f>SUM(AJ65:AL65)</f>
        <v>14</v>
      </c>
      <c r="AJ65" s="1480">
        <f>COUNTIF(Check[סימון],("O."&amp;"*"&amp;$AC65&amp;"."&amp;AJ$5&amp;"*"))</f>
        <v>6</v>
      </c>
      <c r="AK65" s="1461">
        <f>COUNTIF(Check[סימון],("S."&amp;"*"&amp;$AC65&amp;"."&amp;AK$5&amp;"*"))</f>
        <v>8</v>
      </c>
      <c r="AL65" s="1463">
        <f>COUNTIF(Check[סימון],("V."&amp;"*"&amp;$AC65&amp;"."&amp;AL$5&amp;"*"))</f>
        <v>0</v>
      </c>
      <c r="AM65" s="1465" t="s">
        <v>29</v>
      </c>
      <c r="AN65" s="247"/>
      <c r="AO65" s="234">
        <f>VLOOKUP(AO64,Check[],5,FALSE)</f>
        <v>271</v>
      </c>
      <c r="AP65" s="240"/>
      <c r="AQ65" s="243">
        <f>VLOOKUP(AQ64,Check[],5,FALSE)</f>
        <v>270</v>
      </c>
      <c r="AR65" s="240"/>
      <c r="AS65" s="243">
        <f>VLOOKUP(AS64,Check[],5,FALSE)</f>
        <v>269</v>
      </c>
      <c r="AT65" s="231"/>
      <c r="AU65" s="231"/>
      <c r="AV65" s="240"/>
      <c r="AW65" s="243">
        <f>VLOOKUP(AW64,Check[],5,FALSE)</f>
        <v>268</v>
      </c>
      <c r="AX65" s="244"/>
      <c r="AY65" s="242"/>
      <c r="AZ65" s="242"/>
      <c r="BA65" s="243">
        <f>VLOOKUP(BA64,Check[],5,FALSE)</f>
        <v>267</v>
      </c>
      <c r="BB65" s="244"/>
      <c r="BC65" s="245"/>
      <c r="BD65" s="245"/>
      <c r="BE65" s="245"/>
      <c r="BF65" s="245"/>
      <c r="BG65" s="246"/>
      <c r="BH65" s="21"/>
      <c r="BI65" s="21"/>
      <c r="BJ65" s="21"/>
      <c r="BK65" s="31"/>
      <c r="BL65" s="362" t="s">
        <v>65</v>
      </c>
      <c r="BM65" s="330"/>
      <c r="BN65" s="1768"/>
      <c r="BP65" s="236" t="s">
        <v>1078</v>
      </c>
    </row>
    <row r="66" spans="1:68" s="196" customFormat="1" ht="15" customHeight="1" thickBot="1" x14ac:dyDescent="0.4">
      <c r="A66" s="1767"/>
      <c r="B66" s="187">
        <f t="shared" ref="B66" si="455">B70+3.6</f>
        <v>132.04000000000005</v>
      </c>
      <c r="C66" s="280" t="s">
        <v>1</v>
      </c>
      <c r="D66" s="204"/>
      <c r="E66" s="203"/>
      <c r="F66" s="203"/>
      <c r="G66" s="203"/>
      <c r="H66" s="188">
        <f>VLOOKUP(H64,Check[],6,FALSE)</f>
        <v>3601</v>
      </c>
      <c r="I66" s="206"/>
      <c r="J66" s="206"/>
      <c r="K66" s="206"/>
      <c r="L66" s="206"/>
      <c r="M66" s="206"/>
      <c r="N66" s="207"/>
      <c r="O66" s="199">
        <f>VLOOKUP(O64,Check[],6,FALSE)</f>
        <v>3602</v>
      </c>
      <c r="P66" s="199"/>
      <c r="Q66" s="190"/>
      <c r="R66" s="199">
        <f>VLOOKUP(R64,Check[],6,FALSE)</f>
        <v>3603</v>
      </c>
      <c r="S66" s="199"/>
      <c r="T66" s="190"/>
      <c r="U66" s="190"/>
      <c r="V66" s="199">
        <f>VLOOKUP(V64,Check[],6,FALSE)</f>
        <v>3604</v>
      </c>
      <c r="W66" s="199"/>
      <c r="X66" s="199"/>
      <c r="Y66" s="199">
        <f>VLOOKUP(Y64,Check[],6,FALSE)</f>
        <v>3605</v>
      </c>
      <c r="Z66" s="191"/>
      <c r="AA66" s="191"/>
      <c r="AB66" s="192"/>
      <c r="AC66" s="1468"/>
      <c r="AD66" s="1470"/>
      <c r="AE66" s="1471"/>
      <c r="AF66" s="1473"/>
      <c r="AG66" s="1475"/>
      <c r="AH66" s="1477"/>
      <c r="AI66" s="1479"/>
      <c r="AJ66" s="1481"/>
      <c r="AK66" s="1471"/>
      <c r="AL66" s="1482"/>
      <c r="AM66" s="1483"/>
      <c r="AN66" s="215"/>
      <c r="AO66" s="194">
        <f>VLOOKUP(AO64,Check[],6,FALSE)</f>
        <v>3602</v>
      </c>
      <c r="AP66" s="202"/>
      <c r="AQ66" s="211">
        <f>VLOOKUP(AQ64,Check[],6,FALSE)</f>
        <v>3603</v>
      </c>
      <c r="AR66" s="202"/>
      <c r="AS66" s="211">
        <f>VLOOKUP(AS64,Check[],6,FALSE)</f>
        <v>3604</v>
      </c>
      <c r="AT66" s="189"/>
      <c r="AU66" s="189"/>
      <c r="AV66" s="202"/>
      <c r="AW66" s="211">
        <f>VLOOKUP(AW64,Check[],6,FALSE)</f>
        <v>3605</v>
      </c>
      <c r="AX66" s="212"/>
      <c r="AY66" s="207"/>
      <c r="AZ66" s="207"/>
      <c r="BA66" s="211">
        <f>VLOOKUP(BA64,Check[],6,FALSE)</f>
        <v>3601</v>
      </c>
      <c r="BB66" s="212"/>
      <c r="BC66" s="213"/>
      <c r="BD66" s="213"/>
      <c r="BE66" s="213"/>
      <c r="BF66" s="213"/>
      <c r="BG66" s="214"/>
      <c r="BH66" s="203"/>
      <c r="BI66" s="203"/>
      <c r="BJ66" s="203"/>
      <c r="BK66" s="205"/>
      <c r="BL66" s="363" t="s">
        <v>1</v>
      </c>
      <c r="BM66" s="187">
        <f t="shared" ref="BM66" si="456">BM70+3.6</f>
        <v>132.04000000000005</v>
      </c>
      <c r="BN66" s="1769"/>
      <c r="BP66" s="197" t="s">
        <v>1</v>
      </c>
    </row>
    <row r="67" spans="1:68" s="110" customFormat="1" ht="21.95" customHeight="1" x14ac:dyDescent="0.45">
      <c r="A67" s="1766"/>
      <c r="B67" s="326" t="str">
        <f t="shared" ref="B67" si="457">_xlfn.CONCAT("קומה ",B68)</f>
        <v>קומה 35</v>
      </c>
      <c r="C67" s="278" t="s">
        <v>0</v>
      </c>
      <c r="D67" s="117"/>
      <c r="E67" s="116"/>
      <c r="F67" s="116"/>
      <c r="G67" s="116"/>
      <c r="H67" s="104">
        <f>H71+5</f>
        <v>268</v>
      </c>
      <c r="I67" s="120"/>
      <c r="J67" s="120"/>
      <c r="K67" s="120"/>
      <c r="L67" s="120"/>
      <c r="M67" s="120"/>
      <c r="N67" s="115"/>
      <c r="O67" s="112">
        <f>O71+5</f>
        <v>269</v>
      </c>
      <c r="P67" s="112"/>
      <c r="Q67" s="106"/>
      <c r="R67" s="112">
        <f>R71+5</f>
        <v>270</v>
      </c>
      <c r="S67" s="112"/>
      <c r="T67" s="106"/>
      <c r="U67" s="106"/>
      <c r="V67" s="112">
        <f>V71+5</f>
        <v>271</v>
      </c>
      <c r="W67" s="112"/>
      <c r="X67" s="112"/>
      <c r="Y67" s="112">
        <f>Y71+5</f>
        <v>272</v>
      </c>
      <c r="Z67" s="121"/>
      <c r="AA67" s="121"/>
      <c r="AB67" s="107"/>
      <c r="AC67" s="127" t="s">
        <v>3</v>
      </c>
      <c r="AD67" s="128">
        <f>COUNTIF(Check[סימון],("V."&amp;"*"&amp;$AC67&amp;"."&amp;AD$5&amp;"*"))</f>
        <v>0</v>
      </c>
      <c r="AE67" s="129">
        <f>COUNTIF(Check[סימון],("S."&amp;"*"&amp;$AC67&amp;"."&amp;AE$5&amp;"*"))</f>
        <v>0</v>
      </c>
      <c r="AF67" s="130">
        <f>COUNTIF(Check[סימון],("O."&amp;"*"&amp;$AC67&amp;"."&amp;AF$5&amp;"*"))</f>
        <v>1</v>
      </c>
      <c r="AG67" s="131">
        <f>SUM(AD67:AF67)</f>
        <v>1</v>
      </c>
      <c r="AH67" s="132">
        <f>SUM(AI67,AG67)</f>
        <v>2</v>
      </c>
      <c r="AI67" s="133">
        <f>SUM(AJ67:AL67)</f>
        <v>1</v>
      </c>
      <c r="AJ67" s="134">
        <f>COUNTIF(Check[סימון],("O."&amp;"*"&amp;$AC67&amp;"."&amp;AJ$5&amp;"*"))</f>
        <v>1</v>
      </c>
      <c r="AK67" s="129">
        <f>COUNTIF(Check[סימון],("S."&amp;"*"&amp;$AC67&amp;"."&amp;AK$5&amp;"*"))</f>
        <v>0</v>
      </c>
      <c r="AL67" s="135">
        <f>COUNTIF(Check[סימון],("V."&amp;"*"&amp;$AC67&amp;"."&amp;AL$5&amp;"*"))</f>
        <v>0</v>
      </c>
      <c r="AM67" s="136" t="s">
        <v>3</v>
      </c>
      <c r="AN67" s="137"/>
      <c r="AO67" s="108">
        <f>AO71+5</f>
        <v>266</v>
      </c>
      <c r="AP67" s="115"/>
      <c r="AQ67" s="123">
        <f>AQ71+5</f>
        <v>265</v>
      </c>
      <c r="AR67" s="115"/>
      <c r="AS67" s="123">
        <f>AS71+5</f>
        <v>264</v>
      </c>
      <c r="AT67" s="105"/>
      <c r="AU67" s="105"/>
      <c r="AV67" s="115"/>
      <c r="AW67" s="123">
        <f>AW71+5</f>
        <v>263</v>
      </c>
      <c r="AX67" s="105"/>
      <c r="AY67" s="115"/>
      <c r="AZ67" s="115"/>
      <c r="BA67" s="123">
        <f>BA71+5</f>
        <v>262</v>
      </c>
      <c r="BB67" s="105"/>
      <c r="BC67" s="109"/>
      <c r="BD67" s="109"/>
      <c r="BE67" s="109"/>
      <c r="BF67" s="109"/>
      <c r="BG67" s="124"/>
      <c r="BH67" s="116"/>
      <c r="BI67" s="116"/>
      <c r="BJ67" s="116"/>
      <c r="BK67" s="119"/>
      <c r="BL67" s="361" t="s">
        <v>0</v>
      </c>
      <c r="BM67" s="326" t="str">
        <f t="shared" ref="BM67" si="458">_xlfn.CONCAT("קומה ",BM68)</f>
        <v>קומה 35</v>
      </c>
      <c r="BN67" s="1768"/>
      <c r="BP67" s="111" t="s">
        <v>0</v>
      </c>
    </row>
    <row r="68" spans="1:68" s="52" customFormat="1" ht="9.9499999999999993" hidden="1" customHeight="1" x14ac:dyDescent="0.2">
      <c r="A68" s="1766"/>
      <c r="B68" s="329">
        <f t="shared" ref="B68" si="459">B72+1</f>
        <v>35</v>
      </c>
      <c r="C68" s="278" t="s">
        <v>89</v>
      </c>
      <c r="D68" s="56"/>
      <c r="E68" s="55"/>
      <c r="F68" s="55"/>
      <c r="G68" s="55"/>
      <c r="H68" s="66" t="str">
        <f>VLOOKUP("*"&amp;H$5&amp;".Ap."&amp;H67,Check[],1,FALSE)</f>
        <v>V.GMS.P.4D.TS.Ap.268</v>
      </c>
      <c r="I68" s="64" t="str">
        <f t="shared" ref="I68" si="460">H68</f>
        <v>V.GMS.P.4D.TS.Ap.268</v>
      </c>
      <c r="J68" s="64" t="str">
        <f t="shared" ref="J68" si="461">I68</f>
        <v>V.GMS.P.4D.TS.Ap.268</v>
      </c>
      <c r="K68" s="64" t="str">
        <f t="shared" ref="K68" si="462">J68</f>
        <v>V.GMS.P.4D.TS.Ap.268</v>
      </c>
      <c r="L68" s="64" t="str">
        <f t="shared" ref="L68" si="463">K68</f>
        <v>V.GMS.P.4D.TS.Ap.268</v>
      </c>
      <c r="M68" s="64" t="str">
        <f t="shared" ref="M68" si="464">L68</f>
        <v>V.GMS.P.4D.TS.Ap.268</v>
      </c>
      <c r="N68" s="68" t="str">
        <f t="shared" ref="N68" si="465">M68</f>
        <v>V.GMS.P.4D.TS.Ap.268</v>
      </c>
      <c r="O68" s="64" t="str">
        <f>VLOOKUP("*"&amp;O$5&amp;".Ap."&amp;O67,Check[],1,FALSE)</f>
        <v>O.P.4E.TS.Ap.269</v>
      </c>
      <c r="P68" s="64" t="str">
        <f t="shared" ref="P68:Q68" si="466">O68</f>
        <v>O.P.4E.TS.Ap.269</v>
      </c>
      <c r="Q68" s="68" t="str">
        <f t="shared" si="466"/>
        <v>O.P.4E.TS.Ap.269</v>
      </c>
      <c r="R68" s="64" t="str">
        <f>VLOOKUP("*"&amp;R$5&amp;".Ap."&amp;R67,Check[],1,FALSE)</f>
        <v>S.P.4F.TS.Ap.270</v>
      </c>
      <c r="S68" s="64" t="str">
        <f t="shared" ref="S68:U68" si="467">R68</f>
        <v>S.P.4F.TS.Ap.270</v>
      </c>
      <c r="T68" s="68" t="str">
        <f t="shared" si="467"/>
        <v>S.P.4F.TS.Ap.270</v>
      </c>
      <c r="U68" s="68" t="str">
        <f t="shared" si="467"/>
        <v>S.P.4F.TS.Ap.270</v>
      </c>
      <c r="V68" s="64" t="str">
        <f>VLOOKUP("*"&amp;V$5&amp;".Ap."&amp;V67,Check[],1,FALSE)</f>
        <v>S.P.5AP.TS.Ap.271</v>
      </c>
      <c r="W68" s="64" t="str">
        <f t="shared" ref="W68" si="468">V68</f>
        <v>S.P.5AP.TS.Ap.271</v>
      </c>
      <c r="X68" s="64" t="str">
        <f t="shared" ref="X68" si="469">V68</f>
        <v>S.P.5AP.TS.Ap.271</v>
      </c>
      <c r="Y68" s="64" t="str">
        <f>VLOOKUP("*"&amp;Y$5&amp;".Ap."&amp;Y67,Check[],1,FALSE)</f>
        <v>V.DS.P.5BP.TS.Ap.272</v>
      </c>
      <c r="Z68" s="65" t="str">
        <f t="shared" ref="Z68" si="470">Y68</f>
        <v>V.DS.P.5BP.TS.Ap.272</v>
      </c>
      <c r="AA68" s="65" t="str">
        <f t="shared" ref="AA68" si="471">Y68</f>
        <v>V.DS.P.5BP.TS.Ap.272</v>
      </c>
      <c r="AB68" s="50"/>
      <c r="AC68" s="314"/>
      <c r="AD68" s="317"/>
      <c r="AE68" s="318"/>
      <c r="AF68" s="319"/>
      <c r="AG68" s="320"/>
      <c r="AH68" s="321"/>
      <c r="AI68" s="314"/>
      <c r="AJ68" s="322"/>
      <c r="AK68" s="318"/>
      <c r="AL68" s="323"/>
      <c r="AM68" s="315"/>
      <c r="AN68" s="61"/>
      <c r="AO68" s="76" t="str">
        <f>VLOOKUP("*"&amp;AO$5&amp;".Ap."&amp;AO67,Check[],1,FALSE)</f>
        <v>S.P.5BP.TN.Ap.266</v>
      </c>
      <c r="AP68" s="68" t="str">
        <f>AO68</f>
        <v>S.P.5BP.TN.Ap.266</v>
      </c>
      <c r="AQ68" s="72" t="str">
        <f>VLOOKUP("*"&amp;AQ$5&amp;".Ap."&amp;AQ67,Check[],1,FALSE)</f>
        <v>S.P.5AP.TN.Ap.265</v>
      </c>
      <c r="AR68" s="68" t="str">
        <f>AQ68</f>
        <v>S.P.5AP.TN.Ap.265</v>
      </c>
      <c r="AS68" s="72" t="str">
        <f>VLOOKUP("*"&amp;AS$5&amp;".Ap."&amp;AS67,Check[],1,FALSE)</f>
        <v>O.P.4F.TN.Ap.264</v>
      </c>
      <c r="AT68" s="67" t="str">
        <f>AS68</f>
        <v>O.P.4F.TN.Ap.264</v>
      </c>
      <c r="AU68" s="67" t="str">
        <f>AT68</f>
        <v>O.P.4F.TN.Ap.264</v>
      </c>
      <c r="AV68" s="68" t="str">
        <f>AU68</f>
        <v>O.P.4F.TN.Ap.264</v>
      </c>
      <c r="AW68" s="72" t="str">
        <f>VLOOKUP("*"&amp;AW$5&amp;".Ap."&amp;AW67,Check[],1,FALSE)</f>
        <v>S.P.4E.TN.Ap.263</v>
      </c>
      <c r="AX68" s="67" t="str">
        <f>AW68</f>
        <v>S.P.4E.TN.Ap.263</v>
      </c>
      <c r="AY68" s="68" t="str">
        <f>AX68</f>
        <v>S.P.4E.TN.Ap.263</v>
      </c>
      <c r="AZ68" s="68" t="str">
        <f>AY68</f>
        <v>S.P.4E.TN.Ap.263</v>
      </c>
      <c r="BA68" s="72" t="str">
        <f>VLOOKUP("*"&amp;BA$5&amp;".Ap."&amp;BA67,Check[],1,FALSE)</f>
        <v>V.GMS.P.4D.TN.Ap.262</v>
      </c>
      <c r="BB68" s="67" t="str">
        <f>BA68</f>
        <v>V.GMS.P.4D.TN.Ap.262</v>
      </c>
      <c r="BC68" s="77" t="str">
        <f t="shared" ref="BC68" si="472">BB68</f>
        <v>V.GMS.P.4D.TN.Ap.262</v>
      </c>
      <c r="BD68" s="77" t="str">
        <f t="shared" ref="BD68" si="473">BC68</f>
        <v>V.GMS.P.4D.TN.Ap.262</v>
      </c>
      <c r="BE68" s="77" t="str">
        <f t="shared" ref="BE68" si="474">BD68</f>
        <v>V.GMS.P.4D.TN.Ap.262</v>
      </c>
      <c r="BF68" s="77" t="str">
        <f t="shared" ref="BF68" si="475">BE68</f>
        <v>V.GMS.P.4D.TN.Ap.262</v>
      </c>
      <c r="BG68" s="79" t="str">
        <f t="shared" ref="BG68" si="476">BF68</f>
        <v>V.GMS.P.4D.TN.Ap.262</v>
      </c>
      <c r="BH68" s="55"/>
      <c r="BI68" s="55"/>
      <c r="BJ68" s="55"/>
      <c r="BK68" s="57"/>
      <c r="BL68" s="361" t="s">
        <v>89</v>
      </c>
      <c r="BM68" s="329">
        <f t="shared" ref="BM68" si="477">BM72+1</f>
        <v>35</v>
      </c>
      <c r="BN68" s="1768"/>
      <c r="BP68" s="53" t="s">
        <v>89</v>
      </c>
    </row>
    <row r="69" spans="1:68" s="8" customFormat="1" ht="12" customHeight="1" x14ac:dyDescent="0.3">
      <c r="A69" s="1766"/>
      <c r="B69" s="330"/>
      <c r="C69" s="279" t="s">
        <v>65</v>
      </c>
      <c r="D69" s="25"/>
      <c r="E69" s="21"/>
      <c r="F69" s="21"/>
      <c r="G69" s="21"/>
      <c r="H69" s="230">
        <f>VLOOKUP(H68,Check[],5,FALSE)</f>
        <v>268</v>
      </c>
      <c r="I69" s="241"/>
      <c r="J69" s="241"/>
      <c r="K69" s="241"/>
      <c r="L69" s="241"/>
      <c r="M69" s="241"/>
      <c r="N69" s="242"/>
      <c r="O69" s="237">
        <f>VLOOKUP(O68,Check[],5,FALSE)</f>
        <v>269</v>
      </c>
      <c r="P69" s="237"/>
      <c r="Q69" s="232"/>
      <c r="R69" s="237">
        <f>VLOOKUP(R68,Check[],5,FALSE)</f>
        <v>270</v>
      </c>
      <c r="S69" s="237"/>
      <c r="T69" s="232"/>
      <c r="U69" s="232"/>
      <c r="V69" s="237">
        <f>VLOOKUP(V68,Check[],5,FALSE)</f>
        <v>271</v>
      </c>
      <c r="W69" s="237"/>
      <c r="X69" s="237"/>
      <c r="Y69" s="237">
        <f>VLOOKUP(Y68,Check[],5,FALSE)</f>
        <v>272</v>
      </c>
      <c r="Z69" s="233"/>
      <c r="AA69" s="233"/>
      <c r="AB69" s="19"/>
      <c r="AC69" s="1467" t="s">
        <v>2</v>
      </c>
      <c r="AD69" s="1469">
        <f>COUNTIF(Check[סימון],("V."&amp;"*"&amp;$AC69&amp;"."&amp;AD$5&amp;"*"))</f>
        <v>0</v>
      </c>
      <c r="AE69" s="1461">
        <f>COUNTIF(Check[סימון],("S."&amp;"*"&amp;$AC69&amp;"."&amp;AE$5&amp;"*"))</f>
        <v>0</v>
      </c>
      <c r="AF69" s="1472">
        <f>COUNTIF(Check[סימון],("O."&amp;"*"&amp;$AC69&amp;"."&amp;AF$5&amp;"*"))</f>
        <v>1</v>
      </c>
      <c r="AG69" s="1474">
        <f>SUM(AD69:AF69)</f>
        <v>1</v>
      </c>
      <c r="AH69" s="1476">
        <f>SUM(AI69,AG69)</f>
        <v>2</v>
      </c>
      <c r="AI69" s="1478">
        <f>SUM(AJ69:AL69)</f>
        <v>1</v>
      </c>
      <c r="AJ69" s="1480">
        <f>COUNTIF(Check[סימון],("O."&amp;"*"&amp;$AC69&amp;"."&amp;AJ$5&amp;"*"))</f>
        <v>1</v>
      </c>
      <c r="AK69" s="1461">
        <f>COUNTIF(Check[סימון],("S."&amp;"*"&amp;$AC69&amp;"."&amp;AK$5&amp;"*"))</f>
        <v>0</v>
      </c>
      <c r="AL69" s="1463">
        <f>COUNTIF(Check[סימון],("V."&amp;"*"&amp;$AC69&amp;"."&amp;AL$5&amp;"*"))</f>
        <v>0</v>
      </c>
      <c r="AM69" s="1465" t="s">
        <v>2</v>
      </c>
      <c r="AN69" s="247"/>
      <c r="AO69" s="234">
        <f>VLOOKUP(AO68,Check[],5,FALSE)</f>
        <v>266</v>
      </c>
      <c r="AP69" s="240"/>
      <c r="AQ69" s="243">
        <f>VLOOKUP(AQ68,Check[],5,FALSE)</f>
        <v>265</v>
      </c>
      <c r="AR69" s="240"/>
      <c r="AS69" s="243">
        <f>VLOOKUP(AS68,Check[],5,FALSE)</f>
        <v>264</v>
      </c>
      <c r="AT69" s="231"/>
      <c r="AU69" s="231"/>
      <c r="AV69" s="240"/>
      <c r="AW69" s="243">
        <f>VLOOKUP(AW68,Check[],5,FALSE)</f>
        <v>263</v>
      </c>
      <c r="AX69" s="244"/>
      <c r="AY69" s="242"/>
      <c r="AZ69" s="242"/>
      <c r="BA69" s="243">
        <f>VLOOKUP(BA68,Check[],5,FALSE)</f>
        <v>262</v>
      </c>
      <c r="BB69" s="244"/>
      <c r="BC69" s="245"/>
      <c r="BD69" s="245"/>
      <c r="BE69" s="245"/>
      <c r="BF69" s="245"/>
      <c r="BG69" s="246"/>
      <c r="BH69" s="21"/>
      <c r="BI69" s="21"/>
      <c r="BJ69" s="21"/>
      <c r="BK69" s="31"/>
      <c r="BL69" s="362" t="s">
        <v>65</v>
      </c>
      <c r="BM69" s="330"/>
      <c r="BN69" s="1768"/>
      <c r="BP69" s="236" t="s">
        <v>1078</v>
      </c>
    </row>
    <row r="70" spans="1:68" s="196" customFormat="1" ht="15" customHeight="1" thickBot="1" x14ac:dyDescent="0.4">
      <c r="A70" s="1767"/>
      <c r="B70" s="187">
        <f>B74+3.6</f>
        <v>128.44000000000005</v>
      </c>
      <c r="C70" s="280" t="s">
        <v>1</v>
      </c>
      <c r="D70" s="204"/>
      <c r="E70" s="203"/>
      <c r="F70" s="203"/>
      <c r="G70" s="203"/>
      <c r="H70" s="188">
        <f>VLOOKUP(H68,Check[],6,FALSE)</f>
        <v>3501</v>
      </c>
      <c r="I70" s="206"/>
      <c r="J70" s="206"/>
      <c r="K70" s="206"/>
      <c r="L70" s="206"/>
      <c r="M70" s="206"/>
      <c r="N70" s="207"/>
      <c r="O70" s="199">
        <f>VLOOKUP(O68,Check[],6,FALSE)</f>
        <v>3502</v>
      </c>
      <c r="P70" s="199"/>
      <c r="Q70" s="190"/>
      <c r="R70" s="199">
        <f>VLOOKUP(R68,Check[],6,FALSE)</f>
        <v>3503</v>
      </c>
      <c r="S70" s="199"/>
      <c r="T70" s="190"/>
      <c r="U70" s="190"/>
      <c r="V70" s="199">
        <f>VLOOKUP(V68,Check[],6,FALSE)</f>
        <v>3504</v>
      </c>
      <c r="W70" s="199"/>
      <c r="X70" s="199"/>
      <c r="Y70" s="199">
        <f>VLOOKUP(Y68,Check[],6,FALSE)</f>
        <v>3505</v>
      </c>
      <c r="Z70" s="191"/>
      <c r="AA70" s="191"/>
      <c r="AB70" s="192"/>
      <c r="AC70" s="1781"/>
      <c r="AD70" s="1782"/>
      <c r="AE70" s="1462"/>
      <c r="AF70" s="1783"/>
      <c r="AG70" s="1784"/>
      <c r="AH70" s="1484"/>
      <c r="AI70" s="1485"/>
      <c r="AJ70" s="1486"/>
      <c r="AK70" s="1462"/>
      <c r="AL70" s="1464"/>
      <c r="AM70" s="1466"/>
      <c r="AN70" s="215"/>
      <c r="AO70" s="194">
        <f>VLOOKUP(AO68,Check[],6,FALSE)</f>
        <v>3502</v>
      </c>
      <c r="AP70" s="202"/>
      <c r="AQ70" s="211">
        <f>VLOOKUP(AQ68,Check[],6,FALSE)</f>
        <v>3503</v>
      </c>
      <c r="AR70" s="202"/>
      <c r="AS70" s="211">
        <f>VLOOKUP(AS68,Check[],6,FALSE)</f>
        <v>3504</v>
      </c>
      <c r="AT70" s="189"/>
      <c r="AU70" s="189"/>
      <c r="AV70" s="202"/>
      <c r="AW70" s="211">
        <f>VLOOKUP(AW68,Check[],6,FALSE)</f>
        <v>3505</v>
      </c>
      <c r="AX70" s="212"/>
      <c r="AY70" s="207"/>
      <c r="AZ70" s="207"/>
      <c r="BA70" s="211">
        <f>VLOOKUP(BA68,Check[],6,FALSE)</f>
        <v>3501</v>
      </c>
      <c r="BB70" s="212"/>
      <c r="BC70" s="213"/>
      <c r="BD70" s="213"/>
      <c r="BE70" s="213"/>
      <c r="BF70" s="213"/>
      <c r="BG70" s="214"/>
      <c r="BH70" s="203"/>
      <c r="BI70" s="203"/>
      <c r="BJ70" s="203"/>
      <c r="BK70" s="205"/>
      <c r="BL70" s="363" t="s">
        <v>1</v>
      </c>
      <c r="BM70" s="187">
        <f>BM74+3.6</f>
        <v>128.44000000000005</v>
      </c>
      <c r="BN70" s="1769"/>
      <c r="BP70" s="197" t="s">
        <v>1</v>
      </c>
    </row>
    <row r="71" spans="1:68" s="110" customFormat="1" ht="21.95" customHeight="1" x14ac:dyDescent="0.45">
      <c r="A71" s="1766"/>
      <c r="B71" s="326" t="str">
        <f t="shared" ref="B71" si="478">_xlfn.CONCAT("קומה ",B72)</f>
        <v>קומה 34</v>
      </c>
      <c r="C71" s="278" t="s">
        <v>0</v>
      </c>
      <c r="D71" s="117"/>
      <c r="E71" s="116"/>
      <c r="F71" s="116"/>
      <c r="G71" s="116"/>
      <c r="H71" s="104">
        <v>263</v>
      </c>
      <c r="I71" s="120"/>
      <c r="J71" s="120"/>
      <c r="K71" s="120"/>
      <c r="L71" s="120"/>
      <c r="M71" s="120"/>
      <c r="N71" s="115"/>
      <c r="O71" s="112">
        <v>264</v>
      </c>
      <c r="P71" s="112"/>
      <c r="Q71" s="106"/>
      <c r="R71" s="112">
        <v>265</v>
      </c>
      <c r="S71" s="112"/>
      <c r="T71" s="106"/>
      <c r="U71" s="106"/>
      <c r="V71" s="112">
        <v>266</v>
      </c>
      <c r="W71" s="112"/>
      <c r="X71" s="112"/>
      <c r="Y71" s="112">
        <v>267</v>
      </c>
      <c r="Z71" s="121"/>
      <c r="AA71" s="121"/>
      <c r="AB71" s="107"/>
      <c r="AC71" s="127" t="s">
        <v>25</v>
      </c>
      <c r="AD71" s="128">
        <f>COUNTIF(Check[סימון],("V."&amp;"*"&amp;$AC71&amp;"."&amp;AD$5&amp;"*"))</f>
        <v>2</v>
      </c>
      <c r="AE71" s="129">
        <f>COUNTIF(Check[סימון],("S."&amp;"*"&amp;$AC71&amp;"."&amp;AE$5&amp;"*"))</f>
        <v>3</v>
      </c>
      <c r="AF71" s="130">
        <f>COUNTIF(Check[סימון],("O."&amp;"*"&amp;$AC71&amp;"."&amp;AF$5&amp;"*"))</f>
        <v>5</v>
      </c>
      <c r="AG71" s="131">
        <f>SUM(AD71:AF71)</f>
        <v>10</v>
      </c>
      <c r="AH71" s="132">
        <f>SUM(AI71,AG71)</f>
        <v>24</v>
      </c>
      <c r="AI71" s="133">
        <f>SUM(AJ71:AL71)</f>
        <v>14</v>
      </c>
      <c r="AJ71" s="134">
        <f>COUNTIF(Check[סימון],("O."&amp;"*"&amp;$AC71&amp;"."&amp;AJ$5&amp;"*"))</f>
        <v>3</v>
      </c>
      <c r="AK71" s="129">
        <f>COUNTIF(Check[סימון],("S."&amp;"*"&amp;$AC71&amp;"."&amp;AK$5&amp;"*"))</f>
        <v>10</v>
      </c>
      <c r="AL71" s="135">
        <f>COUNTIF(Check[סימון],("V."&amp;"*"&amp;$AC71&amp;"."&amp;AL$5&amp;"*"))</f>
        <v>1</v>
      </c>
      <c r="AM71" s="136" t="s">
        <v>25</v>
      </c>
      <c r="AN71" s="137"/>
      <c r="AO71" s="108">
        <v>261</v>
      </c>
      <c r="AP71" s="115"/>
      <c r="AQ71" s="123">
        <v>260</v>
      </c>
      <c r="AR71" s="115"/>
      <c r="AS71" s="123">
        <v>259</v>
      </c>
      <c r="AT71" s="105"/>
      <c r="AU71" s="105"/>
      <c r="AV71" s="115"/>
      <c r="AW71" s="123">
        <v>258</v>
      </c>
      <c r="AX71" s="105"/>
      <c r="AY71" s="115"/>
      <c r="AZ71" s="115"/>
      <c r="BA71" s="123">
        <v>257</v>
      </c>
      <c r="BB71" s="105"/>
      <c r="BC71" s="109"/>
      <c r="BD71" s="109"/>
      <c r="BE71" s="109"/>
      <c r="BF71" s="109"/>
      <c r="BG71" s="124"/>
      <c r="BH71" s="116"/>
      <c r="BI71" s="116"/>
      <c r="BJ71" s="116"/>
      <c r="BK71" s="119"/>
      <c r="BL71" s="361" t="s">
        <v>0</v>
      </c>
      <c r="BM71" s="326" t="str">
        <f t="shared" ref="BM71" si="479">_xlfn.CONCAT("קומה ",BM72)</f>
        <v>קומה 34</v>
      </c>
      <c r="BN71" s="1768"/>
      <c r="BP71" s="111" t="s">
        <v>0</v>
      </c>
    </row>
    <row r="72" spans="1:68" s="52" customFormat="1" ht="9.9499999999999993" hidden="1" customHeight="1" x14ac:dyDescent="0.2">
      <c r="A72" s="1766"/>
      <c r="B72" s="329">
        <f t="shared" ref="B72" si="480">B76+1</f>
        <v>34</v>
      </c>
      <c r="C72" s="278" t="s">
        <v>89</v>
      </c>
      <c r="D72" s="56"/>
      <c r="E72" s="55"/>
      <c r="F72" s="55"/>
      <c r="G72" s="55"/>
      <c r="H72" s="66" t="str">
        <f>VLOOKUP("*"&amp;H$5&amp;".Ap."&amp;H71,Check[],1,FALSE)</f>
        <v>S.P.4D.TS.Ap.263</v>
      </c>
      <c r="I72" s="64" t="str">
        <f t="shared" ref="I72" si="481">H72</f>
        <v>S.P.4D.TS.Ap.263</v>
      </c>
      <c r="J72" s="64" t="str">
        <f t="shared" ref="J72" si="482">I72</f>
        <v>S.P.4D.TS.Ap.263</v>
      </c>
      <c r="K72" s="64" t="str">
        <f t="shared" ref="K72" si="483">J72</f>
        <v>S.P.4D.TS.Ap.263</v>
      </c>
      <c r="L72" s="64" t="str">
        <f t="shared" ref="L72" si="484">K72</f>
        <v>S.P.4D.TS.Ap.263</v>
      </c>
      <c r="M72" s="64" t="str">
        <f t="shared" ref="M72" si="485">L72</f>
        <v>S.P.4D.TS.Ap.263</v>
      </c>
      <c r="N72" s="68" t="str">
        <f t="shared" ref="N72" si="486">M72</f>
        <v>S.P.4D.TS.Ap.263</v>
      </c>
      <c r="O72" s="64" t="str">
        <f>VLOOKUP("*"&amp;O$5&amp;".Ap."&amp;O71,Check[],1,FALSE)</f>
        <v>S.P.4E.TS.Ap.264</v>
      </c>
      <c r="P72" s="64" t="str">
        <f t="shared" ref="P72:Q72" si="487">O72</f>
        <v>S.P.4E.TS.Ap.264</v>
      </c>
      <c r="Q72" s="68" t="str">
        <f t="shared" si="487"/>
        <v>S.P.4E.TS.Ap.264</v>
      </c>
      <c r="R72" s="64" t="str">
        <f>VLOOKUP("*"&amp;R$5&amp;".Ap."&amp;R71,Check[],1,FALSE)</f>
        <v>S.P.4F.TS.Ap.265</v>
      </c>
      <c r="S72" s="64" t="str">
        <f t="shared" ref="S72:U72" si="488">R72</f>
        <v>S.P.4F.TS.Ap.265</v>
      </c>
      <c r="T72" s="68" t="str">
        <f t="shared" si="488"/>
        <v>S.P.4F.TS.Ap.265</v>
      </c>
      <c r="U72" s="68" t="str">
        <f t="shared" si="488"/>
        <v>S.P.4F.TS.Ap.265</v>
      </c>
      <c r="V72" s="64" t="str">
        <f>VLOOKUP("*"&amp;V$5&amp;".Ap."&amp;V71,Check[],1,FALSE)</f>
        <v>O.P.5AP.TS.Ap.266</v>
      </c>
      <c r="W72" s="64" t="str">
        <f t="shared" ref="W72" si="489">V72</f>
        <v>O.P.5AP.TS.Ap.266</v>
      </c>
      <c r="X72" s="64" t="str">
        <f t="shared" ref="X72" si="490">V72</f>
        <v>O.P.5AP.TS.Ap.266</v>
      </c>
      <c r="Y72" s="64" t="str">
        <f>VLOOKUP("*"&amp;Y$5&amp;".Ap."&amp;Y71,Check[],1,FALSE)</f>
        <v>O.P.5BP.TS.Ap.267</v>
      </c>
      <c r="Z72" s="65" t="str">
        <f t="shared" ref="Z72" si="491">Y72</f>
        <v>O.P.5BP.TS.Ap.267</v>
      </c>
      <c r="AA72" s="65" t="str">
        <f t="shared" ref="AA72" si="492">Y72</f>
        <v>O.P.5BP.TS.Ap.267</v>
      </c>
      <c r="AB72" s="50"/>
      <c r="AC72" s="314"/>
      <c r="AD72" s="317"/>
      <c r="AE72" s="318"/>
      <c r="AF72" s="319"/>
      <c r="AG72" s="320"/>
      <c r="AH72" s="321"/>
      <c r="AI72" s="314"/>
      <c r="AJ72" s="322"/>
      <c r="AK72" s="318"/>
      <c r="AL72" s="323"/>
      <c r="AM72" s="315"/>
      <c r="AN72" s="61"/>
      <c r="AO72" s="76" t="str">
        <f>VLOOKUP("*"&amp;AO$5&amp;".Ap."&amp;AO71,Check[],1,FALSE)</f>
        <v>O.P.4BP.TN.Ap.261</v>
      </c>
      <c r="AP72" s="68" t="str">
        <f>AO72</f>
        <v>O.P.4BP.TN.Ap.261</v>
      </c>
      <c r="AQ72" s="72" t="str">
        <f>VLOOKUP("*"&amp;AQ$5&amp;".Ap."&amp;AQ71,Check[],1,FALSE)</f>
        <v>O.P.5CP.TN.Ap.260</v>
      </c>
      <c r="AR72" s="68" t="str">
        <f>AQ72</f>
        <v>O.P.5CP.TN.Ap.260</v>
      </c>
      <c r="AS72" s="72" t="str">
        <f>VLOOKUP("*"&amp;AS$5&amp;".Ap."&amp;AS71,Check[],1,FALSE)</f>
        <v>O.P.4F.TN.Ap.259</v>
      </c>
      <c r="AT72" s="67" t="str">
        <f>AS72</f>
        <v>O.P.4F.TN.Ap.259</v>
      </c>
      <c r="AU72" s="67" t="str">
        <f>AT72</f>
        <v>O.P.4F.TN.Ap.259</v>
      </c>
      <c r="AV72" s="68" t="str">
        <f>AU72</f>
        <v>O.P.4F.TN.Ap.259</v>
      </c>
      <c r="AW72" s="72" t="str">
        <f>VLOOKUP("*"&amp;AW$5&amp;".Ap."&amp;AW71,Check[],1,FALSE)</f>
        <v>S.P.4E.TN.Ap.258</v>
      </c>
      <c r="AX72" s="67" t="str">
        <f>AW72</f>
        <v>S.P.4E.TN.Ap.258</v>
      </c>
      <c r="AY72" s="68" t="str">
        <f>AX72</f>
        <v>S.P.4E.TN.Ap.258</v>
      </c>
      <c r="AZ72" s="68" t="str">
        <f>AY72</f>
        <v>S.P.4E.TN.Ap.258</v>
      </c>
      <c r="BA72" s="72" t="str">
        <f>VLOOKUP("*"&amp;BA$5&amp;".Ap."&amp;BA71,Check[],1,FALSE)</f>
        <v>V.GMS.P.4D.TN.Ap.257</v>
      </c>
      <c r="BB72" s="67" t="str">
        <f>BA72</f>
        <v>V.GMS.P.4D.TN.Ap.257</v>
      </c>
      <c r="BC72" s="77" t="str">
        <f t="shared" ref="BC72" si="493">BB72</f>
        <v>V.GMS.P.4D.TN.Ap.257</v>
      </c>
      <c r="BD72" s="77" t="str">
        <f t="shared" ref="BD72" si="494">BC72</f>
        <v>V.GMS.P.4D.TN.Ap.257</v>
      </c>
      <c r="BE72" s="77" t="str">
        <f t="shared" ref="BE72" si="495">BD72</f>
        <v>V.GMS.P.4D.TN.Ap.257</v>
      </c>
      <c r="BF72" s="77" t="str">
        <f t="shared" ref="BF72" si="496">BE72</f>
        <v>V.GMS.P.4D.TN.Ap.257</v>
      </c>
      <c r="BG72" s="79" t="str">
        <f t="shared" ref="BG72" si="497">BF72</f>
        <v>V.GMS.P.4D.TN.Ap.257</v>
      </c>
      <c r="BH72" s="55"/>
      <c r="BI72" s="55"/>
      <c r="BJ72" s="55"/>
      <c r="BK72" s="57"/>
      <c r="BL72" s="361" t="s">
        <v>89</v>
      </c>
      <c r="BM72" s="329">
        <f t="shared" ref="BM72" si="498">BM76+1</f>
        <v>34</v>
      </c>
      <c r="BN72" s="1768"/>
      <c r="BP72" s="53" t="s">
        <v>89</v>
      </c>
    </row>
    <row r="73" spans="1:68" s="8" customFormat="1" ht="12" customHeight="1" x14ac:dyDescent="0.3">
      <c r="A73" s="1766"/>
      <c r="B73" s="330"/>
      <c r="C73" s="279" t="s">
        <v>65</v>
      </c>
      <c r="D73" s="25"/>
      <c r="E73" s="21"/>
      <c r="F73" s="21"/>
      <c r="G73" s="21"/>
      <c r="H73" s="230">
        <f>VLOOKUP(H72,Check[],5,FALSE)</f>
        <v>263</v>
      </c>
      <c r="I73" s="241"/>
      <c r="J73" s="241"/>
      <c r="K73" s="241"/>
      <c r="L73" s="241"/>
      <c r="M73" s="241"/>
      <c r="N73" s="242"/>
      <c r="O73" s="237">
        <f>VLOOKUP(O72,Check[],5,FALSE)</f>
        <v>264</v>
      </c>
      <c r="P73" s="237"/>
      <c r="Q73" s="232"/>
      <c r="R73" s="237">
        <f>VLOOKUP(R72,Check[],5,FALSE)</f>
        <v>265</v>
      </c>
      <c r="S73" s="237"/>
      <c r="T73" s="232"/>
      <c r="U73" s="232"/>
      <c r="V73" s="237">
        <f>VLOOKUP(V72,Check[],5,FALSE)</f>
        <v>266</v>
      </c>
      <c r="W73" s="237"/>
      <c r="X73" s="237"/>
      <c r="Y73" s="237">
        <f>VLOOKUP(Y72,Check[],5,FALSE)</f>
        <v>267</v>
      </c>
      <c r="Z73" s="233"/>
      <c r="AA73" s="233"/>
      <c r="AB73" s="19"/>
      <c r="AC73" s="1467" t="s">
        <v>24</v>
      </c>
      <c r="AD73" s="1469">
        <f>COUNTIF(Check[סימון],("V."&amp;"*"&amp;$AC73&amp;"."&amp;AD$5&amp;"*"))</f>
        <v>7</v>
      </c>
      <c r="AE73" s="1461">
        <f>COUNTIF(Check[סימון],("S."&amp;"*"&amp;$AC73&amp;"."&amp;AE$5&amp;"*"))</f>
        <v>2</v>
      </c>
      <c r="AF73" s="1472">
        <f>COUNTIF(Check[סימון],("O."&amp;"*"&amp;$AC73&amp;"."&amp;AF$5&amp;"*"))</f>
        <v>1</v>
      </c>
      <c r="AG73" s="1474">
        <f>SUM(AD73:AF73)</f>
        <v>10</v>
      </c>
      <c r="AH73" s="1476">
        <f>SUM(AI73,AG73)</f>
        <v>24</v>
      </c>
      <c r="AI73" s="1478">
        <f>SUM(AJ73:AL73)</f>
        <v>14</v>
      </c>
      <c r="AJ73" s="1480">
        <f>COUNTIF(Check[סימון],("O."&amp;"*"&amp;$AC73&amp;"."&amp;AJ$5&amp;"*"))</f>
        <v>3</v>
      </c>
      <c r="AK73" s="1461">
        <f>COUNTIF(Check[סימון],("S."&amp;"*"&amp;$AC73&amp;"."&amp;AK$5&amp;"*"))</f>
        <v>5</v>
      </c>
      <c r="AL73" s="1463">
        <f>COUNTIF(Check[סימון],("V."&amp;"*"&amp;$AC73&amp;"."&amp;AL$5&amp;"*"))</f>
        <v>6</v>
      </c>
      <c r="AM73" s="1465" t="s">
        <v>24</v>
      </c>
      <c r="AN73" s="247"/>
      <c r="AO73" s="234">
        <f>VLOOKUP(AO72,Check[],5,FALSE)</f>
        <v>261</v>
      </c>
      <c r="AP73" s="240"/>
      <c r="AQ73" s="243">
        <f>VLOOKUP(AQ72,Check[],5,FALSE)</f>
        <v>260</v>
      </c>
      <c r="AR73" s="240"/>
      <c r="AS73" s="243">
        <f>VLOOKUP(AS72,Check[],5,FALSE)</f>
        <v>259</v>
      </c>
      <c r="AT73" s="231"/>
      <c r="AU73" s="231"/>
      <c r="AV73" s="240"/>
      <c r="AW73" s="243">
        <f>VLOOKUP(AW72,Check[],5,FALSE)</f>
        <v>258</v>
      </c>
      <c r="AX73" s="244"/>
      <c r="AY73" s="242"/>
      <c r="AZ73" s="242"/>
      <c r="BA73" s="243">
        <f>VLOOKUP(BA72,Check[],5,FALSE)</f>
        <v>257</v>
      </c>
      <c r="BB73" s="244"/>
      <c r="BC73" s="245"/>
      <c r="BD73" s="245"/>
      <c r="BE73" s="245"/>
      <c r="BF73" s="245"/>
      <c r="BG73" s="246"/>
      <c r="BH73" s="21"/>
      <c r="BI73" s="21"/>
      <c r="BJ73" s="21"/>
      <c r="BK73" s="31"/>
      <c r="BL73" s="362" t="s">
        <v>65</v>
      </c>
      <c r="BM73" s="330"/>
      <c r="BN73" s="1768"/>
      <c r="BP73" s="236" t="s">
        <v>1078</v>
      </c>
    </row>
    <row r="74" spans="1:68" s="196" customFormat="1" ht="15" customHeight="1" thickBot="1" x14ac:dyDescent="0.4">
      <c r="A74" s="1767"/>
      <c r="B74" s="187">
        <f t="shared" ref="B74" si="499">B78+3.48</f>
        <v>124.84000000000005</v>
      </c>
      <c r="C74" s="280" t="s">
        <v>1</v>
      </c>
      <c r="D74" s="204"/>
      <c r="E74" s="203"/>
      <c r="F74" s="203"/>
      <c r="G74" s="203"/>
      <c r="H74" s="351">
        <f>VLOOKUP(H72,Check[],6,FALSE)</f>
        <v>3401</v>
      </c>
      <c r="I74" s="206"/>
      <c r="J74" s="206"/>
      <c r="K74" s="206"/>
      <c r="L74" s="206"/>
      <c r="M74" s="206"/>
      <c r="N74" s="207"/>
      <c r="O74" s="199">
        <f>VLOOKUP(O72,Check[],6,FALSE)</f>
        <v>3402</v>
      </c>
      <c r="P74" s="199"/>
      <c r="Q74" s="190"/>
      <c r="R74" s="199">
        <f>VLOOKUP(R72,Check[],6,FALSE)</f>
        <v>3403</v>
      </c>
      <c r="S74" s="199"/>
      <c r="T74" s="190"/>
      <c r="U74" s="190"/>
      <c r="V74" s="199">
        <f>VLOOKUP(V72,Check[],6,FALSE)</f>
        <v>3404</v>
      </c>
      <c r="W74" s="199"/>
      <c r="X74" s="199"/>
      <c r="Y74" s="199">
        <f>VLOOKUP(Y72,Check[],6,FALSE)</f>
        <v>3405</v>
      </c>
      <c r="Z74" s="191"/>
      <c r="AA74" s="191"/>
      <c r="AB74" s="192"/>
      <c r="AC74" s="1468"/>
      <c r="AD74" s="1470"/>
      <c r="AE74" s="1471"/>
      <c r="AF74" s="1473"/>
      <c r="AG74" s="1475"/>
      <c r="AH74" s="1477"/>
      <c r="AI74" s="1479"/>
      <c r="AJ74" s="1481"/>
      <c r="AK74" s="1471"/>
      <c r="AL74" s="1482"/>
      <c r="AM74" s="1483"/>
      <c r="AN74" s="215"/>
      <c r="AO74" s="194">
        <f>VLOOKUP(AO72,Check[],6,FALSE)</f>
        <v>3402</v>
      </c>
      <c r="AP74" s="202"/>
      <c r="AQ74" s="211">
        <f>VLOOKUP(AQ72,Check[],6,FALSE)</f>
        <v>3403</v>
      </c>
      <c r="AR74" s="202"/>
      <c r="AS74" s="211">
        <f>VLOOKUP(AS72,Check[],6,FALSE)</f>
        <v>3404</v>
      </c>
      <c r="AT74" s="189"/>
      <c r="AU74" s="189"/>
      <c r="AV74" s="202"/>
      <c r="AW74" s="211">
        <f>VLOOKUP(AW72,Check[],6,FALSE)</f>
        <v>3405</v>
      </c>
      <c r="AX74" s="212"/>
      <c r="AY74" s="207"/>
      <c r="AZ74" s="207"/>
      <c r="BA74" s="211">
        <f>VLOOKUP(BA72,Check[],6,FALSE)</f>
        <v>3401</v>
      </c>
      <c r="BB74" s="212"/>
      <c r="BC74" s="213"/>
      <c r="BD74" s="371"/>
      <c r="BE74" s="213"/>
      <c r="BF74" s="213"/>
      <c r="BG74" s="372"/>
      <c r="BH74" s="203"/>
      <c r="BI74" s="203"/>
      <c r="BJ74" s="203"/>
      <c r="BK74" s="205"/>
      <c r="BL74" s="363" t="s">
        <v>1</v>
      </c>
      <c r="BM74" s="187">
        <f t="shared" ref="BM74" si="500">BM78+3.48</f>
        <v>124.84000000000005</v>
      </c>
      <c r="BN74" s="1769"/>
      <c r="BP74" s="197" t="s">
        <v>1</v>
      </c>
    </row>
    <row r="75" spans="1:68" s="110" customFormat="1" ht="21.95" customHeight="1" x14ac:dyDescent="0.45">
      <c r="A75" s="1711" t="s">
        <v>58</v>
      </c>
      <c r="B75" s="331" t="str">
        <f t="shared" ref="B75" si="501">_xlfn.CONCAT("קומה ",B76)</f>
        <v>קומה 33</v>
      </c>
      <c r="C75" s="281" t="s">
        <v>0</v>
      </c>
      <c r="D75" s="158"/>
      <c r="E75" s="1495"/>
      <c r="F75" s="1495"/>
      <c r="G75" s="1495"/>
      <c r="H75" s="1459" t="s">
        <v>69</v>
      </c>
      <c r="I75" s="1459" t="s">
        <v>68</v>
      </c>
      <c r="J75" s="1459" t="s">
        <v>67</v>
      </c>
      <c r="K75" s="1459" t="s">
        <v>66</v>
      </c>
      <c r="L75" s="104">
        <f t="shared" ref="L75" si="502">L79+7</f>
        <v>256</v>
      </c>
      <c r="M75" s="112"/>
      <c r="N75" s="112">
        <f t="shared" ref="N75" si="503">N79+7</f>
        <v>257</v>
      </c>
      <c r="O75" s="112"/>
      <c r="P75" s="159">
        <f t="shared" ref="P75:Q75" si="504">P79+7</f>
        <v>258</v>
      </c>
      <c r="Q75" s="112">
        <f t="shared" si="504"/>
        <v>259</v>
      </c>
      <c r="R75" s="112"/>
      <c r="S75" s="112">
        <f t="shared" ref="S75" si="505">S79+7</f>
        <v>260</v>
      </c>
      <c r="T75" s="112"/>
      <c r="U75" s="106"/>
      <c r="V75" s="112">
        <f t="shared" ref="V75" si="506">V79+7</f>
        <v>261</v>
      </c>
      <c r="W75" s="112"/>
      <c r="X75" s="112"/>
      <c r="Y75" s="112">
        <f t="shared" ref="Y75" si="507">Y79+7</f>
        <v>262</v>
      </c>
      <c r="Z75" s="121"/>
      <c r="AA75" s="121"/>
      <c r="AB75" s="107"/>
      <c r="AC75" s="127" t="s">
        <v>30</v>
      </c>
      <c r="AD75" s="128">
        <f>COUNTIF(Check[סימון],("V."&amp;"*"&amp;$AC75&amp;"."&amp;AD$5&amp;"*"))</f>
        <v>0</v>
      </c>
      <c r="AE75" s="129">
        <f>COUNTIF(Check[סימון],("S."&amp;"*"&amp;$AC75&amp;"."&amp;AE$5&amp;"*"))</f>
        <v>5</v>
      </c>
      <c r="AF75" s="130">
        <f>COUNTIF(Check[סימון],("O."&amp;"*"&amp;$AC75&amp;"."&amp;AF$5&amp;"*"))</f>
        <v>7</v>
      </c>
      <c r="AG75" s="131">
        <f>SUM(AD75:AF75)</f>
        <v>12</v>
      </c>
      <c r="AH75" s="132">
        <f>SUM(AI75,AG75)</f>
        <v>25</v>
      </c>
      <c r="AI75" s="133">
        <f>SUM(AJ75:AL75)</f>
        <v>13</v>
      </c>
      <c r="AJ75" s="134">
        <f>COUNTIF(Check[סימון],("O."&amp;"*"&amp;$AC75&amp;"."&amp;AJ$5&amp;"*"))</f>
        <v>6</v>
      </c>
      <c r="AK75" s="129">
        <f>COUNTIF(Check[סימון],("S."&amp;"*"&amp;$AC75&amp;"."&amp;AK$5&amp;"*"))</f>
        <v>7</v>
      </c>
      <c r="AL75" s="135">
        <f>COUNTIF(Check[סימון],("V."&amp;"*"&amp;$AC75&amp;"."&amp;AL$5&amp;"*"))</f>
        <v>0</v>
      </c>
      <c r="AM75" s="136" t="s">
        <v>30</v>
      </c>
      <c r="AN75" s="137"/>
      <c r="AO75" s="114">
        <f t="shared" ref="AO75" si="508">AO79+7</f>
        <v>253</v>
      </c>
      <c r="AP75" s="115"/>
      <c r="AQ75" s="123">
        <f t="shared" ref="AQ75" si="509">AQ79+7</f>
        <v>254</v>
      </c>
      <c r="AR75" s="115"/>
      <c r="AS75" s="123">
        <f t="shared" ref="AS75" si="510">AS79+7</f>
        <v>255</v>
      </c>
      <c r="AT75" s="105"/>
      <c r="AU75" s="115"/>
      <c r="AV75" s="123">
        <f t="shared" ref="AV75" si="511">AV79+7</f>
        <v>256</v>
      </c>
      <c r="AW75" s="115"/>
      <c r="AX75" s="159">
        <f t="shared" ref="AX75:AY75" si="512">AX79+7</f>
        <v>250</v>
      </c>
      <c r="AY75" s="123">
        <f t="shared" si="512"/>
        <v>251</v>
      </c>
      <c r="AZ75" s="105"/>
      <c r="BA75" s="115"/>
      <c r="BB75" s="123">
        <f t="shared" ref="BB75" si="513">BB79+7</f>
        <v>252</v>
      </c>
      <c r="BC75" s="160"/>
      <c r="BD75" s="1520" t="s">
        <v>75</v>
      </c>
      <c r="BE75" s="1504" t="s">
        <v>76</v>
      </c>
      <c r="BF75" s="1504" t="s">
        <v>77</v>
      </c>
      <c r="BG75" s="1504" t="s">
        <v>78</v>
      </c>
      <c r="BH75" s="1495"/>
      <c r="BI75" s="1495"/>
      <c r="BJ75" s="1495"/>
      <c r="BK75" s="161"/>
      <c r="BL75" s="364" t="s">
        <v>0</v>
      </c>
      <c r="BM75" s="352" t="str">
        <f t="shared" ref="BM75" si="514">_xlfn.CONCAT("קומה ",BM76)</f>
        <v>קומה 33</v>
      </c>
      <c r="BN75" s="1777" t="s">
        <v>58</v>
      </c>
      <c r="BP75" s="111" t="s">
        <v>0</v>
      </c>
    </row>
    <row r="76" spans="1:68" s="52" customFormat="1" ht="9.9499999999999993" hidden="1" customHeight="1" x14ac:dyDescent="0.2">
      <c r="A76" s="1711"/>
      <c r="B76" s="332">
        <f t="shared" ref="B76" si="515">B80+1</f>
        <v>33</v>
      </c>
      <c r="C76" s="281" t="s">
        <v>89</v>
      </c>
      <c r="D76" s="56"/>
      <c r="E76" s="1495"/>
      <c r="F76" s="1495"/>
      <c r="G76" s="1495"/>
      <c r="H76" s="1459"/>
      <c r="I76" s="1459"/>
      <c r="J76" s="1459"/>
      <c r="K76" s="1459"/>
      <c r="L76" s="66" t="str">
        <f>VLOOKUP("*"&amp;L$5&amp;".Ap."&amp;L75,Check[],1,FALSE)</f>
        <v>O.S.3F.TS.Ap.256</v>
      </c>
      <c r="M76" s="64" t="str">
        <f t="shared" ref="M76" si="516">L76</f>
        <v>O.S.3F.TS.Ap.256</v>
      </c>
      <c r="N76" s="64" t="str">
        <f>VLOOKUP("*"&amp;N$5&amp;".Ap."&amp;N75,Check[],1,FALSE)</f>
        <v>S.S.3G.TS.Ap.257</v>
      </c>
      <c r="O76" s="64" t="str">
        <f t="shared" ref="O76" si="517">N76</f>
        <v>S.S.3G.TS.Ap.257</v>
      </c>
      <c r="P76" s="64" t="str">
        <f>VLOOKUP("*"&amp;P$5&amp;".Ap."&amp;P75,Check[],1,FALSE)</f>
        <v>V.GMS.S.3A.TS.Ap.258</v>
      </c>
      <c r="Q76" s="64" t="str">
        <f>VLOOKUP("*"&amp;Q$5&amp;".Ap."&amp;Q75,Check[],1,FALSE)</f>
        <v>O.S.2D.TS.Ap.259</v>
      </c>
      <c r="R76" s="64" t="str">
        <f t="shared" ref="R76" si="518">Q76</f>
        <v>O.S.2D.TS.Ap.259</v>
      </c>
      <c r="S76" s="64" t="str">
        <f>VLOOKUP("*"&amp;S$5&amp;".Ap."&amp;S75,Check[],1,FALSE)</f>
        <v>S.S.4C.TS.Ap.260</v>
      </c>
      <c r="T76" s="64" t="str">
        <f t="shared" ref="T76:U76" si="519">S76</f>
        <v>S.S.4C.TS.Ap.260</v>
      </c>
      <c r="U76" s="68" t="str">
        <f t="shared" si="519"/>
        <v>S.S.4C.TS.Ap.260</v>
      </c>
      <c r="V76" s="64" t="str">
        <f>VLOOKUP("*"&amp;V$5&amp;".Ap."&amp;V75,Check[],1,FALSE)</f>
        <v>S.P.5CP.TS.Ap.261</v>
      </c>
      <c r="W76" s="64" t="str">
        <f t="shared" ref="W76" si="520">V76</f>
        <v>S.P.5CP.TS.Ap.261</v>
      </c>
      <c r="X76" s="64" t="str">
        <f t="shared" ref="X76" si="521">V76</f>
        <v>S.P.5CP.TS.Ap.261</v>
      </c>
      <c r="Y76" s="64" t="str">
        <f>VLOOKUP("*"&amp;Y$5&amp;".Ap."&amp;Y75,Check[],1,FALSE)</f>
        <v>V.GM.P.4BP.TS.Ap.262</v>
      </c>
      <c r="Z76" s="65" t="str">
        <f t="shared" ref="Z76" si="522">Y76</f>
        <v>V.GM.P.4BP.TS.Ap.262</v>
      </c>
      <c r="AA76" s="65" t="str">
        <f t="shared" ref="AA76" si="523">Y76</f>
        <v>V.GM.P.4BP.TS.Ap.262</v>
      </c>
      <c r="AB76" s="50"/>
      <c r="AC76" s="314"/>
      <c r="AD76" s="317"/>
      <c r="AE76" s="318"/>
      <c r="AF76" s="319"/>
      <c r="AG76" s="320"/>
      <c r="AH76" s="321"/>
      <c r="AI76" s="314"/>
      <c r="AJ76" s="322"/>
      <c r="AK76" s="318"/>
      <c r="AL76" s="323"/>
      <c r="AM76" s="315"/>
      <c r="AN76" s="61"/>
      <c r="AO76" s="71" t="str">
        <f>VLOOKUP("*"&amp;AO$5&amp;".Ap."&amp;AO75,Check[],1,FALSE)</f>
        <v>V.GMC.S.5B.TN.Ap.253</v>
      </c>
      <c r="AP76" s="68" t="str">
        <f t="shared" ref="AP76" si="524">AO76</f>
        <v>V.GMC.S.5B.TN.Ap.253</v>
      </c>
      <c r="AQ76" s="72" t="str">
        <f>VLOOKUP("*"&amp;AQ$5&amp;".Ap."&amp;AQ75,Check[],1,FALSE)</f>
        <v>S.S.5A.TN.Ap.254</v>
      </c>
      <c r="AR76" s="68" t="str">
        <f t="shared" ref="AR76" si="525">AQ76</f>
        <v>S.S.5A.TN.Ap.254</v>
      </c>
      <c r="AS76" s="72" t="str">
        <f>VLOOKUP("*"&amp;AS$5&amp;".Ap."&amp;AS75,Check[],1,FALSE)</f>
        <v>S.S.4C.TN.Ap.255</v>
      </c>
      <c r="AT76" s="67" t="str">
        <f t="shared" ref="AT76" si="526">AS76</f>
        <v>S.S.4C.TN.Ap.255</v>
      </c>
      <c r="AU76" s="68" t="str">
        <f t="shared" ref="AU76" si="527">AT76</f>
        <v>S.S.4C.TN.Ap.255</v>
      </c>
      <c r="AV76" s="72" t="str">
        <f>VLOOKUP("*"&amp;AV$5&amp;".Ap."&amp;AV75,Check[],1,FALSE)</f>
        <v>S.S.2D.TN.Ap.256</v>
      </c>
      <c r="AW76" s="68" t="str">
        <f t="shared" ref="AW76" si="528">AV76</f>
        <v>S.S.2D.TN.Ap.256</v>
      </c>
      <c r="AX76" s="64" t="str">
        <f>VLOOKUP("*"&amp;AX$5&amp;".Ap."&amp;AX75,Check[],1,FALSE)</f>
        <v>S.S.3A.TN.Ap.250</v>
      </c>
      <c r="AY76" s="72" t="str">
        <f>VLOOKUP("*"&amp;AY$5&amp;".Ap."&amp;AY75,Check[],1,FALSE)</f>
        <v>S.S.3G.TN.Ap.251</v>
      </c>
      <c r="AZ76" s="67" t="str">
        <f t="shared" ref="AZ76" si="529">AY76</f>
        <v>S.S.3G.TN.Ap.251</v>
      </c>
      <c r="BA76" s="68" t="str">
        <f t="shared" ref="BA76" si="530">AZ76</f>
        <v>S.S.3G.TN.Ap.251</v>
      </c>
      <c r="BB76" s="72" t="str">
        <f>VLOOKUP("*"&amp;BB$5&amp;".Ap."&amp;BB75,Check[],1,FALSE)</f>
        <v>S.S.3F.TN.Ap.252</v>
      </c>
      <c r="BC76" s="73" t="str">
        <f t="shared" ref="BC76" si="531">BB76</f>
        <v>S.S.3F.TN.Ap.252</v>
      </c>
      <c r="BD76" s="1520"/>
      <c r="BE76" s="1504"/>
      <c r="BF76" s="1504"/>
      <c r="BG76" s="1504"/>
      <c r="BH76" s="1495"/>
      <c r="BI76" s="1495"/>
      <c r="BJ76" s="1495"/>
      <c r="BK76" s="57"/>
      <c r="BL76" s="364" t="s">
        <v>89</v>
      </c>
      <c r="BM76" s="353">
        <f t="shared" ref="BM76" si="532">BM80+1</f>
        <v>33</v>
      </c>
      <c r="BN76" s="1777"/>
      <c r="BP76" s="53" t="s">
        <v>89</v>
      </c>
    </row>
    <row r="77" spans="1:68" s="8" customFormat="1" ht="12" customHeight="1" x14ac:dyDescent="0.3">
      <c r="A77" s="1711"/>
      <c r="B77" s="333"/>
      <c r="C77" s="282" t="s">
        <v>65</v>
      </c>
      <c r="D77" s="25"/>
      <c r="E77" s="1495"/>
      <c r="F77" s="1495"/>
      <c r="G77" s="1495"/>
      <c r="H77" s="1459"/>
      <c r="I77" s="1459"/>
      <c r="J77" s="1459"/>
      <c r="K77" s="1459"/>
      <c r="L77" s="230">
        <f>VLOOKUP(L76,Check[],5,FALSE)</f>
        <v>256</v>
      </c>
      <c r="M77" s="237"/>
      <c r="N77" s="237">
        <f>VLOOKUP(N76,Check[],5,FALSE)</f>
        <v>257</v>
      </c>
      <c r="O77" s="237"/>
      <c r="P77" s="248">
        <f>VLOOKUP(P76,Check[],5,FALSE)</f>
        <v>258</v>
      </c>
      <c r="Q77" s="237">
        <f>VLOOKUP(Q76,Check[],5,FALSE)</f>
        <v>259</v>
      </c>
      <c r="R77" s="237"/>
      <c r="S77" s="237">
        <f>VLOOKUP(S76,Check[],5,FALSE)</f>
        <v>260</v>
      </c>
      <c r="T77" s="237"/>
      <c r="U77" s="232"/>
      <c r="V77" s="237">
        <f>VLOOKUP(V76,Check[],5,FALSE)</f>
        <v>261</v>
      </c>
      <c r="W77" s="237"/>
      <c r="X77" s="237"/>
      <c r="Y77" s="237">
        <f>VLOOKUP(Y76,Check[],5,FALSE)</f>
        <v>262</v>
      </c>
      <c r="Z77" s="233"/>
      <c r="AA77" s="233"/>
      <c r="AB77" s="19"/>
      <c r="AC77" s="1467" t="s">
        <v>31</v>
      </c>
      <c r="AD77" s="1469">
        <f>COUNTIF(Check[סימון],("V."&amp;"*"&amp;$AC77&amp;"."&amp;AD$5&amp;"*"))</f>
        <v>7</v>
      </c>
      <c r="AE77" s="1461">
        <f>COUNTIF(Check[סימון],("S."&amp;"*"&amp;$AC77&amp;"."&amp;AE$5&amp;"*"))</f>
        <v>1</v>
      </c>
      <c r="AF77" s="1472">
        <f>COUNTIF(Check[סימון],("O."&amp;"*"&amp;$AC77&amp;"."&amp;AF$5&amp;"*"))</f>
        <v>4</v>
      </c>
      <c r="AG77" s="1474">
        <f>SUM(AD77:AF77)</f>
        <v>12</v>
      </c>
      <c r="AH77" s="1476">
        <f>SUM(AI77,AG77)</f>
        <v>25</v>
      </c>
      <c r="AI77" s="1478">
        <f>SUM(AJ77:AL77)</f>
        <v>13</v>
      </c>
      <c r="AJ77" s="1480">
        <f>COUNTIF(Check[סימון],("O."&amp;"*"&amp;$AC77&amp;"."&amp;AJ$5&amp;"*"))</f>
        <v>2</v>
      </c>
      <c r="AK77" s="1461">
        <f>COUNTIF(Check[סימון],("S."&amp;"*"&amp;$AC77&amp;"."&amp;AK$5&amp;"*"))</f>
        <v>7</v>
      </c>
      <c r="AL77" s="1463">
        <f>COUNTIF(Check[סימון],("V."&amp;"*"&amp;$AC77&amp;"."&amp;AL$5&amp;"*"))</f>
        <v>4</v>
      </c>
      <c r="AM77" s="1465" t="s">
        <v>31</v>
      </c>
      <c r="AN77" s="247"/>
      <c r="AO77" s="239">
        <f>VLOOKUP(AO76,Check[],5,FALSE)</f>
        <v>253</v>
      </c>
      <c r="AP77" s="240"/>
      <c r="AQ77" s="243">
        <f>VLOOKUP(AQ76,Check[],5,FALSE)</f>
        <v>254</v>
      </c>
      <c r="AR77" s="240"/>
      <c r="AS77" s="243">
        <f>VLOOKUP(AS76,Check[],5,FALSE)</f>
        <v>255</v>
      </c>
      <c r="AT77" s="244"/>
      <c r="AU77" s="242"/>
      <c r="AV77" s="243">
        <f>VLOOKUP(AV76,Check[],5,FALSE)</f>
        <v>256</v>
      </c>
      <c r="AW77" s="240"/>
      <c r="AX77" s="248">
        <f>VLOOKUP(AX76,Check[],5,FALSE)</f>
        <v>250</v>
      </c>
      <c r="AY77" s="243">
        <f>VLOOKUP(AY76,Check[],5,FALSE)</f>
        <v>251</v>
      </c>
      <c r="AZ77" s="244"/>
      <c r="BA77" s="242"/>
      <c r="BB77" s="243">
        <f>VLOOKUP(BB76,Check[],5,FALSE)</f>
        <v>252</v>
      </c>
      <c r="BC77" s="249"/>
      <c r="BD77" s="1520"/>
      <c r="BE77" s="1504"/>
      <c r="BF77" s="1504"/>
      <c r="BG77" s="1504"/>
      <c r="BH77" s="1495"/>
      <c r="BI77" s="1495"/>
      <c r="BJ77" s="1495"/>
      <c r="BK77" s="31"/>
      <c r="BL77" s="365" t="s">
        <v>65</v>
      </c>
      <c r="BM77" s="354"/>
      <c r="BN77" s="1777"/>
      <c r="BP77" s="236" t="s">
        <v>1078</v>
      </c>
    </row>
    <row r="78" spans="1:68" s="196" customFormat="1" ht="15" customHeight="1" thickBot="1" x14ac:dyDescent="0.4">
      <c r="A78" s="1712"/>
      <c r="B78" s="198">
        <f t="shared" ref="B78" si="533">B82+3.48</f>
        <v>121.36000000000004</v>
      </c>
      <c r="C78" s="283" t="s">
        <v>1</v>
      </c>
      <c r="D78" s="204"/>
      <c r="E78" s="1496"/>
      <c r="F78" s="1496"/>
      <c r="G78" s="1496"/>
      <c r="H78" s="1460"/>
      <c r="I78" s="1460"/>
      <c r="J78" s="1460"/>
      <c r="K78" s="1460"/>
      <c r="L78" s="188">
        <f>VLOOKUP(L76,Check[],6,FALSE)</f>
        <v>3301</v>
      </c>
      <c r="M78" s="199"/>
      <c r="N78" s="199">
        <f>VLOOKUP(N76,Check[],6,FALSE)</f>
        <v>3302</v>
      </c>
      <c r="O78" s="199"/>
      <c r="P78" s="193">
        <f>VLOOKUP(P76,Check[],6,FALSE)</f>
        <v>3303</v>
      </c>
      <c r="Q78" s="199">
        <f>VLOOKUP(Q76,Check[],6,FALSE)</f>
        <v>3304</v>
      </c>
      <c r="R78" s="199"/>
      <c r="S78" s="199">
        <f>VLOOKUP(S76,Check[],6,FALSE)</f>
        <v>3305</v>
      </c>
      <c r="T78" s="199"/>
      <c r="U78" s="190"/>
      <c r="V78" s="199">
        <f>VLOOKUP(V76,Check[],6,FALSE)</f>
        <v>3306</v>
      </c>
      <c r="W78" s="199"/>
      <c r="X78" s="199"/>
      <c r="Y78" s="199">
        <f>VLOOKUP(Y76,Check[],6,FALSE)</f>
        <v>3307</v>
      </c>
      <c r="Z78" s="191"/>
      <c r="AA78" s="191"/>
      <c r="AB78" s="192"/>
      <c r="AC78" s="1781"/>
      <c r="AD78" s="1782"/>
      <c r="AE78" s="1462"/>
      <c r="AF78" s="1783"/>
      <c r="AG78" s="1784"/>
      <c r="AH78" s="1484"/>
      <c r="AI78" s="1485"/>
      <c r="AJ78" s="1486"/>
      <c r="AK78" s="1462"/>
      <c r="AL78" s="1464"/>
      <c r="AM78" s="1466"/>
      <c r="AN78" s="215"/>
      <c r="AO78" s="201">
        <f>VLOOKUP(AO76,Check[],6,FALSE)</f>
        <v>3302</v>
      </c>
      <c r="AP78" s="202"/>
      <c r="AQ78" s="211">
        <f>VLOOKUP(AQ76,Check[],6,FALSE)</f>
        <v>3303</v>
      </c>
      <c r="AR78" s="202"/>
      <c r="AS78" s="211">
        <f>VLOOKUP(AS76,Check[],6,FALSE)</f>
        <v>3304</v>
      </c>
      <c r="AT78" s="212"/>
      <c r="AU78" s="207"/>
      <c r="AV78" s="211">
        <f>VLOOKUP(AV76,Check[],6,FALSE)</f>
        <v>3305</v>
      </c>
      <c r="AW78" s="202"/>
      <c r="AX78" s="193">
        <f>VLOOKUP(AX76,Check[],6,FALSE)</f>
        <v>3306</v>
      </c>
      <c r="AY78" s="211">
        <f>VLOOKUP(AY76,Check[],6,FALSE)</f>
        <v>3307</v>
      </c>
      <c r="AZ78" s="212"/>
      <c r="BA78" s="207"/>
      <c r="BB78" s="211">
        <f>VLOOKUP(BB76,Check[],6,FALSE)</f>
        <v>3301</v>
      </c>
      <c r="BC78" s="216"/>
      <c r="BD78" s="1522"/>
      <c r="BE78" s="1505"/>
      <c r="BF78" s="1505"/>
      <c r="BG78" s="1505"/>
      <c r="BH78" s="1496"/>
      <c r="BI78" s="1496"/>
      <c r="BJ78" s="1496"/>
      <c r="BK78" s="205"/>
      <c r="BL78" s="366" t="s">
        <v>1</v>
      </c>
      <c r="BM78" s="355">
        <f t="shared" ref="BM78" si="534">BM82+3.48</f>
        <v>121.36000000000004</v>
      </c>
      <c r="BN78" s="1778"/>
      <c r="BP78" s="197" t="s">
        <v>1</v>
      </c>
    </row>
    <row r="79" spans="1:68" s="110" customFormat="1" ht="21.95" customHeight="1" x14ac:dyDescent="0.45">
      <c r="A79" s="1711"/>
      <c r="B79" s="331" t="str">
        <f t="shared" ref="B79" si="535">_xlfn.CONCAT("קומה ",B80)</f>
        <v>קומה 32</v>
      </c>
      <c r="C79" s="281" t="s">
        <v>0</v>
      </c>
      <c r="D79" s="117"/>
      <c r="E79" s="1494"/>
      <c r="F79" s="1494"/>
      <c r="G79" s="1494"/>
      <c r="H79" s="272"/>
      <c r="I79" s="1528" t="s">
        <v>70</v>
      </c>
      <c r="J79" s="272"/>
      <c r="K79" s="272"/>
      <c r="L79" s="104">
        <f t="shared" ref="L79" si="536">L83+7</f>
        <v>249</v>
      </c>
      <c r="M79" s="112"/>
      <c r="N79" s="112">
        <f t="shared" ref="N79" si="537">N83+7</f>
        <v>250</v>
      </c>
      <c r="O79" s="112"/>
      <c r="P79" s="159">
        <f t="shared" ref="P79:Q79" si="538">P83+7</f>
        <v>251</v>
      </c>
      <c r="Q79" s="112">
        <f t="shared" si="538"/>
        <v>252</v>
      </c>
      <c r="R79" s="112"/>
      <c r="S79" s="112">
        <f t="shared" ref="S79" si="539">S83+7</f>
        <v>253</v>
      </c>
      <c r="T79" s="112"/>
      <c r="U79" s="106"/>
      <c r="V79" s="112">
        <f t="shared" ref="V79" si="540">V83+7</f>
        <v>254</v>
      </c>
      <c r="W79" s="112"/>
      <c r="X79" s="112"/>
      <c r="Y79" s="112">
        <f t="shared" ref="Y79" si="541">Y83+7</f>
        <v>255</v>
      </c>
      <c r="Z79" s="121"/>
      <c r="AA79" s="121"/>
      <c r="AB79" s="107"/>
      <c r="AC79" s="127" t="s">
        <v>32</v>
      </c>
      <c r="AD79" s="128">
        <f>COUNTIF(Check[סימון],("V."&amp;"*"&amp;$AC79&amp;"."&amp;AD$5&amp;"*"))</f>
        <v>1</v>
      </c>
      <c r="AE79" s="129">
        <f>COUNTIF(Check[סימון],("S."&amp;"*"&amp;$AC79&amp;"."&amp;AE$5&amp;"*"))</f>
        <v>0</v>
      </c>
      <c r="AF79" s="130">
        <f>COUNTIF(Check[סימון],("O."&amp;"*"&amp;$AC79&amp;"."&amp;AF$5&amp;"*"))</f>
        <v>0</v>
      </c>
      <c r="AG79" s="131">
        <f>SUM(AD79:AF79)</f>
        <v>1</v>
      </c>
      <c r="AH79" s="132">
        <f>SUM(AI79,AG79)</f>
        <v>2</v>
      </c>
      <c r="AI79" s="133">
        <f>SUM(AJ79:AL79)</f>
        <v>1</v>
      </c>
      <c r="AJ79" s="134">
        <f>COUNTIF(Check[סימון],("O."&amp;"*"&amp;$AC79&amp;"."&amp;AJ$5&amp;"*"))</f>
        <v>0</v>
      </c>
      <c r="AK79" s="129">
        <f>COUNTIF(Check[סימון],("S."&amp;"*"&amp;$AC79&amp;"."&amp;AK$5&amp;"*"))</f>
        <v>0</v>
      </c>
      <c r="AL79" s="135">
        <f>COUNTIF(Check[סימון],("V."&amp;"*"&amp;$AC79&amp;"."&amp;AL$5&amp;"*"))</f>
        <v>1</v>
      </c>
      <c r="AM79" s="136" t="s">
        <v>32</v>
      </c>
      <c r="AN79" s="137"/>
      <c r="AO79" s="114">
        <f t="shared" ref="AO79" si="542">AO83+7</f>
        <v>246</v>
      </c>
      <c r="AP79" s="115"/>
      <c r="AQ79" s="123">
        <f t="shared" ref="AQ79" si="543">AQ83+7</f>
        <v>247</v>
      </c>
      <c r="AR79" s="115"/>
      <c r="AS79" s="123">
        <f t="shared" ref="AS79" si="544">AS83+7</f>
        <v>248</v>
      </c>
      <c r="AT79" s="105"/>
      <c r="AU79" s="115"/>
      <c r="AV79" s="123">
        <f t="shared" ref="AV79" si="545">AV83+7</f>
        <v>249</v>
      </c>
      <c r="AW79" s="115"/>
      <c r="AX79" s="159">
        <f t="shared" ref="AX79:AY79" si="546">AX83+7</f>
        <v>243</v>
      </c>
      <c r="AY79" s="123">
        <f t="shared" si="546"/>
        <v>244</v>
      </c>
      <c r="AZ79" s="105"/>
      <c r="BA79" s="115"/>
      <c r="BB79" s="123">
        <f t="shared" ref="BB79" si="547">BB83+7</f>
        <v>245</v>
      </c>
      <c r="BC79" s="160"/>
      <c r="BD79" s="49"/>
      <c r="BE79" s="48"/>
      <c r="BF79" s="1503" t="s">
        <v>70</v>
      </c>
      <c r="BG79" s="49"/>
      <c r="BH79" s="1494"/>
      <c r="BI79" s="1494"/>
      <c r="BJ79" s="1494"/>
      <c r="BK79" s="119"/>
      <c r="BL79" s="364" t="s">
        <v>0</v>
      </c>
      <c r="BM79" s="352" t="str">
        <f t="shared" ref="BM79" si="548">_xlfn.CONCAT("קומה ",BM80)</f>
        <v>קומה 32</v>
      </c>
      <c r="BN79" s="1777"/>
      <c r="BP79" s="111" t="s">
        <v>0</v>
      </c>
    </row>
    <row r="80" spans="1:68" s="52" customFormat="1" ht="9.9499999999999993" hidden="1" customHeight="1" x14ac:dyDescent="0.2">
      <c r="A80" s="1711"/>
      <c r="B80" s="332">
        <f t="shared" ref="B80" si="549">B84+1</f>
        <v>32</v>
      </c>
      <c r="C80" s="281" t="s">
        <v>89</v>
      </c>
      <c r="D80" s="56"/>
      <c r="E80" s="1495"/>
      <c r="F80" s="1495"/>
      <c r="G80" s="1495"/>
      <c r="H80" s="276"/>
      <c r="I80" s="1459"/>
      <c r="J80" s="276"/>
      <c r="K80" s="276"/>
      <c r="L80" s="66" t="str">
        <f>VLOOKUP("*"&amp;L$5&amp;".Ap."&amp;L79,Check[],1,FALSE)</f>
        <v>V.GMS.S.3F.TS.Ap.249</v>
      </c>
      <c r="M80" s="64" t="str">
        <f t="shared" ref="M80" si="550">L80</f>
        <v>V.GMS.S.3F.TS.Ap.249</v>
      </c>
      <c r="N80" s="64" t="str">
        <f>VLOOKUP("*"&amp;N$5&amp;".Ap."&amp;N79,Check[],1,FALSE)</f>
        <v>S.S.3G.TS.Ap.250</v>
      </c>
      <c r="O80" s="64" t="str">
        <f t="shared" ref="O80" si="551">N80</f>
        <v>S.S.3G.TS.Ap.250</v>
      </c>
      <c r="P80" s="64" t="str">
        <f>VLOOKUP("*"&amp;P$5&amp;".Ap."&amp;P79,Check[],1,FALSE)</f>
        <v>V.GMS.S.3A.TS.Ap.251</v>
      </c>
      <c r="Q80" s="64" t="str">
        <f>VLOOKUP("*"&amp;Q$5&amp;".Ap."&amp;Q79,Check[],1,FALSE)</f>
        <v>S.S.2D.TS.Ap.252</v>
      </c>
      <c r="R80" s="64" t="str">
        <f t="shared" ref="R80" si="552">Q80</f>
        <v>S.S.2D.TS.Ap.252</v>
      </c>
      <c r="S80" s="64" t="str">
        <f>VLOOKUP("*"&amp;S$5&amp;".Ap."&amp;S79,Check[],1,FALSE)</f>
        <v>S.S.4C.TS.Ap.253</v>
      </c>
      <c r="T80" s="64" t="str">
        <f t="shared" ref="T80:U80" si="553">S80</f>
        <v>S.S.4C.TS.Ap.253</v>
      </c>
      <c r="U80" s="68" t="str">
        <f t="shared" si="553"/>
        <v>S.S.4C.TS.Ap.253</v>
      </c>
      <c r="V80" s="64" t="str">
        <f>VLOOKUP("*"&amp;V$5&amp;".Ap."&amp;V79,Check[],1,FALSE)</f>
        <v>S.P.5CP.TS.Ap.254</v>
      </c>
      <c r="W80" s="64" t="str">
        <f t="shared" ref="W80" si="554">V80</f>
        <v>S.P.5CP.TS.Ap.254</v>
      </c>
      <c r="X80" s="64" t="str">
        <f t="shared" ref="X80" si="555">V80</f>
        <v>S.P.5CP.TS.Ap.254</v>
      </c>
      <c r="Y80" s="64" t="str">
        <f>VLOOKUP("*"&amp;Y$5&amp;".Ap."&amp;Y79,Check[],1,FALSE)</f>
        <v>V.GM.P.4BP.TS.Ap.255</v>
      </c>
      <c r="Z80" s="65" t="str">
        <f t="shared" ref="Z80" si="556">Y80</f>
        <v>V.GM.P.4BP.TS.Ap.255</v>
      </c>
      <c r="AA80" s="65" t="str">
        <f t="shared" ref="AA80" si="557">Y80</f>
        <v>V.GM.P.4BP.TS.Ap.255</v>
      </c>
      <c r="AB80" s="50"/>
      <c r="AC80" s="314"/>
      <c r="AD80" s="317"/>
      <c r="AE80" s="318"/>
      <c r="AF80" s="319"/>
      <c r="AG80" s="320"/>
      <c r="AH80" s="321"/>
      <c r="AI80" s="314"/>
      <c r="AJ80" s="322"/>
      <c r="AK80" s="318"/>
      <c r="AL80" s="323"/>
      <c r="AM80" s="315"/>
      <c r="AN80" s="61"/>
      <c r="AO80" s="71" t="str">
        <f>VLOOKUP("*"&amp;AO$5&amp;".Ap."&amp;AO79,Check[],1,FALSE)</f>
        <v>O.S.5B.TN.Ap.246</v>
      </c>
      <c r="AP80" s="68" t="str">
        <f t="shared" ref="AP80" si="558">AO80</f>
        <v>O.S.5B.TN.Ap.246</v>
      </c>
      <c r="AQ80" s="72" t="str">
        <f>VLOOKUP("*"&amp;AQ$5&amp;".Ap."&amp;AQ79,Check[],1,FALSE)</f>
        <v>O.S.5A.TN.Ap.247</v>
      </c>
      <c r="AR80" s="68" t="str">
        <f t="shared" ref="AR80" si="559">AQ80</f>
        <v>O.S.5A.TN.Ap.247</v>
      </c>
      <c r="AS80" s="72" t="str">
        <f>VLOOKUP("*"&amp;AS$5&amp;".Ap."&amp;AS79,Check[],1,FALSE)</f>
        <v>S.S.4C.TN.Ap.248</v>
      </c>
      <c r="AT80" s="67" t="str">
        <f t="shared" ref="AT80" si="560">AS80</f>
        <v>S.S.4C.TN.Ap.248</v>
      </c>
      <c r="AU80" s="68" t="str">
        <f t="shared" ref="AU80" si="561">AT80</f>
        <v>S.S.4C.TN.Ap.248</v>
      </c>
      <c r="AV80" s="72" t="str">
        <f>VLOOKUP("*"&amp;AV$5&amp;".Ap."&amp;AV79,Check[],1,FALSE)</f>
        <v>S.S.2D.TN.Ap.249</v>
      </c>
      <c r="AW80" s="68" t="str">
        <f t="shared" ref="AW80" si="562">AV80</f>
        <v>S.S.2D.TN.Ap.249</v>
      </c>
      <c r="AX80" s="64" t="str">
        <f>VLOOKUP("*"&amp;AX$5&amp;".Ap."&amp;AX79,Check[],1,FALSE)</f>
        <v>S.S.3A.TN.Ap.243</v>
      </c>
      <c r="AY80" s="72" t="str">
        <f>VLOOKUP("*"&amp;AY$5&amp;".Ap."&amp;AY79,Check[],1,FALSE)</f>
        <v>S.S.3G.TN.Ap.244</v>
      </c>
      <c r="AZ80" s="67" t="str">
        <f t="shared" ref="AZ80" si="563">AY80</f>
        <v>S.S.3G.TN.Ap.244</v>
      </c>
      <c r="BA80" s="68" t="str">
        <f t="shared" ref="BA80" si="564">AZ80</f>
        <v>S.S.3G.TN.Ap.244</v>
      </c>
      <c r="BB80" s="72" t="str">
        <f>VLOOKUP("*"&amp;BB$5&amp;".Ap."&amp;BB79,Check[],1,FALSE)</f>
        <v>S.S.3F.TN.Ap.245</v>
      </c>
      <c r="BC80" s="73" t="str">
        <f t="shared" ref="BC80" si="565">BB80</f>
        <v>S.S.3F.TN.Ap.245</v>
      </c>
      <c r="BD80" s="266"/>
      <c r="BE80" s="264"/>
      <c r="BF80" s="1504"/>
      <c r="BG80" s="266"/>
      <c r="BH80" s="1495"/>
      <c r="BI80" s="1495"/>
      <c r="BJ80" s="1495"/>
      <c r="BK80" s="57"/>
      <c r="BL80" s="364" t="s">
        <v>89</v>
      </c>
      <c r="BM80" s="353">
        <f t="shared" ref="BM80" si="566">BM84+1</f>
        <v>32</v>
      </c>
      <c r="BN80" s="1777"/>
      <c r="BP80" s="53" t="s">
        <v>89</v>
      </c>
    </row>
    <row r="81" spans="1:68" s="8" customFormat="1" ht="12" customHeight="1" x14ac:dyDescent="0.3">
      <c r="A81" s="1711"/>
      <c r="B81" s="333"/>
      <c r="C81" s="282" t="s">
        <v>65</v>
      </c>
      <c r="D81" s="25"/>
      <c r="E81" s="1495"/>
      <c r="F81" s="1495"/>
      <c r="G81" s="1495"/>
      <c r="H81" s="276"/>
      <c r="I81" s="1459"/>
      <c r="J81" s="276"/>
      <c r="K81" s="276"/>
      <c r="L81" s="230">
        <f>VLOOKUP(L80,Check[],5,FALSE)</f>
        <v>249</v>
      </c>
      <c r="M81" s="237"/>
      <c r="N81" s="237">
        <f>VLOOKUP(N80,Check[],5,FALSE)</f>
        <v>250</v>
      </c>
      <c r="O81" s="237"/>
      <c r="P81" s="248">
        <f>VLOOKUP(P80,Check[],5,FALSE)</f>
        <v>251</v>
      </c>
      <c r="Q81" s="237">
        <f>VLOOKUP(Q80,Check[],5,FALSE)</f>
        <v>252</v>
      </c>
      <c r="R81" s="237"/>
      <c r="S81" s="237">
        <f>VLOOKUP(S80,Check[],5,FALSE)</f>
        <v>253</v>
      </c>
      <c r="T81" s="237"/>
      <c r="U81" s="232"/>
      <c r="V81" s="237">
        <f>VLOOKUP(V80,Check[],5,FALSE)</f>
        <v>254</v>
      </c>
      <c r="W81" s="237"/>
      <c r="X81" s="237"/>
      <c r="Y81" s="237">
        <f>VLOOKUP(Y80,Check[],5,FALSE)</f>
        <v>255</v>
      </c>
      <c r="Z81" s="233"/>
      <c r="AA81" s="233"/>
      <c r="AB81" s="19"/>
      <c r="AC81" s="1467" t="s">
        <v>33</v>
      </c>
      <c r="AD81" s="1469">
        <f>COUNTIF(Check[סימון],("V."&amp;"*"&amp;$AC81&amp;"."&amp;AD$5&amp;"*"))</f>
        <v>1</v>
      </c>
      <c r="AE81" s="1461">
        <f>COUNTIF(Check[סימון],("S."&amp;"*"&amp;$AC81&amp;"."&amp;AE$5&amp;"*"))</f>
        <v>0</v>
      </c>
      <c r="AF81" s="1472">
        <f>COUNTIF(Check[סימון],("O."&amp;"*"&amp;$AC81&amp;"."&amp;AF$5&amp;"*"))</f>
        <v>0</v>
      </c>
      <c r="AG81" s="1474">
        <f>SUM(AD81:AF81)</f>
        <v>1</v>
      </c>
      <c r="AH81" s="1476">
        <f>SUM(AI81,AG81)</f>
        <v>2</v>
      </c>
      <c r="AI81" s="1478">
        <f>SUM(AJ81:AL81)</f>
        <v>1</v>
      </c>
      <c r="AJ81" s="1480">
        <f>COUNTIF(Check[סימון],("O."&amp;"*"&amp;$AC81&amp;"."&amp;AJ$5&amp;"*"))</f>
        <v>0</v>
      </c>
      <c r="AK81" s="1461">
        <f>COUNTIF(Check[סימון],("S."&amp;"*"&amp;$AC81&amp;"."&amp;AK$5&amp;"*"))</f>
        <v>0</v>
      </c>
      <c r="AL81" s="1463">
        <f>COUNTIF(Check[סימון],("V."&amp;"*"&amp;$AC81&amp;"."&amp;AL$5&amp;"*"))</f>
        <v>1</v>
      </c>
      <c r="AM81" s="1465" t="s">
        <v>33</v>
      </c>
      <c r="AN81" s="247"/>
      <c r="AO81" s="239">
        <f>VLOOKUP(AO80,Check[],5,FALSE)</f>
        <v>246</v>
      </c>
      <c r="AP81" s="240"/>
      <c r="AQ81" s="243">
        <f>VLOOKUP(AQ80,Check[],5,FALSE)</f>
        <v>247</v>
      </c>
      <c r="AR81" s="240"/>
      <c r="AS81" s="243">
        <f>VLOOKUP(AS80,Check[],5,FALSE)</f>
        <v>248</v>
      </c>
      <c r="AT81" s="244"/>
      <c r="AU81" s="242"/>
      <c r="AV81" s="243">
        <f>VLOOKUP(AV80,Check[],5,FALSE)</f>
        <v>249</v>
      </c>
      <c r="AW81" s="240"/>
      <c r="AX81" s="248">
        <f>VLOOKUP(AX80,Check[],5,FALSE)</f>
        <v>243</v>
      </c>
      <c r="AY81" s="243">
        <f>VLOOKUP(AY80,Check[],5,FALSE)</f>
        <v>244</v>
      </c>
      <c r="AZ81" s="244"/>
      <c r="BA81" s="242"/>
      <c r="BB81" s="243">
        <f>VLOOKUP(BB80,Check[],5,FALSE)</f>
        <v>245</v>
      </c>
      <c r="BC81" s="249"/>
      <c r="BD81" s="266"/>
      <c r="BE81" s="264"/>
      <c r="BF81" s="1504"/>
      <c r="BG81" s="266"/>
      <c r="BH81" s="1495"/>
      <c r="BI81" s="1495"/>
      <c r="BJ81" s="1495"/>
      <c r="BK81" s="31"/>
      <c r="BL81" s="365" t="s">
        <v>65</v>
      </c>
      <c r="BM81" s="354"/>
      <c r="BN81" s="1777"/>
      <c r="BP81" s="236" t="s">
        <v>1078</v>
      </c>
    </row>
    <row r="82" spans="1:68" s="196" customFormat="1" ht="15" customHeight="1" thickBot="1" x14ac:dyDescent="0.4">
      <c r="A82" s="1712"/>
      <c r="B82" s="198">
        <f t="shared" ref="B82" si="567">B86+3.48</f>
        <v>117.88000000000004</v>
      </c>
      <c r="C82" s="283" t="s">
        <v>1</v>
      </c>
      <c r="D82" s="204"/>
      <c r="E82" s="1496"/>
      <c r="F82" s="1496"/>
      <c r="G82" s="1496"/>
      <c r="H82" s="275"/>
      <c r="I82" s="1460"/>
      <c r="J82" s="275"/>
      <c r="K82" s="275"/>
      <c r="L82" s="188">
        <f>VLOOKUP(L80,Check[],6,FALSE)</f>
        <v>3201</v>
      </c>
      <c r="M82" s="199"/>
      <c r="N82" s="199">
        <f>VLOOKUP(N80,Check[],6,FALSE)</f>
        <v>3202</v>
      </c>
      <c r="O82" s="199"/>
      <c r="P82" s="193">
        <f>VLOOKUP(P80,Check[],6,FALSE)</f>
        <v>3203</v>
      </c>
      <c r="Q82" s="199">
        <f>VLOOKUP(Q80,Check[],6,FALSE)</f>
        <v>3204</v>
      </c>
      <c r="R82" s="199"/>
      <c r="S82" s="199">
        <f>VLOOKUP(S80,Check[],6,FALSE)</f>
        <v>3205</v>
      </c>
      <c r="T82" s="199"/>
      <c r="U82" s="190"/>
      <c r="V82" s="199">
        <f>VLOOKUP(V80,Check[],6,FALSE)</f>
        <v>3206</v>
      </c>
      <c r="W82" s="199"/>
      <c r="X82" s="199"/>
      <c r="Y82" s="199">
        <f>VLOOKUP(Y80,Check[],6,FALSE)</f>
        <v>3207</v>
      </c>
      <c r="Z82" s="191"/>
      <c r="AA82" s="191"/>
      <c r="AB82" s="192"/>
      <c r="AC82" s="1468"/>
      <c r="AD82" s="1470"/>
      <c r="AE82" s="1471"/>
      <c r="AF82" s="1473"/>
      <c r="AG82" s="1475"/>
      <c r="AH82" s="1477"/>
      <c r="AI82" s="1479"/>
      <c r="AJ82" s="1481"/>
      <c r="AK82" s="1471"/>
      <c r="AL82" s="1482"/>
      <c r="AM82" s="1483"/>
      <c r="AN82" s="215"/>
      <c r="AO82" s="201">
        <f>VLOOKUP(AO80,Check[],6,FALSE)</f>
        <v>3202</v>
      </c>
      <c r="AP82" s="202"/>
      <c r="AQ82" s="211">
        <f>VLOOKUP(AQ80,Check[],6,FALSE)</f>
        <v>3203</v>
      </c>
      <c r="AR82" s="202"/>
      <c r="AS82" s="211">
        <f>VLOOKUP(AS80,Check[],6,FALSE)</f>
        <v>3204</v>
      </c>
      <c r="AT82" s="212"/>
      <c r="AU82" s="207"/>
      <c r="AV82" s="211">
        <f>VLOOKUP(AV80,Check[],6,FALSE)</f>
        <v>3205</v>
      </c>
      <c r="AW82" s="202"/>
      <c r="AX82" s="193">
        <f>VLOOKUP(AX80,Check[],6,FALSE)</f>
        <v>3206</v>
      </c>
      <c r="AY82" s="211">
        <f>VLOOKUP(AY80,Check[],6,FALSE)</f>
        <v>3207</v>
      </c>
      <c r="AZ82" s="212"/>
      <c r="BA82" s="207"/>
      <c r="BB82" s="211">
        <f>VLOOKUP(BB80,Check[],6,FALSE)</f>
        <v>3201</v>
      </c>
      <c r="BC82" s="216"/>
      <c r="BD82" s="267"/>
      <c r="BE82" s="265"/>
      <c r="BF82" s="1505"/>
      <c r="BG82" s="267"/>
      <c r="BH82" s="1496"/>
      <c r="BI82" s="1496"/>
      <c r="BJ82" s="1496"/>
      <c r="BK82" s="205"/>
      <c r="BL82" s="366" t="s">
        <v>1</v>
      </c>
      <c r="BM82" s="355">
        <f t="shared" ref="BM82" si="568">BM86+3.48</f>
        <v>117.88000000000004</v>
      </c>
      <c r="BN82" s="1778"/>
      <c r="BP82" s="197" t="s">
        <v>1</v>
      </c>
    </row>
    <row r="83" spans="1:68" s="110" customFormat="1" ht="21.95" customHeight="1" x14ac:dyDescent="0.45">
      <c r="A83" s="1711"/>
      <c r="B83" s="331" t="str">
        <f t="shared" ref="B83" si="569">_xlfn.CONCAT("קומה ",B84)</f>
        <v>קומה 31</v>
      </c>
      <c r="C83" s="281" t="s">
        <v>0</v>
      </c>
      <c r="D83" s="117"/>
      <c r="E83" s="1491" t="s">
        <v>1076</v>
      </c>
      <c r="F83" s="1491" t="s">
        <v>1076</v>
      </c>
      <c r="G83" s="1491" t="s">
        <v>1076</v>
      </c>
      <c r="H83" s="116"/>
      <c r="I83" s="116"/>
      <c r="J83" s="116"/>
      <c r="K83" s="116"/>
      <c r="L83" s="104">
        <f t="shared" ref="L83" si="570">L87+7</f>
        <v>242</v>
      </c>
      <c r="M83" s="112"/>
      <c r="N83" s="112">
        <f t="shared" ref="N83" si="571">N87+7</f>
        <v>243</v>
      </c>
      <c r="O83" s="112"/>
      <c r="P83" s="159">
        <f t="shared" ref="P83:Q83" si="572">P87+7</f>
        <v>244</v>
      </c>
      <c r="Q83" s="112">
        <f t="shared" si="572"/>
        <v>245</v>
      </c>
      <c r="R83" s="112"/>
      <c r="S83" s="112">
        <f t="shared" ref="S83" si="573">S87+7</f>
        <v>246</v>
      </c>
      <c r="T83" s="112"/>
      <c r="U83" s="106"/>
      <c r="V83" s="112">
        <f t="shared" ref="V83" si="574">V87+7</f>
        <v>247</v>
      </c>
      <c r="W83" s="112"/>
      <c r="X83" s="112"/>
      <c r="Y83" s="112">
        <f t="shared" ref="Y83" si="575">Y87+7</f>
        <v>248</v>
      </c>
      <c r="Z83" s="121"/>
      <c r="AA83" s="121"/>
      <c r="AB83" s="107"/>
      <c r="AC83" s="127" t="s">
        <v>34</v>
      </c>
      <c r="AD83" s="128">
        <f>COUNTIF(Check[סימון],("V."&amp;"*"&amp;$AC83&amp;"."&amp;AD$5&amp;"*"))</f>
        <v>0</v>
      </c>
      <c r="AE83" s="129">
        <f>COUNTIF(Check[סימון],("S."&amp;"*"&amp;$AC83&amp;"."&amp;AE$5&amp;"*"))</f>
        <v>0</v>
      </c>
      <c r="AF83" s="130">
        <f>COUNTIF(Check[סימון],("O."&amp;"*"&amp;$AC83&amp;"."&amp;AF$5&amp;"*"))</f>
        <v>1</v>
      </c>
      <c r="AG83" s="131">
        <f>SUM(AD83:AF83)</f>
        <v>1</v>
      </c>
      <c r="AH83" s="132">
        <f>SUM(AI83,AG83)</f>
        <v>2</v>
      </c>
      <c r="AI83" s="133">
        <f>SUM(AJ83:AL83)</f>
        <v>1</v>
      </c>
      <c r="AJ83" s="134">
        <f>COUNTIF(Check[סימון],("O."&amp;"*"&amp;$AC83&amp;"."&amp;AJ$5&amp;"*"))</f>
        <v>0</v>
      </c>
      <c r="AK83" s="129">
        <f>COUNTIF(Check[סימון],("S."&amp;"*"&amp;$AC83&amp;"."&amp;AK$5&amp;"*"))</f>
        <v>0</v>
      </c>
      <c r="AL83" s="135">
        <f>COUNTIF(Check[סימון],("V."&amp;"*"&amp;$AC83&amp;"."&amp;AL$5&amp;"*"))</f>
        <v>1</v>
      </c>
      <c r="AM83" s="136" t="s">
        <v>34</v>
      </c>
      <c r="AN83" s="137"/>
      <c r="AO83" s="114">
        <f t="shared" ref="AO83" si="576">AO87+7</f>
        <v>239</v>
      </c>
      <c r="AP83" s="115"/>
      <c r="AQ83" s="123">
        <f t="shared" ref="AQ83" si="577">AQ87+7</f>
        <v>240</v>
      </c>
      <c r="AR83" s="115"/>
      <c r="AS83" s="123">
        <f t="shared" ref="AS83" si="578">AS87+7</f>
        <v>241</v>
      </c>
      <c r="AT83" s="105"/>
      <c r="AU83" s="115"/>
      <c r="AV83" s="123">
        <f t="shared" ref="AV83" si="579">AV87+7</f>
        <v>242</v>
      </c>
      <c r="AW83" s="115"/>
      <c r="AX83" s="159">
        <f t="shared" ref="AX83:AY83" si="580">AX87+7</f>
        <v>236</v>
      </c>
      <c r="AY83" s="123">
        <f t="shared" si="580"/>
        <v>237</v>
      </c>
      <c r="AZ83" s="105"/>
      <c r="BA83" s="115"/>
      <c r="BB83" s="123">
        <f t="shared" ref="BB83" si="581">BB87+7</f>
        <v>238</v>
      </c>
      <c r="BC83" s="160"/>
      <c r="BD83" s="163"/>
      <c r="BE83" s="116"/>
      <c r="BF83" s="116"/>
      <c r="BG83" s="163"/>
      <c r="BH83" s="1491" t="s">
        <v>1076</v>
      </c>
      <c r="BI83" s="1491" t="s">
        <v>1076</v>
      </c>
      <c r="BJ83" s="1491" t="s">
        <v>1076</v>
      </c>
      <c r="BK83" s="119"/>
      <c r="BL83" s="364" t="s">
        <v>0</v>
      </c>
      <c r="BM83" s="352" t="str">
        <f t="shared" ref="BM83" si="582">_xlfn.CONCAT("קומה ",BM84)</f>
        <v>קומה 31</v>
      </c>
      <c r="BN83" s="1777"/>
      <c r="BP83" s="111" t="s">
        <v>0</v>
      </c>
    </row>
    <row r="84" spans="1:68" s="52" customFormat="1" ht="9.9499999999999993" hidden="1" customHeight="1" x14ac:dyDescent="0.2">
      <c r="A84" s="1711"/>
      <c r="B84" s="332">
        <f t="shared" ref="B84" si="583">B88+1</f>
        <v>31</v>
      </c>
      <c r="C84" s="281" t="s">
        <v>89</v>
      </c>
      <c r="D84" s="56"/>
      <c r="E84" s="1492"/>
      <c r="F84" s="1492"/>
      <c r="G84" s="1492"/>
      <c r="H84" s="55"/>
      <c r="I84" s="55"/>
      <c r="J84" s="55"/>
      <c r="K84" s="55"/>
      <c r="L84" s="66" t="str">
        <f>VLOOKUP("*"&amp;L$5&amp;".Ap."&amp;L83,Check[],1,FALSE)</f>
        <v>V.GMS.S.3F.TS.Ap.242</v>
      </c>
      <c r="M84" s="64" t="str">
        <f t="shared" ref="M84" si="584">L84</f>
        <v>V.GMS.S.3F.TS.Ap.242</v>
      </c>
      <c r="N84" s="64" t="str">
        <f>VLOOKUP("*"&amp;N$5&amp;".Ap."&amp;N83,Check[],1,FALSE)</f>
        <v>V.GMS.S.3G.TS.Ap.243</v>
      </c>
      <c r="O84" s="64" t="str">
        <f t="shared" ref="O84" si="585">N84</f>
        <v>V.GMS.S.3G.TS.Ap.243</v>
      </c>
      <c r="P84" s="64" t="str">
        <f>VLOOKUP("*"&amp;P$5&amp;".Ap."&amp;P83,Check[],1,FALSE)</f>
        <v>V.GMS.S.3A.TS.Ap.244</v>
      </c>
      <c r="Q84" s="64" t="str">
        <f>VLOOKUP("*"&amp;Q$5&amp;".Ap."&amp;Q83,Check[],1,FALSE)</f>
        <v>S.S.2D.TS.Ap.245</v>
      </c>
      <c r="R84" s="64" t="str">
        <f t="shared" ref="R84" si="586">Q84</f>
        <v>S.S.2D.TS.Ap.245</v>
      </c>
      <c r="S84" s="64" t="str">
        <f>VLOOKUP("*"&amp;S$5&amp;".Ap."&amp;S83,Check[],1,FALSE)</f>
        <v>S.S.4C.TS.Ap.246</v>
      </c>
      <c r="T84" s="64" t="str">
        <f t="shared" ref="T84:U84" si="587">S84</f>
        <v>S.S.4C.TS.Ap.246</v>
      </c>
      <c r="U84" s="68" t="str">
        <f t="shared" si="587"/>
        <v>S.S.4C.TS.Ap.246</v>
      </c>
      <c r="V84" s="64" t="str">
        <f>VLOOKUP("*"&amp;V$5&amp;".Ap."&amp;V83,Check[],1,FALSE)</f>
        <v>V.GM.S.5A.TS.Ap.247</v>
      </c>
      <c r="W84" s="64" t="str">
        <f t="shared" ref="W84" si="588">V84</f>
        <v>V.GM.S.5A.TS.Ap.247</v>
      </c>
      <c r="X84" s="64" t="str">
        <f t="shared" ref="X84" si="589">V84</f>
        <v>V.GM.S.5A.TS.Ap.247</v>
      </c>
      <c r="Y84" s="64" t="str">
        <f>VLOOKUP("*"&amp;Y$5&amp;".Ap."&amp;Y83,Check[],1,FALSE)</f>
        <v>V.GMC.S.5B.TS.Ap.248</v>
      </c>
      <c r="Z84" s="65" t="str">
        <f t="shared" ref="Z84" si="590">Y84</f>
        <v>V.GMC.S.5B.TS.Ap.248</v>
      </c>
      <c r="AA84" s="65" t="str">
        <f t="shared" ref="AA84" si="591">Y84</f>
        <v>V.GMC.S.5B.TS.Ap.248</v>
      </c>
      <c r="AB84" s="50"/>
      <c r="AC84" s="314"/>
      <c r="AD84" s="317"/>
      <c r="AE84" s="318"/>
      <c r="AF84" s="319"/>
      <c r="AG84" s="320"/>
      <c r="AH84" s="321"/>
      <c r="AI84" s="314"/>
      <c r="AJ84" s="322"/>
      <c r="AK84" s="318"/>
      <c r="AL84" s="323"/>
      <c r="AM84" s="315"/>
      <c r="AN84" s="61"/>
      <c r="AO84" s="71" t="str">
        <f>VLOOKUP("*"&amp;AO$5&amp;".Ap."&amp;AO83,Check[],1,FALSE)</f>
        <v>V.GMC.S.5B.TN.Ap.239</v>
      </c>
      <c r="AP84" s="68" t="str">
        <f t="shared" ref="AP84" si="592">AO84</f>
        <v>V.GMC.S.5B.TN.Ap.239</v>
      </c>
      <c r="AQ84" s="72" t="str">
        <f>VLOOKUP("*"&amp;AQ$5&amp;".Ap."&amp;AQ83,Check[],1,FALSE)</f>
        <v>S.S.5A.TN.Ap.240</v>
      </c>
      <c r="AR84" s="68" t="str">
        <f t="shared" ref="AR84" si="593">AQ84</f>
        <v>S.S.5A.TN.Ap.240</v>
      </c>
      <c r="AS84" s="72" t="str">
        <f>VLOOKUP("*"&amp;AS$5&amp;".Ap."&amp;AS83,Check[],1,FALSE)</f>
        <v>S.S.4C.TN.Ap.241</v>
      </c>
      <c r="AT84" s="67" t="str">
        <f t="shared" ref="AT84" si="594">AS84</f>
        <v>S.S.4C.TN.Ap.241</v>
      </c>
      <c r="AU84" s="68" t="str">
        <f t="shared" ref="AU84" si="595">AT84</f>
        <v>S.S.4C.TN.Ap.241</v>
      </c>
      <c r="AV84" s="72" t="str">
        <f>VLOOKUP("*"&amp;AV$5&amp;".Ap."&amp;AV83,Check[],1,FALSE)</f>
        <v>S.S.2D.TN.Ap.242</v>
      </c>
      <c r="AW84" s="68" t="str">
        <f t="shared" ref="AW84" si="596">AV84</f>
        <v>S.S.2D.TN.Ap.242</v>
      </c>
      <c r="AX84" s="64" t="str">
        <f>VLOOKUP("*"&amp;AX$5&amp;".Ap."&amp;AX83,Check[],1,FALSE)</f>
        <v>S.S.3A.TN.Ap.236</v>
      </c>
      <c r="AY84" s="72" t="str">
        <f>VLOOKUP("*"&amp;AY$5&amp;".Ap."&amp;AY83,Check[],1,FALSE)</f>
        <v>S.S.3G.TN.Ap.237</v>
      </c>
      <c r="AZ84" s="67" t="str">
        <f t="shared" ref="AZ84" si="597">AY84</f>
        <v>S.S.3G.TN.Ap.237</v>
      </c>
      <c r="BA84" s="68" t="str">
        <f t="shared" ref="BA84" si="598">AZ84</f>
        <v>S.S.3G.TN.Ap.237</v>
      </c>
      <c r="BB84" s="72" t="str">
        <f>VLOOKUP("*"&amp;BB$5&amp;".Ap."&amp;BB83,Check[],1,FALSE)</f>
        <v>V.GMS.S.3F.TN.Ap.238</v>
      </c>
      <c r="BC84" s="73" t="str">
        <f t="shared" ref="BC84" si="599">BB84</f>
        <v>V.GMS.S.3F.TN.Ap.238</v>
      </c>
      <c r="BD84" s="62"/>
      <c r="BE84" s="55"/>
      <c r="BF84" s="55"/>
      <c r="BG84" s="62"/>
      <c r="BH84" s="1492"/>
      <c r="BI84" s="1492"/>
      <c r="BJ84" s="1492"/>
      <c r="BK84" s="57"/>
      <c r="BL84" s="364" t="s">
        <v>89</v>
      </c>
      <c r="BM84" s="353">
        <f t="shared" ref="BM84" si="600">BM88+1</f>
        <v>31</v>
      </c>
      <c r="BN84" s="1777"/>
      <c r="BP84" s="53" t="s">
        <v>89</v>
      </c>
    </row>
    <row r="85" spans="1:68" s="8" customFormat="1" ht="12" customHeight="1" x14ac:dyDescent="0.3">
      <c r="A85" s="1711"/>
      <c r="B85" s="333"/>
      <c r="C85" s="282" t="s">
        <v>65</v>
      </c>
      <c r="D85" s="25"/>
      <c r="E85" s="1492"/>
      <c r="F85" s="1492"/>
      <c r="G85" s="1492"/>
      <c r="H85" s="21"/>
      <c r="I85" s="21"/>
      <c r="J85" s="21"/>
      <c r="K85" s="21"/>
      <c r="L85" s="230">
        <f>VLOOKUP(L84,Check[],5,FALSE)</f>
        <v>242</v>
      </c>
      <c r="M85" s="237"/>
      <c r="N85" s="237">
        <f>VLOOKUP(N84,Check[],5,FALSE)</f>
        <v>243</v>
      </c>
      <c r="O85" s="237"/>
      <c r="P85" s="248">
        <f>VLOOKUP(P84,Check[],5,FALSE)</f>
        <v>244</v>
      </c>
      <c r="Q85" s="237">
        <f>VLOOKUP(Q84,Check[],5,FALSE)</f>
        <v>245</v>
      </c>
      <c r="R85" s="237"/>
      <c r="S85" s="237">
        <f>VLOOKUP(S84,Check[],5,FALSE)</f>
        <v>246</v>
      </c>
      <c r="T85" s="237"/>
      <c r="U85" s="232"/>
      <c r="V85" s="237">
        <f>VLOOKUP(V84,Check[],5,FALSE)</f>
        <v>247</v>
      </c>
      <c r="W85" s="237"/>
      <c r="X85" s="237"/>
      <c r="Y85" s="237">
        <f>VLOOKUP(Y84,Check[],5,FALSE)</f>
        <v>248</v>
      </c>
      <c r="Z85" s="233"/>
      <c r="AA85" s="233"/>
      <c r="AB85" s="19"/>
      <c r="AC85" s="1467" t="s">
        <v>35</v>
      </c>
      <c r="AD85" s="1469">
        <f>COUNTIF(Check[סימון],("V."&amp;"*"&amp;$AC85&amp;"."&amp;AD$5&amp;"*"))</f>
        <v>0</v>
      </c>
      <c r="AE85" s="1461">
        <f>COUNTIF(Check[סימון],("S."&amp;"*"&amp;$AC85&amp;"."&amp;AE$5&amp;"*"))</f>
        <v>0</v>
      </c>
      <c r="AF85" s="1472">
        <f>COUNTIF(Check[סימון],("O."&amp;"*"&amp;$AC85&amp;"."&amp;AF$5&amp;"*"))</f>
        <v>1</v>
      </c>
      <c r="AG85" s="1474">
        <f>SUM(AD85:AF85)</f>
        <v>1</v>
      </c>
      <c r="AH85" s="1476">
        <f>SUM(AI85,AG85)</f>
        <v>2</v>
      </c>
      <c r="AI85" s="1478">
        <f>SUM(AJ85:AL85)</f>
        <v>1</v>
      </c>
      <c r="AJ85" s="1480">
        <f>COUNTIF(Check[סימון],("O."&amp;"*"&amp;$AC85&amp;"."&amp;AJ$5&amp;"*"))</f>
        <v>0</v>
      </c>
      <c r="AK85" s="1461">
        <f>COUNTIF(Check[סימון],("S."&amp;"*"&amp;$AC85&amp;"."&amp;AK$5&amp;"*"))</f>
        <v>0</v>
      </c>
      <c r="AL85" s="1463">
        <f>COUNTIF(Check[סימון],("V."&amp;"*"&amp;$AC85&amp;"."&amp;AL$5&amp;"*"))</f>
        <v>1</v>
      </c>
      <c r="AM85" s="1465" t="s">
        <v>35</v>
      </c>
      <c r="AN85" s="247"/>
      <c r="AO85" s="239">
        <f>VLOOKUP(AO84,Check[],5,FALSE)</f>
        <v>239</v>
      </c>
      <c r="AP85" s="240"/>
      <c r="AQ85" s="243">
        <f>VLOOKUP(AQ84,Check[],5,FALSE)</f>
        <v>240</v>
      </c>
      <c r="AR85" s="240"/>
      <c r="AS85" s="243">
        <f>VLOOKUP(AS84,Check[],5,FALSE)</f>
        <v>241</v>
      </c>
      <c r="AT85" s="244"/>
      <c r="AU85" s="242"/>
      <c r="AV85" s="243">
        <f>VLOOKUP(AV84,Check[],5,FALSE)</f>
        <v>242</v>
      </c>
      <c r="AW85" s="240"/>
      <c r="AX85" s="248">
        <f>VLOOKUP(AX84,Check[],5,FALSE)</f>
        <v>236</v>
      </c>
      <c r="AY85" s="243">
        <f>VLOOKUP(AY84,Check[],5,FALSE)</f>
        <v>237</v>
      </c>
      <c r="AZ85" s="244"/>
      <c r="BA85" s="242"/>
      <c r="BB85" s="243">
        <f>VLOOKUP(BB84,Check[],5,FALSE)</f>
        <v>238</v>
      </c>
      <c r="BC85" s="249"/>
      <c r="BD85" s="37"/>
      <c r="BE85" s="21"/>
      <c r="BF85" s="21"/>
      <c r="BG85" s="37"/>
      <c r="BH85" s="1492"/>
      <c r="BI85" s="1492"/>
      <c r="BJ85" s="1492"/>
      <c r="BK85" s="31"/>
      <c r="BL85" s="365" t="s">
        <v>65</v>
      </c>
      <c r="BM85" s="354"/>
      <c r="BN85" s="1777"/>
      <c r="BP85" s="236" t="s">
        <v>1078</v>
      </c>
    </row>
    <row r="86" spans="1:68" s="196" customFormat="1" ht="15" customHeight="1" thickBot="1" x14ac:dyDescent="0.4">
      <c r="A86" s="1712"/>
      <c r="B86" s="198">
        <f t="shared" ref="B86" si="601">B90+3.48</f>
        <v>114.40000000000003</v>
      </c>
      <c r="C86" s="283" t="s">
        <v>1</v>
      </c>
      <c r="D86" s="204"/>
      <c r="E86" s="1493"/>
      <c r="F86" s="1493"/>
      <c r="G86" s="1493"/>
      <c r="H86" s="203"/>
      <c r="I86" s="203"/>
      <c r="J86" s="203"/>
      <c r="K86" s="203"/>
      <c r="L86" s="188">
        <f>VLOOKUP(L84,Check[],6,FALSE)</f>
        <v>3101</v>
      </c>
      <c r="M86" s="199"/>
      <c r="N86" s="199">
        <f>VLOOKUP(N84,Check[],6,FALSE)</f>
        <v>3102</v>
      </c>
      <c r="O86" s="199"/>
      <c r="P86" s="193">
        <f>VLOOKUP(P84,Check[],6,FALSE)</f>
        <v>3103</v>
      </c>
      <c r="Q86" s="199">
        <f>VLOOKUP(Q84,Check[],6,FALSE)</f>
        <v>3104</v>
      </c>
      <c r="R86" s="199"/>
      <c r="S86" s="199">
        <f>VLOOKUP(S84,Check[],6,FALSE)</f>
        <v>3105</v>
      </c>
      <c r="T86" s="199"/>
      <c r="U86" s="190"/>
      <c r="V86" s="199">
        <f>VLOOKUP(V84,Check[],6,FALSE)</f>
        <v>3106</v>
      </c>
      <c r="W86" s="199"/>
      <c r="X86" s="199"/>
      <c r="Y86" s="199">
        <f>VLOOKUP(Y84,Check[],6,FALSE)</f>
        <v>3107</v>
      </c>
      <c r="Z86" s="191"/>
      <c r="AA86" s="191"/>
      <c r="AB86" s="192"/>
      <c r="AC86" s="1468"/>
      <c r="AD86" s="1470"/>
      <c r="AE86" s="1471"/>
      <c r="AF86" s="1473"/>
      <c r="AG86" s="1475"/>
      <c r="AH86" s="1477"/>
      <c r="AI86" s="1479"/>
      <c r="AJ86" s="1481"/>
      <c r="AK86" s="1471"/>
      <c r="AL86" s="1482"/>
      <c r="AM86" s="1483"/>
      <c r="AN86" s="215"/>
      <c r="AO86" s="201">
        <f>VLOOKUP(AO84,Check[],6,FALSE)</f>
        <v>3102</v>
      </c>
      <c r="AP86" s="202"/>
      <c r="AQ86" s="211">
        <f>VLOOKUP(AQ84,Check[],6,FALSE)</f>
        <v>3103</v>
      </c>
      <c r="AR86" s="202"/>
      <c r="AS86" s="211">
        <f>VLOOKUP(AS84,Check[],6,FALSE)</f>
        <v>3104</v>
      </c>
      <c r="AT86" s="212"/>
      <c r="AU86" s="207"/>
      <c r="AV86" s="211">
        <f>VLOOKUP(AV84,Check[],6,FALSE)</f>
        <v>3105</v>
      </c>
      <c r="AW86" s="202"/>
      <c r="AX86" s="193">
        <f>VLOOKUP(AX84,Check[],6,FALSE)</f>
        <v>3106</v>
      </c>
      <c r="AY86" s="211">
        <f>VLOOKUP(AY84,Check[],6,FALSE)</f>
        <v>3107</v>
      </c>
      <c r="AZ86" s="212"/>
      <c r="BA86" s="207"/>
      <c r="BB86" s="211">
        <f>VLOOKUP(BB84,Check[],6,FALSE)</f>
        <v>3101</v>
      </c>
      <c r="BC86" s="216"/>
      <c r="BD86" s="218"/>
      <c r="BE86" s="203"/>
      <c r="BF86" s="203"/>
      <c r="BG86" s="218"/>
      <c r="BH86" s="1493"/>
      <c r="BI86" s="1493"/>
      <c r="BJ86" s="1493"/>
      <c r="BK86" s="205"/>
      <c r="BL86" s="366" t="s">
        <v>1</v>
      </c>
      <c r="BM86" s="355">
        <f t="shared" ref="BM86" si="602">BM90+3.48</f>
        <v>114.40000000000003</v>
      </c>
      <c r="BN86" s="1778"/>
      <c r="BP86" s="197" t="s">
        <v>1</v>
      </c>
    </row>
    <row r="87" spans="1:68" s="110" customFormat="1" ht="21.95" customHeight="1" thickBot="1" x14ac:dyDescent="0.5">
      <c r="A87" s="1711"/>
      <c r="B87" s="331" t="str">
        <f t="shared" ref="B87" si="603">_xlfn.CONCAT("קומה ",B88)</f>
        <v>קומה 30</v>
      </c>
      <c r="C87" s="281" t="s">
        <v>0</v>
      </c>
      <c r="D87" s="117"/>
      <c r="E87" s="1494"/>
      <c r="F87" s="1494"/>
      <c r="G87" s="1494"/>
      <c r="H87" s="116"/>
      <c r="I87" s="116"/>
      <c r="J87" s="116"/>
      <c r="K87" s="116"/>
      <c r="L87" s="104">
        <f t="shared" ref="L87" si="604">L91+7</f>
        <v>235</v>
      </c>
      <c r="M87" s="112"/>
      <c r="N87" s="112">
        <f t="shared" ref="N87" si="605">N91+7</f>
        <v>236</v>
      </c>
      <c r="O87" s="112"/>
      <c r="P87" s="159">
        <f t="shared" ref="P87:Q87" si="606">P91+7</f>
        <v>237</v>
      </c>
      <c r="Q87" s="112">
        <f t="shared" si="606"/>
        <v>238</v>
      </c>
      <c r="R87" s="112"/>
      <c r="S87" s="112">
        <f t="shared" ref="S87" si="607">S91+7</f>
        <v>239</v>
      </c>
      <c r="T87" s="112"/>
      <c r="U87" s="106"/>
      <c r="V87" s="112">
        <f t="shared" ref="V87" si="608">V91+7</f>
        <v>240</v>
      </c>
      <c r="W87" s="112"/>
      <c r="X87" s="112"/>
      <c r="Y87" s="112">
        <f t="shared" ref="Y87" si="609">Y91+7</f>
        <v>241</v>
      </c>
      <c r="Z87" s="121"/>
      <c r="AA87" s="121"/>
      <c r="AB87" s="107"/>
      <c r="AC87" s="127" t="s">
        <v>5</v>
      </c>
      <c r="AD87" s="128">
        <f>COUNTIF(Check[סימון],("V."&amp;"*"&amp;$AC87&amp;"."&amp;AD$5&amp;"*"))</f>
        <v>0</v>
      </c>
      <c r="AE87" s="129">
        <f>COUNTIF(Check[סימון],("S."&amp;"*"&amp;$AC87&amp;"."&amp;AE$5&amp;"*"))</f>
        <v>0</v>
      </c>
      <c r="AF87" s="130">
        <f>COUNTIF(Check[סימון],("O."&amp;"*"&amp;$AC87&amp;"."&amp;AF$5&amp;"*"))</f>
        <v>1</v>
      </c>
      <c r="AG87" s="131">
        <f>SUM(AD87:AF87)</f>
        <v>1</v>
      </c>
      <c r="AH87" s="132">
        <f>SUM(AI87,AG87)</f>
        <v>2</v>
      </c>
      <c r="AI87" s="133">
        <f>SUM(AJ87:AL87)</f>
        <v>1</v>
      </c>
      <c r="AJ87" s="134">
        <f>COUNTIF(Check[סימון],("O."&amp;"*"&amp;$AC87&amp;"."&amp;AJ$5&amp;"*"))</f>
        <v>0</v>
      </c>
      <c r="AK87" s="129">
        <f>COUNTIF(Check[סימון],("S."&amp;"*"&amp;$AC87&amp;"."&amp;AK$5&amp;"*"))</f>
        <v>1</v>
      </c>
      <c r="AL87" s="135">
        <f>COUNTIF(Check[סימון],("V."&amp;"*"&amp;$AC87&amp;"."&amp;AL$5&amp;"*"))</f>
        <v>0</v>
      </c>
      <c r="AM87" s="136" t="s">
        <v>5</v>
      </c>
      <c r="AN87" s="137"/>
      <c r="AO87" s="114">
        <f t="shared" ref="AO87" si="610">AO91+7</f>
        <v>232</v>
      </c>
      <c r="AP87" s="115"/>
      <c r="AQ87" s="123">
        <f t="shared" ref="AQ87" si="611">AQ91+7</f>
        <v>233</v>
      </c>
      <c r="AR87" s="115"/>
      <c r="AS87" s="123">
        <f t="shared" ref="AS87" si="612">AS91+7</f>
        <v>234</v>
      </c>
      <c r="AT87" s="105"/>
      <c r="AU87" s="115"/>
      <c r="AV87" s="123">
        <f t="shared" ref="AV87" si="613">AV91+7</f>
        <v>235</v>
      </c>
      <c r="AW87" s="115"/>
      <c r="AX87" s="159">
        <f t="shared" ref="AX87:AY87" si="614">AX91+7</f>
        <v>229</v>
      </c>
      <c r="AY87" s="123">
        <f t="shared" si="614"/>
        <v>230</v>
      </c>
      <c r="AZ87" s="105"/>
      <c r="BA87" s="115"/>
      <c r="BB87" s="123">
        <f t="shared" ref="BB87" si="615">BB91+7</f>
        <v>231</v>
      </c>
      <c r="BC87" s="160"/>
      <c r="BD87" s="163"/>
      <c r="BE87" s="116"/>
      <c r="BF87" s="116"/>
      <c r="BG87" s="163"/>
      <c r="BH87" s="1494"/>
      <c r="BI87" s="1494"/>
      <c r="BJ87" s="1494"/>
      <c r="BK87" s="119"/>
      <c r="BL87" s="364" t="s">
        <v>0</v>
      </c>
      <c r="BM87" s="352" t="str">
        <f t="shared" ref="BM87" si="616">_xlfn.CONCAT("קומה ",BM88)</f>
        <v>קומה 30</v>
      </c>
      <c r="BN87" s="1777"/>
      <c r="BP87" s="111" t="s">
        <v>0</v>
      </c>
    </row>
    <row r="88" spans="1:68" s="52" customFormat="1" ht="9.9499999999999993" hidden="1" customHeight="1" thickBot="1" x14ac:dyDescent="0.25">
      <c r="A88" s="1711"/>
      <c r="B88" s="332">
        <f t="shared" ref="B88" si="617">B92+1</f>
        <v>30</v>
      </c>
      <c r="C88" s="281" t="s">
        <v>89</v>
      </c>
      <c r="D88" s="56"/>
      <c r="E88" s="1495"/>
      <c r="F88" s="1495"/>
      <c r="G88" s="1495"/>
      <c r="H88" s="55"/>
      <c r="I88" s="55"/>
      <c r="J88" s="55"/>
      <c r="K88" s="55"/>
      <c r="L88" s="66" t="str">
        <f>VLOOKUP("*"&amp;L$5&amp;".Ap."&amp;L87,Check[],1,FALSE)</f>
        <v>O.S.3F.TS.Ap.235</v>
      </c>
      <c r="M88" s="64" t="str">
        <f t="shared" ref="M88" si="618">L88</f>
        <v>O.S.3F.TS.Ap.235</v>
      </c>
      <c r="N88" s="64" t="str">
        <f>VLOOKUP("*"&amp;N$5&amp;".Ap."&amp;N87,Check[],1,FALSE)</f>
        <v>V.GMS.S.3G.TS.Ap.236</v>
      </c>
      <c r="O88" s="64" t="str">
        <f t="shared" ref="O88" si="619">N88</f>
        <v>V.GMS.S.3G.TS.Ap.236</v>
      </c>
      <c r="P88" s="64" t="str">
        <f>VLOOKUP("*"&amp;P$5&amp;".Ap."&amp;P87,Check[],1,FALSE)</f>
        <v>V.GMS.S.3A.TS.Ap.237</v>
      </c>
      <c r="Q88" s="64" t="str">
        <f>VLOOKUP("*"&amp;Q$5&amp;".Ap."&amp;Q87,Check[],1,FALSE)</f>
        <v>S.S.2D.TS.Ap.238</v>
      </c>
      <c r="R88" s="64" t="str">
        <f t="shared" ref="R88" si="620">Q88</f>
        <v>S.S.2D.TS.Ap.238</v>
      </c>
      <c r="S88" s="64" t="str">
        <f>VLOOKUP("*"&amp;S$5&amp;".Ap."&amp;S87,Check[],1,FALSE)</f>
        <v>O.S.4C.TS.Ap.239</v>
      </c>
      <c r="T88" s="64" t="str">
        <f t="shared" ref="T88:U88" si="621">S88</f>
        <v>O.S.4C.TS.Ap.239</v>
      </c>
      <c r="U88" s="68" t="str">
        <f t="shared" si="621"/>
        <v>O.S.4C.TS.Ap.239</v>
      </c>
      <c r="V88" s="64" t="str">
        <f>VLOOKUP("*"&amp;V$5&amp;".Ap."&amp;V87,Check[],1,FALSE)</f>
        <v>V.GM.S.5A.TS.Ap.240</v>
      </c>
      <c r="W88" s="64" t="str">
        <f t="shared" ref="W88" si="622">V88</f>
        <v>V.GM.S.5A.TS.Ap.240</v>
      </c>
      <c r="X88" s="64" t="str">
        <f t="shared" ref="X88" si="623">V88</f>
        <v>V.GM.S.5A.TS.Ap.240</v>
      </c>
      <c r="Y88" s="64" t="str">
        <f>VLOOKUP("*"&amp;Y$5&amp;".Ap."&amp;Y87,Check[],1,FALSE)</f>
        <v>V.GMC.S.5B.TS.Ap.241</v>
      </c>
      <c r="Z88" s="65" t="str">
        <f t="shared" ref="Z88" si="624">Y88</f>
        <v>V.GMC.S.5B.TS.Ap.241</v>
      </c>
      <c r="AA88" s="65" t="str">
        <f t="shared" ref="AA88" si="625">Y88</f>
        <v>V.GMC.S.5B.TS.Ap.241</v>
      </c>
      <c r="AB88" s="50"/>
      <c r="AC88" s="314"/>
      <c r="AD88" s="87"/>
      <c r="AE88" s="88"/>
      <c r="AF88" s="86"/>
      <c r="AG88" s="83"/>
      <c r="AH88" s="84"/>
      <c r="AI88" s="85"/>
      <c r="AJ88" s="87"/>
      <c r="AK88" s="88"/>
      <c r="AL88" s="86"/>
      <c r="AM88" s="315"/>
      <c r="AN88" s="61"/>
      <c r="AO88" s="71" t="str">
        <f>VLOOKUP("*"&amp;AO$5&amp;".Ap."&amp;AO87,Check[],1,FALSE)</f>
        <v>V.GMS.S.5B.TN.Ap.232</v>
      </c>
      <c r="AP88" s="68" t="str">
        <f t="shared" ref="AP88" si="626">AO88</f>
        <v>V.GMS.S.5B.TN.Ap.232</v>
      </c>
      <c r="AQ88" s="72" t="str">
        <f>VLOOKUP("*"&amp;AQ$5&amp;".Ap."&amp;AQ87,Check[],1,FALSE)</f>
        <v>O.S.5A.TN.Ap.233</v>
      </c>
      <c r="AR88" s="68" t="str">
        <f t="shared" ref="AR88" si="627">AQ88</f>
        <v>O.S.5A.TN.Ap.233</v>
      </c>
      <c r="AS88" s="72" t="str">
        <f>VLOOKUP("*"&amp;AS$5&amp;".Ap."&amp;AS87,Check[],1,FALSE)</f>
        <v>O.S.4C.TN.Ap.234</v>
      </c>
      <c r="AT88" s="67" t="str">
        <f t="shared" ref="AT88" si="628">AS88</f>
        <v>O.S.4C.TN.Ap.234</v>
      </c>
      <c r="AU88" s="68" t="str">
        <f t="shared" ref="AU88" si="629">AT88</f>
        <v>O.S.4C.TN.Ap.234</v>
      </c>
      <c r="AV88" s="72" t="str">
        <f>VLOOKUP("*"&amp;AV$5&amp;".Ap."&amp;AV87,Check[],1,FALSE)</f>
        <v>S.S.2D.TN.Ap.235</v>
      </c>
      <c r="AW88" s="68" t="str">
        <f t="shared" ref="AW88" si="630">AV88</f>
        <v>S.S.2D.TN.Ap.235</v>
      </c>
      <c r="AX88" s="64" t="str">
        <f>VLOOKUP("*"&amp;AX$5&amp;".Ap."&amp;AX87,Check[],1,FALSE)</f>
        <v>S.S.3A.TN.Ap.229</v>
      </c>
      <c r="AY88" s="72" t="str">
        <f>VLOOKUP("*"&amp;AY$5&amp;".Ap."&amp;AY87,Check[],1,FALSE)</f>
        <v>S.S.3G.TN.Ap.230</v>
      </c>
      <c r="AZ88" s="67" t="str">
        <f t="shared" ref="AZ88" si="631">AY88</f>
        <v>S.S.3G.TN.Ap.230</v>
      </c>
      <c r="BA88" s="68" t="str">
        <f t="shared" ref="BA88" si="632">AZ88</f>
        <v>S.S.3G.TN.Ap.230</v>
      </c>
      <c r="BB88" s="72" t="str">
        <f>VLOOKUP("*"&amp;BB$5&amp;".Ap."&amp;BB87,Check[],1,FALSE)</f>
        <v>V.GMS.S.3F.TN.Ap.231</v>
      </c>
      <c r="BC88" s="73" t="str">
        <f t="shared" ref="BC88" si="633">BB88</f>
        <v>V.GMS.S.3F.TN.Ap.231</v>
      </c>
      <c r="BD88" s="62"/>
      <c r="BE88" s="55"/>
      <c r="BF88" s="55"/>
      <c r="BG88" s="62"/>
      <c r="BH88" s="1495"/>
      <c r="BI88" s="1495"/>
      <c r="BJ88" s="1495"/>
      <c r="BK88" s="57"/>
      <c r="BL88" s="364" t="s">
        <v>89</v>
      </c>
      <c r="BM88" s="353">
        <f t="shared" ref="BM88" si="634">BM92+1</f>
        <v>30</v>
      </c>
      <c r="BN88" s="1777"/>
      <c r="BP88" s="53" t="s">
        <v>89</v>
      </c>
    </row>
    <row r="89" spans="1:68" s="8" customFormat="1" ht="12" customHeight="1" thickTop="1" x14ac:dyDescent="0.3">
      <c r="A89" s="1711"/>
      <c r="B89" s="333"/>
      <c r="C89" s="282" t="s">
        <v>65</v>
      </c>
      <c r="D89" s="25"/>
      <c r="E89" s="1495"/>
      <c r="F89" s="1495"/>
      <c r="G89" s="1495"/>
      <c r="H89" s="21"/>
      <c r="I89" s="21"/>
      <c r="J89" s="21"/>
      <c r="K89" s="21"/>
      <c r="L89" s="230">
        <f>VLOOKUP(L88,Check[],5,FALSE)</f>
        <v>235</v>
      </c>
      <c r="M89" s="237"/>
      <c r="N89" s="237">
        <f>VLOOKUP(N88,Check[],5,FALSE)</f>
        <v>236</v>
      </c>
      <c r="O89" s="237"/>
      <c r="P89" s="248">
        <f>VLOOKUP(P88,Check[],5,FALSE)</f>
        <v>237</v>
      </c>
      <c r="Q89" s="237">
        <f>VLOOKUP(Q88,Check[],5,FALSE)</f>
        <v>238</v>
      </c>
      <c r="R89" s="237"/>
      <c r="S89" s="237">
        <f>VLOOKUP(S88,Check[],5,FALSE)</f>
        <v>239</v>
      </c>
      <c r="T89" s="237"/>
      <c r="U89" s="232"/>
      <c r="V89" s="237">
        <f>VLOOKUP(V88,Check[],5,FALSE)</f>
        <v>240</v>
      </c>
      <c r="W89" s="237"/>
      <c r="X89" s="237"/>
      <c r="Y89" s="237">
        <f>VLOOKUP(Y88,Check[],5,FALSE)</f>
        <v>241</v>
      </c>
      <c r="Z89" s="233"/>
      <c r="AA89" s="233"/>
      <c r="AB89" s="19"/>
      <c r="AC89" s="1870" t="s">
        <v>64</v>
      </c>
      <c r="AD89" s="1872">
        <f t="shared" ref="AD89:AL89" si="635">SUM(AD27:AD87)</f>
        <v>83</v>
      </c>
      <c r="AE89" s="1874">
        <f t="shared" si="635"/>
        <v>142</v>
      </c>
      <c r="AF89" s="1876">
        <f t="shared" si="635"/>
        <v>104</v>
      </c>
      <c r="AG89" s="1878">
        <f t="shared" si="635"/>
        <v>329</v>
      </c>
      <c r="AH89" s="1880">
        <f t="shared" si="635"/>
        <v>658</v>
      </c>
      <c r="AI89" s="1882">
        <f t="shared" si="635"/>
        <v>329</v>
      </c>
      <c r="AJ89" s="1884">
        <f t="shared" si="635"/>
        <v>53</v>
      </c>
      <c r="AK89" s="1874">
        <f t="shared" si="635"/>
        <v>226</v>
      </c>
      <c r="AL89" s="1886">
        <f t="shared" si="635"/>
        <v>50</v>
      </c>
      <c r="AM89" s="1888" t="s">
        <v>64</v>
      </c>
      <c r="AN89" s="247"/>
      <c r="AO89" s="239">
        <f>VLOOKUP(AO88,Check[],5,FALSE)</f>
        <v>232</v>
      </c>
      <c r="AP89" s="240"/>
      <c r="AQ89" s="243">
        <f>VLOOKUP(AQ88,Check[],5,FALSE)</f>
        <v>233</v>
      </c>
      <c r="AR89" s="240"/>
      <c r="AS89" s="243">
        <f>VLOOKUP(AS88,Check[],5,FALSE)</f>
        <v>234</v>
      </c>
      <c r="AT89" s="244"/>
      <c r="AU89" s="242"/>
      <c r="AV89" s="243">
        <f>VLOOKUP(AV88,Check[],5,FALSE)</f>
        <v>235</v>
      </c>
      <c r="AW89" s="240"/>
      <c r="AX89" s="248">
        <f>VLOOKUP(AX88,Check[],5,FALSE)</f>
        <v>229</v>
      </c>
      <c r="AY89" s="243">
        <f>VLOOKUP(AY88,Check[],5,FALSE)</f>
        <v>230</v>
      </c>
      <c r="AZ89" s="244"/>
      <c r="BA89" s="242"/>
      <c r="BB89" s="243">
        <f>VLOOKUP(BB88,Check[],5,FALSE)</f>
        <v>231</v>
      </c>
      <c r="BC89" s="249"/>
      <c r="BD89" s="37"/>
      <c r="BE89" s="21"/>
      <c r="BF89" s="21"/>
      <c r="BG89" s="37"/>
      <c r="BH89" s="1495"/>
      <c r="BI89" s="1495"/>
      <c r="BJ89" s="1495"/>
      <c r="BK89" s="31"/>
      <c r="BL89" s="365" t="s">
        <v>65</v>
      </c>
      <c r="BM89" s="354"/>
      <c r="BN89" s="1777"/>
      <c r="BP89" s="236" t="s">
        <v>1078</v>
      </c>
    </row>
    <row r="90" spans="1:68" s="196" customFormat="1" ht="15" customHeight="1" thickBot="1" x14ac:dyDescent="0.4">
      <c r="A90" s="1712"/>
      <c r="B90" s="198">
        <f t="shared" ref="B90" si="636">B94+3.48</f>
        <v>110.92000000000003</v>
      </c>
      <c r="C90" s="283" t="s">
        <v>1</v>
      </c>
      <c r="D90" s="204"/>
      <c r="E90" s="1496"/>
      <c r="F90" s="1496"/>
      <c r="G90" s="1496"/>
      <c r="H90" s="203"/>
      <c r="I90" s="203"/>
      <c r="J90" s="203"/>
      <c r="K90" s="203"/>
      <c r="L90" s="188">
        <f>VLOOKUP(L88,Check[],6,FALSE)</f>
        <v>3001</v>
      </c>
      <c r="M90" s="199"/>
      <c r="N90" s="199">
        <f>VLOOKUP(N88,Check[],6,FALSE)</f>
        <v>3002</v>
      </c>
      <c r="O90" s="199"/>
      <c r="P90" s="193">
        <f>VLOOKUP(P88,Check[],6,FALSE)</f>
        <v>3003</v>
      </c>
      <c r="Q90" s="199">
        <f>VLOOKUP(Q88,Check[],6,FALSE)</f>
        <v>3004</v>
      </c>
      <c r="R90" s="199"/>
      <c r="S90" s="199">
        <f>VLOOKUP(S88,Check[],6,FALSE)</f>
        <v>3005</v>
      </c>
      <c r="T90" s="199"/>
      <c r="U90" s="190"/>
      <c r="V90" s="199">
        <f>VLOOKUP(V88,Check[],6,FALSE)</f>
        <v>3006</v>
      </c>
      <c r="W90" s="199"/>
      <c r="X90" s="199"/>
      <c r="Y90" s="199">
        <f>VLOOKUP(Y88,Check[],6,FALSE)</f>
        <v>3007</v>
      </c>
      <c r="Z90" s="191"/>
      <c r="AA90" s="191"/>
      <c r="AB90" s="192"/>
      <c r="AC90" s="1871"/>
      <c r="AD90" s="1873"/>
      <c r="AE90" s="1875"/>
      <c r="AF90" s="1877"/>
      <c r="AG90" s="1879"/>
      <c r="AH90" s="1881"/>
      <c r="AI90" s="1883"/>
      <c r="AJ90" s="1885"/>
      <c r="AK90" s="1875"/>
      <c r="AL90" s="1887"/>
      <c r="AM90" s="1889"/>
      <c r="AN90" s="215"/>
      <c r="AO90" s="201">
        <f>VLOOKUP(AO88,Check[],6,FALSE)</f>
        <v>3002</v>
      </c>
      <c r="AP90" s="202"/>
      <c r="AQ90" s="211">
        <f>VLOOKUP(AQ88,Check[],6,FALSE)</f>
        <v>3003</v>
      </c>
      <c r="AR90" s="202"/>
      <c r="AS90" s="211">
        <f>VLOOKUP(AS88,Check[],6,FALSE)</f>
        <v>3004</v>
      </c>
      <c r="AT90" s="212"/>
      <c r="AU90" s="207"/>
      <c r="AV90" s="211">
        <f>VLOOKUP(AV88,Check[],6,FALSE)</f>
        <v>3005</v>
      </c>
      <c r="AW90" s="202"/>
      <c r="AX90" s="193">
        <f>VLOOKUP(AX88,Check[],6,FALSE)</f>
        <v>3006</v>
      </c>
      <c r="AY90" s="211">
        <f>VLOOKUP(AY88,Check[],6,FALSE)</f>
        <v>3007</v>
      </c>
      <c r="AZ90" s="212"/>
      <c r="BA90" s="207"/>
      <c r="BB90" s="211">
        <f>VLOOKUP(BB88,Check[],6,FALSE)</f>
        <v>3001</v>
      </c>
      <c r="BC90" s="216"/>
      <c r="BD90" s="218"/>
      <c r="BE90" s="203"/>
      <c r="BF90" s="203"/>
      <c r="BG90" s="218"/>
      <c r="BH90" s="1496"/>
      <c r="BI90" s="1496"/>
      <c r="BJ90" s="1496"/>
      <c r="BK90" s="205"/>
      <c r="BL90" s="366" t="s">
        <v>1</v>
      </c>
      <c r="BM90" s="355">
        <f t="shared" ref="BM90" si="637">BM94+3.48</f>
        <v>110.92000000000003</v>
      </c>
      <c r="BN90" s="1778"/>
      <c r="BP90" s="197" t="s">
        <v>1</v>
      </c>
    </row>
    <row r="91" spans="1:68" s="110" customFormat="1" ht="21.95" customHeight="1" thickTop="1" x14ac:dyDescent="0.45">
      <c r="A91" s="1711"/>
      <c r="B91" s="331" t="str">
        <f t="shared" ref="B91" si="638">_xlfn.CONCAT("קומה ",B92)</f>
        <v>קומה 29</v>
      </c>
      <c r="C91" s="281" t="s">
        <v>0</v>
      </c>
      <c r="D91" s="117"/>
      <c r="E91" s="1494"/>
      <c r="F91" s="1494"/>
      <c r="G91" s="1494"/>
      <c r="H91" s="116"/>
      <c r="I91" s="116"/>
      <c r="J91" s="116"/>
      <c r="K91" s="116"/>
      <c r="L91" s="104">
        <f t="shared" ref="L91" si="639">L95+7</f>
        <v>228</v>
      </c>
      <c r="M91" s="112"/>
      <c r="N91" s="112">
        <f t="shared" ref="N91" si="640">N95+7</f>
        <v>229</v>
      </c>
      <c r="O91" s="112"/>
      <c r="P91" s="159">
        <f t="shared" ref="P91:Q91" si="641">P95+7</f>
        <v>230</v>
      </c>
      <c r="Q91" s="112">
        <f t="shared" si="641"/>
        <v>231</v>
      </c>
      <c r="R91" s="112"/>
      <c r="S91" s="112">
        <f t="shared" ref="S91" si="642">S95+7</f>
        <v>232</v>
      </c>
      <c r="T91" s="112"/>
      <c r="U91" s="106"/>
      <c r="V91" s="112">
        <f t="shared" ref="V91" si="643">V95+7</f>
        <v>233</v>
      </c>
      <c r="W91" s="112"/>
      <c r="X91" s="112"/>
      <c r="Y91" s="112">
        <f t="shared" ref="Y91" si="644">Y95+7</f>
        <v>234</v>
      </c>
      <c r="Z91" s="121"/>
      <c r="AA91" s="121"/>
      <c r="AB91" s="164"/>
      <c r="AC91" s="1923"/>
      <c r="AD91" s="165"/>
      <c r="AE91" s="166"/>
      <c r="AF91" s="1914" t="s">
        <v>1085</v>
      </c>
      <c r="AG91" s="1915"/>
      <c r="AH91" s="167">
        <f>AJ89+AF89</f>
        <v>157</v>
      </c>
      <c r="AI91" s="168"/>
      <c r="AJ91" s="169"/>
      <c r="AK91" s="170"/>
      <c r="AL91" s="171"/>
      <c r="AM91" s="1920"/>
      <c r="AN91" s="137"/>
      <c r="AO91" s="114">
        <f t="shared" ref="AO91" si="645">AO95+7</f>
        <v>225</v>
      </c>
      <c r="AP91" s="115"/>
      <c r="AQ91" s="123">
        <f t="shared" ref="AQ91" si="646">AQ95+7</f>
        <v>226</v>
      </c>
      <c r="AR91" s="115"/>
      <c r="AS91" s="123">
        <f t="shared" ref="AS91" si="647">AS95+7</f>
        <v>227</v>
      </c>
      <c r="AT91" s="105"/>
      <c r="AU91" s="115"/>
      <c r="AV91" s="123">
        <f t="shared" ref="AV91" si="648">AV95+7</f>
        <v>228</v>
      </c>
      <c r="AW91" s="115"/>
      <c r="AX91" s="159">
        <f t="shared" ref="AX91:AY91" si="649">AX95+7</f>
        <v>222</v>
      </c>
      <c r="AY91" s="123">
        <f t="shared" si="649"/>
        <v>223</v>
      </c>
      <c r="AZ91" s="105"/>
      <c r="BA91" s="115"/>
      <c r="BB91" s="123">
        <f t="shared" ref="BB91" si="650">BB95+7</f>
        <v>224</v>
      </c>
      <c r="BC91" s="160"/>
      <c r="BD91" s="163"/>
      <c r="BE91" s="116"/>
      <c r="BF91" s="116"/>
      <c r="BG91" s="163"/>
      <c r="BH91" s="1494"/>
      <c r="BI91" s="1494"/>
      <c r="BJ91" s="1494"/>
      <c r="BK91" s="119"/>
      <c r="BL91" s="364" t="s">
        <v>0</v>
      </c>
      <c r="BM91" s="352" t="str">
        <f t="shared" ref="BM91" si="651">_xlfn.CONCAT("קומה ",BM92)</f>
        <v>קומה 29</v>
      </c>
      <c r="BN91" s="1777"/>
      <c r="BP91" s="111" t="s">
        <v>0</v>
      </c>
    </row>
    <row r="92" spans="1:68" s="52" customFormat="1" ht="9.9499999999999993" hidden="1" customHeight="1" x14ac:dyDescent="0.2">
      <c r="A92" s="1711"/>
      <c r="B92" s="332">
        <f t="shared" ref="B92" si="652">B96+1</f>
        <v>29</v>
      </c>
      <c r="C92" s="281" t="s">
        <v>89</v>
      </c>
      <c r="D92" s="56"/>
      <c r="E92" s="1495"/>
      <c r="F92" s="1495"/>
      <c r="G92" s="1495"/>
      <c r="H92" s="55"/>
      <c r="I92" s="55"/>
      <c r="J92" s="55"/>
      <c r="K92" s="55"/>
      <c r="L92" s="66" t="str">
        <f>VLOOKUP("*"&amp;L$5&amp;".Ap."&amp;L91,Check[],1,FALSE)</f>
        <v>S.S.3F.TS.Ap.228</v>
      </c>
      <c r="M92" s="64" t="str">
        <f t="shared" ref="M92" si="653">L92</f>
        <v>S.S.3F.TS.Ap.228</v>
      </c>
      <c r="N92" s="64" t="str">
        <f>VLOOKUP("*"&amp;N$5&amp;".Ap."&amp;N91,Check[],1,FALSE)</f>
        <v>V.GMS.S.3G.TS.Ap.229</v>
      </c>
      <c r="O92" s="64" t="str">
        <f t="shared" ref="O92" si="654">N92</f>
        <v>V.GMS.S.3G.TS.Ap.229</v>
      </c>
      <c r="P92" s="64" t="str">
        <f>VLOOKUP("*"&amp;P$5&amp;".Ap."&amp;P91,Check[],1,FALSE)</f>
        <v>V.GMC.S.3A.TS.Ap.230</v>
      </c>
      <c r="Q92" s="64" t="str">
        <f>VLOOKUP("*"&amp;Q$5&amp;".Ap."&amp;Q91,Check[],1,FALSE)</f>
        <v>S.S.2D.TS.Ap.231</v>
      </c>
      <c r="R92" s="64" t="str">
        <f t="shared" ref="R92" si="655">Q92</f>
        <v>S.S.2D.TS.Ap.231</v>
      </c>
      <c r="S92" s="64" t="str">
        <f>VLOOKUP("*"&amp;S$5&amp;".Ap."&amp;S91,Check[],1,FALSE)</f>
        <v>O.S.4C.TS.Ap.232</v>
      </c>
      <c r="T92" s="64" t="str">
        <f t="shared" ref="T92:U92" si="656">S92</f>
        <v>O.S.4C.TS.Ap.232</v>
      </c>
      <c r="U92" s="68" t="str">
        <f t="shared" si="656"/>
        <v>O.S.4C.TS.Ap.232</v>
      </c>
      <c r="V92" s="64" t="str">
        <f>VLOOKUP("*"&amp;V$5&amp;".Ap."&amp;V91,Check[],1,FALSE)</f>
        <v>O.S.5A.TS.Ap.233</v>
      </c>
      <c r="W92" s="64" t="str">
        <f t="shared" ref="W92" si="657">V92</f>
        <v>O.S.5A.TS.Ap.233</v>
      </c>
      <c r="X92" s="64" t="str">
        <f t="shared" ref="X92" si="658">V92</f>
        <v>O.S.5A.TS.Ap.233</v>
      </c>
      <c r="Y92" s="64" t="str">
        <f>VLOOKUP("*"&amp;Y$5&amp;".Ap."&amp;Y91,Check[],1,FALSE)</f>
        <v>V.GMC.S.5B.TS.Ap.234</v>
      </c>
      <c r="Z92" s="65" t="str">
        <f t="shared" ref="Z92" si="659">Y92</f>
        <v>V.GMC.S.5B.TS.Ap.234</v>
      </c>
      <c r="AA92" s="65" t="str">
        <f t="shared" ref="AA92" si="660">Y92</f>
        <v>V.GMC.S.5B.TS.Ap.234</v>
      </c>
      <c r="AB92" s="91"/>
      <c r="AC92" s="1924"/>
      <c r="AD92" s="89"/>
      <c r="AE92" s="83"/>
      <c r="AF92" s="82"/>
      <c r="AG92" s="92"/>
      <c r="AH92" s="316"/>
      <c r="AI92" s="83"/>
      <c r="AJ92" s="83"/>
      <c r="AK92" s="95"/>
      <c r="AL92" s="90"/>
      <c r="AM92" s="1921"/>
      <c r="AN92" s="61"/>
      <c r="AO92" s="71" t="str">
        <f>VLOOKUP("*"&amp;AO$5&amp;".Ap."&amp;AO91,Check[],1,FALSE)</f>
        <v>V.GMC.S.5B.TN.Ap.225</v>
      </c>
      <c r="AP92" s="68" t="str">
        <f t="shared" ref="AP92" si="661">AO92</f>
        <v>V.GMC.S.5B.TN.Ap.225</v>
      </c>
      <c r="AQ92" s="72" t="str">
        <f>VLOOKUP("*"&amp;AQ$5&amp;".Ap."&amp;AQ91,Check[],1,FALSE)</f>
        <v>S.S.5A.TN.Ap.226</v>
      </c>
      <c r="AR92" s="68" t="str">
        <f t="shared" ref="AR92" si="662">AQ92</f>
        <v>S.S.5A.TN.Ap.226</v>
      </c>
      <c r="AS92" s="72" t="str">
        <f>VLOOKUP("*"&amp;AS$5&amp;".Ap."&amp;AS91,Check[],1,FALSE)</f>
        <v>S.S.4C.TN.Ap.227</v>
      </c>
      <c r="AT92" s="67" t="str">
        <f t="shared" ref="AT92" si="663">AS92</f>
        <v>S.S.4C.TN.Ap.227</v>
      </c>
      <c r="AU92" s="68" t="str">
        <f t="shared" ref="AU92" si="664">AT92</f>
        <v>S.S.4C.TN.Ap.227</v>
      </c>
      <c r="AV92" s="72" t="str">
        <f>VLOOKUP("*"&amp;AV$5&amp;".Ap."&amp;AV91,Check[],1,FALSE)</f>
        <v>S.S.2D.TN.Ap.228</v>
      </c>
      <c r="AW92" s="68" t="str">
        <f t="shared" ref="AW92" si="665">AV92</f>
        <v>S.S.2D.TN.Ap.228</v>
      </c>
      <c r="AX92" s="64" t="str">
        <f>VLOOKUP("*"&amp;AX$5&amp;".Ap."&amp;AX91,Check[],1,FALSE)</f>
        <v>V.GMS.S.3A.TN.Ap.222</v>
      </c>
      <c r="AY92" s="72" t="str">
        <f>VLOOKUP("*"&amp;AY$5&amp;".Ap."&amp;AY91,Check[],1,FALSE)</f>
        <v>V.GMS.S.3G.TN.Ap.223</v>
      </c>
      <c r="AZ92" s="67" t="str">
        <f t="shared" ref="AZ92" si="666">AY92</f>
        <v>V.GMS.S.3G.TN.Ap.223</v>
      </c>
      <c r="BA92" s="68" t="str">
        <f t="shared" ref="BA92" si="667">AZ92</f>
        <v>V.GMS.S.3G.TN.Ap.223</v>
      </c>
      <c r="BB92" s="72" t="str">
        <f>VLOOKUP("*"&amp;BB$5&amp;".Ap."&amp;BB91,Check[],1,FALSE)</f>
        <v>V.GMS.S.3F.TN.Ap.224</v>
      </c>
      <c r="BC92" s="73" t="str">
        <f t="shared" ref="BC92" si="668">BB92</f>
        <v>V.GMS.S.3F.TN.Ap.224</v>
      </c>
      <c r="BD92" s="62"/>
      <c r="BE92" s="55"/>
      <c r="BF92" s="55"/>
      <c r="BG92" s="62"/>
      <c r="BH92" s="1495"/>
      <c r="BI92" s="1495"/>
      <c r="BJ92" s="1495"/>
      <c r="BK92" s="57"/>
      <c r="BL92" s="364" t="s">
        <v>89</v>
      </c>
      <c r="BM92" s="353">
        <f t="shared" ref="BM92" si="669">BM96+1</f>
        <v>29</v>
      </c>
      <c r="BN92" s="1777"/>
      <c r="BP92" s="53" t="s">
        <v>89</v>
      </c>
    </row>
    <row r="93" spans="1:68" s="8" customFormat="1" ht="12" customHeight="1" x14ac:dyDescent="0.3">
      <c r="A93" s="1711"/>
      <c r="B93" s="333"/>
      <c r="C93" s="282" t="s">
        <v>65</v>
      </c>
      <c r="D93" s="25"/>
      <c r="E93" s="1495"/>
      <c r="F93" s="1495"/>
      <c r="G93" s="1495"/>
      <c r="H93" s="21"/>
      <c r="I93" s="21"/>
      <c r="J93" s="21"/>
      <c r="K93" s="21"/>
      <c r="L93" s="230">
        <f>VLOOKUP(L92,Check[],5,FALSE)</f>
        <v>228</v>
      </c>
      <c r="M93" s="237"/>
      <c r="N93" s="237">
        <f>VLOOKUP(N92,Check[],5,FALSE)</f>
        <v>229</v>
      </c>
      <c r="O93" s="237"/>
      <c r="P93" s="248">
        <f>VLOOKUP(P92,Check[],5,FALSE)</f>
        <v>230</v>
      </c>
      <c r="Q93" s="237">
        <f>VLOOKUP(Q92,Check[],5,FALSE)</f>
        <v>231</v>
      </c>
      <c r="R93" s="237"/>
      <c r="S93" s="237">
        <f>VLOOKUP(S92,Check[],5,FALSE)</f>
        <v>232</v>
      </c>
      <c r="T93" s="237"/>
      <c r="U93" s="232"/>
      <c r="V93" s="237">
        <f>VLOOKUP(V92,Check[],5,FALSE)</f>
        <v>233</v>
      </c>
      <c r="W93" s="237"/>
      <c r="X93" s="237"/>
      <c r="Y93" s="237">
        <f>VLOOKUP(Y92,Check[],5,FALSE)</f>
        <v>234</v>
      </c>
      <c r="Z93" s="233"/>
      <c r="AA93" s="233"/>
      <c r="AB93" s="251"/>
      <c r="AC93" s="1924"/>
      <c r="AD93" s="252"/>
      <c r="AE93" s="253"/>
      <c r="AF93" s="1916" t="s">
        <v>1086</v>
      </c>
      <c r="AG93" s="1917"/>
      <c r="AH93" s="1489">
        <f>AK89+AE89</f>
        <v>368</v>
      </c>
      <c r="AI93" s="254"/>
      <c r="AJ93" s="253"/>
      <c r="AK93" s="255"/>
      <c r="AL93" s="256"/>
      <c r="AM93" s="1921"/>
      <c r="AN93" s="247"/>
      <c r="AO93" s="239">
        <f>VLOOKUP(AO92,Check[],5,FALSE)</f>
        <v>225</v>
      </c>
      <c r="AP93" s="240"/>
      <c r="AQ93" s="243">
        <f>VLOOKUP(AQ92,Check[],5,FALSE)</f>
        <v>226</v>
      </c>
      <c r="AR93" s="240"/>
      <c r="AS93" s="243">
        <f>VLOOKUP(AS92,Check[],5,FALSE)</f>
        <v>227</v>
      </c>
      <c r="AT93" s="244"/>
      <c r="AU93" s="242"/>
      <c r="AV93" s="243">
        <f>VLOOKUP(AV92,Check[],5,FALSE)</f>
        <v>228</v>
      </c>
      <c r="AW93" s="240"/>
      <c r="AX93" s="248">
        <f>VLOOKUP(AX92,Check[],5,FALSE)</f>
        <v>222</v>
      </c>
      <c r="AY93" s="243">
        <f>VLOOKUP(AY92,Check[],5,FALSE)</f>
        <v>223</v>
      </c>
      <c r="AZ93" s="244"/>
      <c r="BA93" s="242"/>
      <c r="BB93" s="243">
        <f>VLOOKUP(BB92,Check[],5,FALSE)</f>
        <v>224</v>
      </c>
      <c r="BC93" s="249"/>
      <c r="BD93" s="37"/>
      <c r="BE93" s="21"/>
      <c r="BF93" s="21"/>
      <c r="BG93" s="37"/>
      <c r="BH93" s="1495"/>
      <c r="BI93" s="1495"/>
      <c r="BJ93" s="1495"/>
      <c r="BK93" s="31"/>
      <c r="BL93" s="365" t="s">
        <v>65</v>
      </c>
      <c r="BM93" s="354"/>
      <c r="BN93" s="1777"/>
      <c r="BP93" s="236" t="s">
        <v>1078</v>
      </c>
    </row>
    <row r="94" spans="1:68" s="196" customFormat="1" ht="15" customHeight="1" thickBot="1" x14ac:dyDescent="0.4">
      <c r="A94" s="1712"/>
      <c r="B94" s="198">
        <f t="shared" ref="B94" si="670">B98+3.48</f>
        <v>107.44000000000003</v>
      </c>
      <c r="C94" s="283" t="s">
        <v>1</v>
      </c>
      <c r="D94" s="204"/>
      <c r="E94" s="1496"/>
      <c r="F94" s="1496"/>
      <c r="G94" s="1496"/>
      <c r="H94" s="203"/>
      <c r="I94" s="203"/>
      <c r="J94" s="203"/>
      <c r="K94" s="203"/>
      <c r="L94" s="188">
        <f>VLOOKUP(L92,Check[],6,FALSE)</f>
        <v>2901</v>
      </c>
      <c r="M94" s="199"/>
      <c r="N94" s="199">
        <f>VLOOKUP(N92,Check[],6,FALSE)</f>
        <v>2902</v>
      </c>
      <c r="O94" s="199"/>
      <c r="P94" s="193">
        <f>VLOOKUP(P92,Check[],6,FALSE)</f>
        <v>2903</v>
      </c>
      <c r="Q94" s="199">
        <f>VLOOKUP(Q92,Check[],6,FALSE)</f>
        <v>2904</v>
      </c>
      <c r="R94" s="199"/>
      <c r="S94" s="199">
        <f>VLOOKUP(S92,Check[],6,FALSE)</f>
        <v>2905</v>
      </c>
      <c r="T94" s="199"/>
      <c r="U94" s="190"/>
      <c r="V94" s="199">
        <f>VLOOKUP(V92,Check[],6,FALSE)</f>
        <v>2906</v>
      </c>
      <c r="W94" s="199"/>
      <c r="X94" s="199"/>
      <c r="Y94" s="199">
        <f>VLOOKUP(Y92,Check[],6,FALSE)</f>
        <v>2907</v>
      </c>
      <c r="Z94" s="191"/>
      <c r="AA94" s="191"/>
      <c r="AB94" s="219"/>
      <c r="AC94" s="1924"/>
      <c r="AD94" s="89"/>
      <c r="AE94" s="93"/>
      <c r="AF94" s="1918"/>
      <c r="AG94" s="1919"/>
      <c r="AH94" s="1490"/>
      <c r="AI94" s="94"/>
      <c r="AJ94" s="93"/>
      <c r="AK94" s="96"/>
      <c r="AL94" s="90"/>
      <c r="AM94" s="1921"/>
      <c r="AN94" s="215"/>
      <c r="AO94" s="201">
        <f>VLOOKUP(AO92,Check[],6,FALSE)</f>
        <v>2902</v>
      </c>
      <c r="AP94" s="202"/>
      <c r="AQ94" s="211">
        <f>VLOOKUP(AQ92,Check[],6,FALSE)</f>
        <v>2903</v>
      </c>
      <c r="AR94" s="202"/>
      <c r="AS94" s="211">
        <f>VLOOKUP(AS92,Check[],6,FALSE)</f>
        <v>2904</v>
      </c>
      <c r="AT94" s="212"/>
      <c r="AU94" s="207"/>
      <c r="AV94" s="211">
        <f>VLOOKUP(AV92,Check[],6,FALSE)</f>
        <v>2905</v>
      </c>
      <c r="AW94" s="202"/>
      <c r="AX94" s="193">
        <f>VLOOKUP(AX92,Check[],6,FALSE)</f>
        <v>2906</v>
      </c>
      <c r="AY94" s="211">
        <f>VLOOKUP(AY92,Check[],6,FALSE)</f>
        <v>2907</v>
      </c>
      <c r="AZ94" s="212"/>
      <c r="BA94" s="207"/>
      <c r="BB94" s="211">
        <f>VLOOKUP(BB92,Check[],6,FALSE)</f>
        <v>2901</v>
      </c>
      <c r="BC94" s="216"/>
      <c r="BD94" s="218"/>
      <c r="BE94" s="203"/>
      <c r="BF94" s="203"/>
      <c r="BG94" s="218"/>
      <c r="BH94" s="1496"/>
      <c r="BI94" s="1496"/>
      <c r="BJ94" s="1496"/>
      <c r="BK94" s="205"/>
      <c r="BL94" s="366" t="s">
        <v>1</v>
      </c>
      <c r="BM94" s="355">
        <f t="shared" ref="BM94" si="671">BM98+3.48</f>
        <v>107.44000000000003</v>
      </c>
      <c r="BN94" s="1778"/>
      <c r="BP94" s="197" t="s">
        <v>1</v>
      </c>
    </row>
    <row r="95" spans="1:68" s="110" customFormat="1" ht="21.95" customHeight="1" thickBot="1" x14ac:dyDescent="0.5">
      <c r="A95" s="1711"/>
      <c r="B95" s="331" t="str">
        <f t="shared" ref="B95" si="672">_xlfn.CONCAT("קומה ",B96)</f>
        <v>קומה 28</v>
      </c>
      <c r="C95" s="281" t="s">
        <v>0</v>
      </c>
      <c r="D95" s="117"/>
      <c r="E95" s="1491" t="s">
        <v>1076</v>
      </c>
      <c r="F95" s="1491" t="s">
        <v>1076</v>
      </c>
      <c r="G95" s="1491" t="s">
        <v>1076</v>
      </c>
      <c r="H95" s="116"/>
      <c r="I95" s="116"/>
      <c r="J95" s="116"/>
      <c r="K95" s="116"/>
      <c r="L95" s="104">
        <f t="shared" ref="L95" si="673">L99+7</f>
        <v>221</v>
      </c>
      <c r="M95" s="112"/>
      <c r="N95" s="112">
        <f t="shared" ref="N95" si="674">N99+7</f>
        <v>222</v>
      </c>
      <c r="O95" s="112"/>
      <c r="P95" s="159">
        <f t="shared" ref="P95:Q95" si="675">P99+7</f>
        <v>223</v>
      </c>
      <c r="Q95" s="112">
        <f t="shared" si="675"/>
        <v>224</v>
      </c>
      <c r="R95" s="112"/>
      <c r="S95" s="112">
        <f t="shared" ref="S95" si="676">S99+7</f>
        <v>225</v>
      </c>
      <c r="T95" s="112"/>
      <c r="U95" s="106"/>
      <c r="V95" s="112">
        <f t="shared" ref="V95" si="677">V99+7</f>
        <v>226</v>
      </c>
      <c r="W95" s="112"/>
      <c r="X95" s="112"/>
      <c r="Y95" s="112">
        <f t="shared" ref="Y95" si="678">Y99+7</f>
        <v>227</v>
      </c>
      <c r="Z95" s="121"/>
      <c r="AA95" s="121"/>
      <c r="AB95" s="172"/>
      <c r="AC95" s="1925"/>
      <c r="AD95" s="173"/>
      <c r="AE95" s="173"/>
      <c r="AF95" s="1487" t="s">
        <v>1087</v>
      </c>
      <c r="AG95" s="1488"/>
      <c r="AH95" s="174">
        <f>AL89+AD89</f>
        <v>133</v>
      </c>
      <c r="AI95" s="173"/>
      <c r="AJ95" s="173"/>
      <c r="AK95" s="173"/>
      <c r="AL95" s="175"/>
      <c r="AM95" s="1922"/>
      <c r="AN95" s="137"/>
      <c r="AO95" s="114">
        <f t="shared" ref="AO95" si="679">AO99+7</f>
        <v>218</v>
      </c>
      <c r="AP95" s="115"/>
      <c r="AQ95" s="123">
        <f t="shared" ref="AQ95" si="680">AQ99+7</f>
        <v>219</v>
      </c>
      <c r="AR95" s="115"/>
      <c r="AS95" s="123">
        <f t="shared" ref="AS95" si="681">AS99+7</f>
        <v>220</v>
      </c>
      <c r="AT95" s="105"/>
      <c r="AU95" s="115"/>
      <c r="AV95" s="123">
        <f t="shared" ref="AV95" si="682">AV99+7</f>
        <v>221</v>
      </c>
      <c r="AW95" s="115"/>
      <c r="AX95" s="159">
        <f t="shared" ref="AX95:AY95" si="683">AX99+7</f>
        <v>215</v>
      </c>
      <c r="AY95" s="123">
        <f t="shared" si="683"/>
        <v>216</v>
      </c>
      <c r="AZ95" s="105"/>
      <c r="BA95" s="115"/>
      <c r="BB95" s="123">
        <f t="shared" ref="BB95" si="684">BB99+7</f>
        <v>217</v>
      </c>
      <c r="BC95" s="160"/>
      <c r="BD95" s="163"/>
      <c r="BE95" s="116"/>
      <c r="BF95" s="116"/>
      <c r="BG95" s="163"/>
      <c r="BH95" s="1491" t="s">
        <v>1076</v>
      </c>
      <c r="BI95" s="1491" t="s">
        <v>1076</v>
      </c>
      <c r="BJ95" s="1491" t="s">
        <v>1076</v>
      </c>
      <c r="BK95" s="119"/>
      <c r="BL95" s="364" t="s">
        <v>0</v>
      </c>
      <c r="BM95" s="352" t="str">
        <f t="shared" ref="BM95" si="685">_xlfn.CONCAT("קומה ",BM96)</f>
        <v>קומה 28</v>
      </c>
      <c r="BN95" s="1777"/>
      <c r="BP95" s="111" t="s">
        <v>0</v>
      </c>
    </row>
    <row r="96" spans="1:68" s="52" customFormat="1" ht="9.9499999999999993" hidden="1" customHeight="1" thickTop="1" x14ac:dyDescent="0.2">
      <c r="A96" s="1711"/>
      <c r="B96" s="332">
        <f t="shared" ref="B96" si="686">B100+1</f>
        <v>28</v>
      </c>
      <c r="C96" s="281" t="s">
        <v>89</v>
      </c>
      <c r="D96" s="56"/>
      <c r="E96" s="1492"/>
      <c r="F96" s="1492"/>
      <c r="G96" s="1492"/>
      <c r="H96" s="55"/>
      <c r="I96" s="55"/>
      <c r="J96" s="55"/>
      <c r="K96" s="55"/>
      <c r="L96" s="66" t="str">
        <f>VLOOKUP("*"&amp;L$5&amp;".Ap."&amp;L95,Check[],1,FALSE)</f>
        <v>S.S.3F.TS.Ap.221</v>
      </c>
      <c r="M96" s="64" t="str">
        <f t="shared" ref="M96" si="687">L96</f>
        <v>S.S.3F.TS.Ap.221</v>
      </c>
      <c r="N96" s="64" t="str">
        <f>VLOOKUP("*"&amp;N$5&amp;".Ap."&amp;N95,Check[],1,FALSE)</f>
        <v>V.GMS.S.3G.TS.Ap.222</v>
      </c>
      <c r="O96" s="64" t="str">
        <f t="shared" ref="O96" si="688">N96</f>
        <v>V.GMS.S.3G.TS.Ap.222</v>
      </c>
      <c r="P96" s="64" t="str">
        <f>VLOOKUP("*"&amp;P$5&amp;".Ap."&amp;P95,Check[],1,FALSE)</f>
        <v>V.GMS.S.3A.TS.Ap.223</v>
      </c>
      <c r="Q96" s="64" t="str">
        <f>VLOOKUP("*"&amp;Q$5&amp;".Ap."&amp;Q95,Check[],1,FALSE)</f>
        <v>S.S.2D.TS.Ap.224</v>
      </c>
      <c r="R96" s="64" t="str">
        <f t="shared" ref="R96" si="689">Q96</f>
        <v>S.S.2D.TS.Ap.224</v>
      </c>
      <c r="S96" s="64" t="str">
        <f>VLOOKUP("*"&amp;S$5&amp;".Ap."&amp;S95,Check[],1,FALSE)</f>
        <v>O.S.4C.TS.Ap.225</v>
      </c>
      <c r="T96" s="64" t="str">
        <f t="shared" ref="T96:U96" si="690">S96</f>
        <v>O.S.4C.TS.Ap.225</v>
      </c>
      <c r="U96" s="68" t="str">
        <f t="shared" si="690"/>
        <v>O.S.4C.TS.Ap.225</v>
      </c>
      <c r="V96" s="64" t="str">
        <f>VLOOKUP("*"&amp;V$5&amp;".Ap."&amp;V95,Check[],1,FALSE)</f>
        <v>O.S.5A.TS.Ap.226</v>
      </c>
      <c r="W96" s="64" t="str">
        <f t="shared" ref="W96" si="691">V96</f>
        <v>O.S.5A.TS.Ap.226</v>
      </c>
      <c r="X96" s="64" t="str">
        <f t="shared" ref="X96" si="692">V96</f>
        <v>O.S.5A.TS.Ap.226</v>
      </c>
      <c r="Y96" s="64" t="str">
        <f>VLOOKUP("*"&amp;Y$5&amp;".Ap."&amp;Y95,Check[],1,FALSE)</f>
        <v>V.GMC.S.5B.TS.Ap.227</v>
      </c>
      <c r="Z96" s="65" t="str">
        <f t="shared" ref="Z96" si="693">Y96</f>
        <v>V.GMC.S.5B.TS.Ap.227</v>
      </c>
      <c r="AA96" s="65" t="str">
        <f t="shared" ref="AA96" si="694">Y96</f>
        <v>V.GMC.S.5B.TS.Ap.227</v>
      </c>
      <c r="AB96" s="50"/>
      <c r="AC96" s="50"/>
      <c r="AD96" s="50"/>
      <c r="AE96" s="50"/>
      <c r="AF96" s="50"/>
      <c r="AG96" s="50"/>
      <c r="AH96" s="50"/>
      <c r="AI96" s="50"/>
      <c r="AJ96" s="50"/>
      <c r="AK96" s="50"/>
      <c r="AL96" s="50"/>
      <c r="AM96" s="50"/>
      <c r="AN96" s="61"/>
      <c r="AO96" s="71" t="str">
        <f>VLOOKUP("*"&amp;AO$5&amp;".Ap."&amp;AO95,Check[],1,FALSE)</f>
        <v>S.S.5B.TN.Ap.218</v>
      </c>
      <c r="AP96" s="68" t="str">
        <f t="shared" ref="AP96" si="695">AO96</f>
        <v>S.S.5B.TN.Ap.218</v>
      </c>
      <c r="AQ96" s="72" t="str">
        <f>VLOOKUP("*"&amp;AQ$5&amp;".Ap."&amp;AQ95,Check[],1,FALSE)</f>
        <v>S.S.5A.TN.Ap.219</v>
      </c>
      <c r="AR96" s="68" t="str">
        <f t="shared" ref="AR96" si="696">AQ96</f>
        <v>S.S.5A.TN.Ap.219</v>
      </c>
      <c r="AS96" s="72" t="str">
        <f>VLOOKUP("*"&amp;AS$5&amp;".Ap."&amp;AS95,Check[],1,FALSE)</f>
        <v>O.S.4C.TN.Ap.220</v>
      </c>
      <c r="AT96" s="67" t="str">
        <f t="shared" ref="AT96" si="697">AS96</f>
        <v>O.S.4C.TN.Ap.220</v>
      </c>
      <c r="AU96" s="68" t="str">
        <f t="shared" ref="AU96" si="698">AT96</f>
        <v>O.S.4C.TN.Ap.220</v>
      </c>
      <c r="AV96" s="72" t="str">
        <f>VLOOKUP("*"&amp;AV$5&amp;".Ap."&amp;AV95,Check[],1,FALSE)</f>
        <v>V.GMS.S.2D.TN.Ap.221</v>
      </c>
      <c r="AW96" s="68" t="str">
        <f t="shared" ref="AW96" si="699">AV96</f>
        <v>V.GMS.S.2D.TN.Ap.221</v>
      </c>
      <c r="AX96" s="64" t="str">
        <f>VLOOKUP("*"&amp;AX$5&amp;".Ap."&amp;AX95,Check[],1,FALSE)</f>
        <v>S.S.3A.TN.Ap.215</v>
      </c>
      <c r="AY96" s="72" t="str">
        <f>VLOOKUP("*"&amp;AY$5&amp;".Ap."&amp;AY95,Check[],1,FALSE)</f>
        <v>S.S.3G.TN.Ap.216</v>
      </c>
      <c r="AZ96" s="67" t="str">
        <f t="shared" ref="AZ96" si="700">AY96</f>
        <v>S.S.3G.TN.Ap.216</v>
      </c>
      <c r="BA96" s="68" t="str">
        <f t="shared" ref="BA96" si="701">AZ96</f>
        <v>S.S.3G.TN.Ap.216</v>
      </c>
      <c r="BB96" s="72" t="str">
        <f>VLOOKUP("*"&amp;BB$5&amp;".Ap."&amp;BB95,Check[],1,FALSE)</f>
        <v>V.GMS.S.3F.TN.Ap.217</v>
      </c>
      <c r="BC96" s="73" t="str">
        <f t="shared" ref="BC96" si="702">BB96</f>
        <v>V.GMS.S.3F.TN.Ap.217</v>
      </c>
      <c r="BD96" s="62"/>
      <c r="BE96" s="55"/>
      <c r="BF96" s="55"/>
      <c r="BG96" s="62"/>
      <c r="BH96" s="1492"/>
      <c r="BI96" s="1492"/>
      <c r="BJ96" s="1492"/>
      <c r="BK96" s="57"/>
      <c r="BL96" s="364" t="s">
        <v>89</v>
      </c>
      <c r="BM96" s="353">
        <f t="shared" ref="BM96" si="703">BM100+1</f>
        <v>28</v>
      </c>
      <c r="BN96" s="1777"/>
      <c r="BP96" s="53" t="s">
        <v>89</v>
      </c>
    </row>
    <row r="97" spans="1:68" s="8" customFormat="1" ht="12" customHeight="1" thickTop="1" x14ac:dyDescent="0.3">
      <c r="A97" s="1711"/>
      <c r="B97" s="333"/>
      <c r="C97" s="282" t="s">
        <v>65</v>
      </c>
      <c r="D97" s="25"/>
      <c r="E97" s="1492"/>
      <c r="F97" s="1492"/>
      <c r="G97" s="1492"/>
      <c r="H97" s="21"/>
      <c r="I97" s="21"/>
      <c r="J97" s="21"/>
      <c r="K97" s="21"/>
      <c r="L97" s="230">
        <f>VLOOKUP(L96,Check[],5,FALSE)</f>
        <v>221</v>
      </c>
      <c r="M97" s="237"/>
      <c r="N97" s="237">
        <f>VLOOKUP(N96,Check[],5,FALSE)</f>
        <v>222</v>
      </c>
      <c r="O97" s="237"/>
      <c r="P97" s="248">
        <f>VLOOKUP(P96,Check[],5,FALSE)</f>
        <v>223</v>
      </c>
      <c r="Q97" s="237">
        <f>VLOOKUP(Q96,Check[],5,FALSE)</f>
        <v>224</v>
      </c>
      <c r="R97" s="237"/>
      <c r="S97" s="237">
        <f>VLOOKUP(S96,Check[],5,FALSE)</f>
        <v>225</v>
      </c>
      <c r="T97" s="237"/>
      <c r="U97" s="232"/>
      <c r="V97" s="237">
        <f>VLOOKUP(V96,Check[],5,FALSE)</f>
        <v>226</v>
      </c>
      <c r="W97" s="237"/>
      <c r="X97" s="237"/>
      <c r="Y97" s="237">
        <f>VLOOKUP(Y96,Check[],5,FALSE)</f>
        <v>227</v>
      </c>
      <c r="Z97" s="233"/>
      <c r="AA97" s="233"/>
      <c r="AB97" s="19"/>
      <c r="AC97" s="19"/>
      <c r="AD97" s="19"/>
      <c r="AE97" s="19"/>
      <c r="AF97" s="19"/>
      <c r="AG97" s="19"/>
      <c r="AH97" s="19"/>
      <c r="AI97" s="19"/>
      <c r="AJ97" s="19"/>
      <c r="AK97" s="19"/>
      <c r="AL97" s="19"/>
      <c r="AM97" s="19"/>
      <c r="AN97" s="247"/>
      <c r="AO97" s="239">
        <f>VLOOKUP(AO96,Check[],5,FALSE)</f>
        <v>218</v>
      </c>
      <c r="AP97" s="240"/>
      <c r="AQ97" s="243">
        <f>VLOOKUP(AQ96,Check[],5,FALSE)</f>
        <v>219</v>
      </c>
      <c r="AR97" s="240"/>
      <c r="AS97" s="243">
        <f>VLOOKUP(AS96,Check[],5,FALSE)</f>
        <v>220</v>
      </c>
      <c r="AT97" s="244"/>
      <c r="AU97" s="242"/>
      <c r="AV97" s="243">
        <f>VLOOKUP(AV96,Check[],5,FALSE)</f>
        <v>221</v>
      </c>
      <c r="AW97" s="240"/>
      <c r="AX97" s="248">
        <f>VLOOKUP(AX96,Check[],5,FALSE)</f>
        <v>215</v>
      </c>
      <c r="AY97" s="243">
        <f>VLOOKUP(AY96,Check[],5,FALSE)</f>
        <v>216</v>
      </c>
      <c r="AZ97" s="244"/>
      <c r="BA97" s="242"/>
      <c r="BB97" s="243">
        <f>VLOOKUP(BB96,Check[],5,FALSE)</f>
        <v>217</v>
      </c>
      <c r="BC97" s="249"/>
      <c r="BD97" s="37"/>
      <c r="BE97" s="21"/>
      <c r="BF97" s="21"/>
      <c r="BG97" s="37"/>
      <c r="BH97" s="1492"/>
      <c r="BI97" s="1492"/>
      <c r="BJ97" s="1492"/>
      <c r="BK97" s="31"/>
      <c r="BL97" s="365" t="s">
        <v>65</v>
      </c>
      <c r="BM97" s="354"/>
      <c r="BN97" s="1777"/>
      <c r="BP97" s="236" t="s">
        <v>1078</v>
      </c>
    </row>
    <row r="98" spans="1:68" s="196" customFormat="1" ht="15" customHeight="1" thickBot="1" x14ac:dyDescent="0.4">
      <c r="A98" s="1712"/>
      <c r="B98" s="198">
        <f t="shared" ref="B98" si="704">B102+3.48</f>
        <v>103.96000000000002</v>
      </c>
      <c r="C98" s="283" t="s">
        <v>1</v>
      </c>
      <c r="D98" s="204"/>
      <c r="E98" s="1493"/>
      <c r="F98" s="1493"/>
      <c r="G98" s="1493"/>
      <c r="H98" s="203"/>
      <c r="I98" s="203"/>
      <c r="J98" s="203"/>
      <c r="K98" s="203"/>
      <c r="L98" s="188">
        <f>VLOOKUP(L96,Check[],6,FALSE)</f>
        <v>2801</v>
      </c>
      <c r="M98" s="199"/>
      <c r="N98" s="199">
        <f>VLOOKUP(N96,Check[],6,FALSE)</f>
        <v>2802</v>
      </c>
      <c r="O98" s="199"/>
      <c r="P98" s="193">
        <f>VLOOKUP(P96,Check[],6,FALSE)</f>
        <v>2803</v>
      </c>
      <c r="Q98" s="199">
        <f>VLOOKUP(Q96,Check[],6,FALSE)</f>
        <v>2804</v>
      </c>
      <c r="R98" s="199"/>
      <c r="S98" s="199">
        <f>VLOOKUP(S96,Check[],6,FALSE)</f>
        <v>2805</v>
      </c>
      <c r="T98" s="199"/>
      <c r="U98" s="190"/>
      <c r="V98" s="199">
        <f>VLOOKUP(V96,Check[],6,FALSE)</f>
        <v>2806</v>
      </c>
      <c r="W98" s="199"/>
      <c r="X98" s="199"/>
      <c r="Y98" s="199">
        <f>VLOOKUP(Y96,Check[],6,FALSE)</f>
        <v>2807</v>
      </c>
      <c r="Z98" s="191"/>
      <c r="AA98" s="191"/>
      <c r="AB98" s="192"/>
      <c r="AC98" s="192"/>
      <c r="AD98" s="192"/>
      <c r="AE98" s="192"/>
      <c r="AF98" s="192"/>
      <c r="AG98" s="192"/>
      <c r="AH98" s="192"/>
      <c r="AI98" s="192"/>
      <c r="AJ98" s="192"/>
      <c r="AK98" s="192"/>
      <c r="AL98" s="192"/>
      <c r="AM98" s="192"/>
      <c r="AN98" s="215"/>
      <c r="AO98" s="201">
        <f>VLOOKUP(AO96,Check[],6,FALSE)</f>
        <v>2802</v>
      </c>
      <c r="AP98" s="202"/>
      <c r="AQ98" s="211">
        <f>VLOOKUP(AQ96,Check[],6,FALSE)</f>
        <v>2803</v>
      </c>
      <c r="AR98" s="202"/>
      <c r="AS98" s="211">
        <f>VLOOKUP(AS96,Check[],6,FALSE)</f>
        <v>2804</v>
      </c>
      <c r="AT98" s="212"/>
      <c r="AU98" s="207"/>
      <c r="AV98" s="211">
        <f>VLOOKUP(AV96,Check[],6,FALSE)</f>
        <v>2805</v>
      </c>
      <c r="AW98" s="202"/>
      <c r="AX98" s="193">
        <f>VLOOKUP(AX96,Check[],6,FALSE)</f>
        <v>2806</v>
      </c>
      <c r="AY98" s="211">
        <f>VLOOKUP(AY96,Check[],6,FALSE)</f>
        <v>2807</v>
      </c>
      <c r="AZ98" s="212"/>
      <c r="BA98" s="207"/>
      <c r="BB98" s="211">
        <f>VLOOKUP(BB96,Check[],6,FALSE)</f>
        <v>2801</v>
      </c>
      <c r="BC98" s="216"/>
      <c r="BD98" s="218"/>
      <c r="BE98" s="203"/>
      <c r="BF98" s="203"/>
      <c r="BG98" s="218"/>
      <c r="BH98" s="1493"/>
      <c r="BI98" s="1493"/>
      <c r="BJ98" s="1493"/>
      <c r="BK98" s="205"/>
      <c r="BL98" s="366" t="s">
        <v>1</v>
      </c>
      <c r="BM98" s="355">
        <f t="shared" ref="BM98" si="705">BM102+3.48</f>
        <v>103.96000000000002</v>
      </c>
      <c r="BN98" s="1778"/>
      <c r="BP98" s="197" t="s">
        <v>1</v>
      </c>
    </row>
    <row r="99" spans="1:68" s="110" customFormat="1" ht="21.95" customHeight="1" x14ac:dyDescent="0.45">
      <c r="A99" s="1711"/>
      <c r="B99" s="331" t="str">
        <f t="shared" ref="B99" si="706">_xlfn.CONCAT("קומה ",B100)</f>
        <v>קומה 27</v>
      </c>
      <c r="C99" s="281" t="s">
        <v>0</v>
      </c>
      <c r="D99" s="117"/>
      <c r="E99" s="1494"/>
      <c r="F99" s="1494"/>
      <c r="G99" s="1494"/>
      <c r="H99" s="116"/>
      <c r="I99" s="116"/>
      <c r="J99" s="116"/>
      <c r="K99" s="116"/>
      <c r="L99" s="104">
        <f t="shared" ref="L99" si="707">L103+7</f>
        <v>214</v>
      </c>
      <c r="M99" s="112"/>
      <c r="N99" s="112">
        <f t="shared" ref="N99" si="708">N103+7</f>
        <v>215</v>
      </c>
      <c r="O99" s="112"/>
      <c r="P99" s="159">
        <f t="shared" ref="P99:Q99" si="709">P103+7</f>
        <v>216</v>
      </c>
      <c r="Q99" s="112">
        <f t="shared" si="709"/>
        <v>217</v>
      </c>
      <c r="R99" s="112"/>
      <c r="S99" s="112">
        <f t="shared" ref="S99" si="710">S103+7</f>
        <v>218</v>
      </c>
      <c r="T99" s="112"/>
      <c r="U99" s="106"/>
      <c r="V99" s="112">
        <f t="shared" ref="V99" si="711">V103+7</f>
        <v>219</v>
      </c>
      <c r="W99" s="112"/>
      <c r="X99" s="112"/>
      <c r="Y99" s="112">
        <f t="shared" ref="Y99" si="712">Y103+7</f>
        <v>220</v>
      </c>
      <c r="Z99" s="121"/>
      <c r="AA99" s="121"/>
      <c r="AB99" s="107"/>
      <c r="AC99" s="107"/>
      <c r="AD99" s="107"/>
      <c r="AE99" s="107"/>
      <c r="AF99" s="107"/>
      <c r="AG99" s="107"/>
      <c r="AH99" s="107"/>
      <c r="AI99" s="107"/>
      <c r="AJ99" s="107"/>
      <c r="AK99" s="107"/>
      <c r="AL99" s="107"/>
      <c r="AM99" s="107"/>
      <c r="AN99" s="137"/>
      <c r="AO99" s="114">
        <f t="shared" ref="AO99" si="713">AO103+7</f>
        <v>211</v>
      </c>
      <c r="AP99" s="115"/>
      <c r="AQ99" s="123">
        <f t="shared" ref="AQ99" si="714">AQ103+7</f>
        <v>212</v>
      </c>
      <c r="AR99" s="115"/>
      <c r="AS99" s="123">
        <f t="shared" ref="AS99" si="715">AS103+7</f>
        <v>213</v>
      </c>
      <c r="AT99" s="105"/>
      <c r="AU99" s="115"/>
      <c r="AV99" s="123">
        <f t="shared" ref="AV99" si="716">AV103+7</f>
        <v>214</v>
      </c>
      <c r="AW99" s="115"/>
      <c r="AX99" s="159">
        <f t="shared" ref="AX99:AY99" si="717">AX103+7</f>
        <v>208</v>
      </c>
      <c r="AY99" s="123">
        <f t="shared" si="717"/>
        <v>209</v>
      </c>
      <c r="AZ99" s="105"/>
      <c r="BA99" s="115"/>
      <c r="BB99" s="123">
        <f t="shared" ref="BB99" si="718">BB103+7</f>
        <v>210</v>
      </c>
      <c r="BC99" s="160"/>
      <c r="BD99" s="163"/>
      <c r="BE99" s="116"/>
      <c r="BF99" s="116"/>
      <c r="BG99" s="163"/>
      <c r="BH99" s="1494"/>
      <c r="BI99" s="1494"/>
      <c r="BJ99" s="1494"/>
      <c r="BK99" s="119"/>
      <c r="BL99" s="364" t="s">
        <v>0</v>
      </c>
      <c r="BM99" s="352" t="str">
        <f t="shared" ref="BM99" si="719">_xlfn.CONCAT("קומה ",BM100)</f>
        <v>קומה 27</v>
      </c>
      <c r="BN99" s="1777"/>
      <c r="BP99" s="111" t="s">
        <v>0</v>
      </c>
    </row>
    <row r="100" spans="1:68" s="52" customFormat="1" ht="9.9499999999999993" hidden="1" customHeight="1" x14ac:dyDescent="0.2">
      <c r="A100" s="1711"/>
      <c r="B100" s="332">
        <f t="shared" ref="B100" si="720">B104+1</f>
        <v>27</v>
      </c>
      <c r="C100" s="281" t="s">
        <v>89</v>
      </c>
      <c r="D100" s="56"/>
      <c r="E100" s="1495"/>
      <c r="F100" s="1495"/>
      <c r="G100" s="1495"/>
      <c r="H100" s="55"/>
      <c r="I100" s="55"/>
      <c r="J100" s="55"/>
      <c r="K100" s="55"/>
      <c r="L100" s="66" t="str">
        <f>VLOOKUP("*"&amp;L$5&amp;".Ap."&amp;L99,Check[],1,FALSE)</f>
        <v>S.S.3F.TS.Ap.214</v>
      </c>
      <c r="M100" s="64" t="str">
        <f t="shared" ref="M100" si="721">L100</f>
        <v>S.S.3F.TS.Ap.214</v>
      </c>
      <c r="N100" s="64" t="str">
        <f>VLOOKUP("*"&amp;N$5&amp;".Ap."&amp;N99,Check[],1,FALSE)</f>
        <v>V.GMS.S.3G.TS.Ap.215</v>
      </c>
      <c r="O100" s="64" t="str">
        <f t="shared" ref="O100" si="722">N100</f>
        <v>V.GMS.S.3G.TS.Ap.215</v>
      </c>
      <c r="P100" s="64" t="str">
        <f>VLOOKUP("*"&amp;P$5&amp;".Ap."&amp;P99,Check[],1,FALSE)</f>
        <v>V.GMS.S.3A.TS.Ap.216</v>
      </c>
      <c r="Q100" s="64" t="str">
        <f>VLOOKUP("*"&amp;Q$5&amp;".Ap."&amp;Q99,Check[],1,FALSE)</f>
        <v>S.S.2D.TS.Ap.217</v>
      </c>
      <c r="R100" s="64" t="str">
        <f t="shared" ref="R100" si="723">Q100</f>
        <v>S.S.2D.TS.Ap.217</v>
      </c>
      <c r="S100" s="64" t="str">
        <f>VLOOKUP("*"&amp;S$5&amp;".Ap."&amp;S99,Check[],1,FALSE)</f>
        <v>O.S.4C.TS.Ap.218</v>
      </c>
      <c r="T100" s="64" t="str">
        <f t="shared" ref="T100:U100" si="724">S100</f>
        <v>O.S.4C.TS.Ap.218</v>
      </c>
      <c r="U100" s="68" t="str">
        <f t="shared" si="724"/>
        <v>O.S.4C.TS.Ap.218</v>
      </c>
      <c r="V100" s="64" t="str">
        <f>VLOOKUP("*"&amp;V$5&amp;".Ap."&amp;V99,Check[],1,FALSE)</f>
        <v>O.S.5A.TS.Ap.219</v>
      </c>
      <c r="W100" s="64" t="str">
        <f t="shared" ref="W100" si="725">V100</f>
        <v>O.S.5A.TS.Ap.219</v>
      </c>
      <c r="X100" s="64" t="str">
        <f t="shared" ref="X100" si="726">V100</f>
        <v>O.S.5A.TS.Ap.219</v>
      </c>
      <c r="Y100" s="64" t="str">
        <f>VLOOKUP("*"&amp;Y$5&amp;".Ap."&amp;Y99,Check[],1,FALSE)</f>
        <v>V.GMC.S.5B.TS.Ap.220</v>
      </c>
      <c r="Z100" s="65" t="str">
        <f t="shared" ref="Z100" si="727">Y100</f>
        <v>V.GMC.S.5B.TS.Ap.220</v>
      </c>
      <c r="AA100" s="65" t="str">
        <f t="shared" ref="AA100" si="728">Y100</f>
        <v>V.GMC.S.5B.TS.Ap.220</v>
      </c>
      <c r="AB100" s="50"/>
      <c r="AC100" s="50"/>
      <c r="AD100" s="50"/>
      <c r="AE100" s="50"/>
      <c r="AF100" s="50"/>
      <c r="AG100" s="50"/>
      <c r="AH100" s="50"/>
      <c r="AI100" s="50"/>
      <c r="AJ100" s="50"/>
      <c r="AK100" s="50"/>
      <c r="AL100" s="50"/>
      <c r="AM100" s="50"/>
      <c r="AN100" s="61"/>
      <c r="AO100" s="71" t="str">
        <f>VLOOKUP("*"&amp;AO$5&amp;".Ap."&amp;AO99,Check[],1,FALSE)</f>
        <v>S.S.5B.TN.Ap.211</v>
      </c>
      <c r="AP100" s="68" t="str">
        <f t="shared" ref="AP100" si="729">AO100</f>
        <v>S.S.5B.TN.Ap.211</v>
      </c>
      <c r="AQ100" s="72" t="str">
        <f>VLOOKUP("*"&amp;AQ$5&amp;".Ap."&amp;AQ99,Check[],1,FALSE)</f>
        <v>S.S.5A.TN.Ap.212</v>
      </c>
      <c r="AR100" s="68" t="str">
        <f t="shared" ref="AR100" si="730">AQ100</f>
        <v>S.S.5A.TN.Ap.212</v>
      </c>
      <c r="AS100" s="72" t="str">
        <f>VLOOKUP("*"&amp;AS$5&amp;".Ap."&amp;AS99,Check[],1,FALSE)</f>
        <v>O.S.4C.TN.Ap.213</v>
      </c>
      <c r="AT100" s="67" t="str">
        <f t="shared" ref="AT100" si="731">AS100</f>
        <v>O.S.4C.TN.Ap.213</v>
      </c>
      <c r="AU100" s="68" t="str">
        <f t="shared" ref="AU100" si="732">AT100</f>
        <v>O.S.4C.TN.Ap.213</v>
      </c>
      <c r="AV100" s="72" t="str">
        <f>VLOOKUP("*"&amp;AV$5&amp;".Ap."&amp;AV99,Check[],1,FALSE)</f>
        <v>V.GMS.S.2D.TN.Ap.214</v>
      </c>
      <c r="AW100" s="68" t="str">
        <f t="shared" ref="AW100" si="733">AV100</f>
        <v>V.GMS.S.2D.TN.Ap.214</v>
      </c>
      <c r="AX100" s="64" t="str">
        <f>VLOOKUP("*"&amp;AX$5&amp;".Ap."&amp;AX99,Check[],1,FALSE)</f>
        <v>V.GMS.S.3A.TN.Ap.208</v>
      </c>
      <c r="AY100" s="72" t="str">
        <f>VLOOKUP("*"&amp;AY$5&amp;".Ap."&amp;AY99,Check[],1,FALSE)</f>
        <v>S.S.3G.TN.Ap.209</v>
      </c>
      <c r="AZ100" s="67" t="str">
        <f t="shared" ref="AZ100" si="734">AY100</f>
        <v>S.S.3G.TN.Ap.209</v>
      </c>
      <c r="BA100" s="68" t="str">
        <f t="shared" ref="BA100" si="735">AZ100</f>
        <v>S.S.3G.TN.Ap.209</v>
      </c>
      <c r="BB100" s="72" t="str">
        <f>VLOOKUP("*"&amp;BB$5&amp;".Ap."&amp;BB99,Check[],1,FALSE)</f>
        <v>V.GMS.S.3F.TN.Ap.210</v>
      </c>
      <c r="BC100" s="73" t="str">
        <f t="shared" ref="BC100" si="736">BB100</f>
        <v>V.GMS.S.3F.TN.Ap.210</v>
      </c>
      <c r="BD100" s="62"/>
      <c r="BE100" s="55"/>
      <c r="BF100" s="55"/>
      <c r="BG100" s="62"/>
      <c r="BH100" s="1495"/>
      <c r="BI100" s="1495"/>
      <c r="BJ100" s="1495"/>
      <c r="BK100" s="57"/>
      <c r="BL100" s="364" t="s">
        <v>89</v>
      </c>
      <c r="BM100" s="353">
        <f t="shared" ref="BM100" si="737">BM104+1</f>
        <v>27</v>
      </c>
      <c r="BN100" s="1777"/>
      <c r="BP100" s="53" t="s">
        <v>89</v>
      </c>
    </row>
    <row r="101" spans="1:68" s="8" customFormat="1" ht="12" customHeight="1" x14ac:dyDescent="0.3">
      <c r="A101" s="1711"/>
      <c r="B101" s="333"/>
      <c r="C101" s="282" t="s">
        <v>65</v>
      </c>
      <c r="D101" s="25"/>
      <c r="E101" s="1495"/>
      <c r="F101" s="1495"/>
      <c r="G101" s="1495"/>
      <c r="H101" s="21"/>
      <c r="I101" s="21"/>
      <c r="J101" s="21"/>
      <c r="K101" s="21"/>
      <c r="L101" s="230">
        <f>VLOOKUP(L100,Check[],5,FALSE)</f>
        <v>214</v>
      </c>
      <c r="M101" s="237"/>
      <c r="N101" s="237">
        <f>VLOOKUP(N100,Check[],5,FALSE)</f>
        <v>215</v>
      </c>
      <c r="O101" s="237"/>
      <c r="P101" s="248">
        <f>VLOOKUP(P100,Check[],5,FALSE)</f>
        <v>216</v>
      </c>
      <c r="Q101" s="237">
        <f>VLOOKUP(Q100,Check[],5,FALSE)</f>
        <v>217</v>
      </c>
      <c r="R101" s="237"/>
      <c r="S101" s="237">
        <f>VLOOKUP(S100,Check[],5,FALSE)</f>
        <v>218</v>
      </c>
      <c r="T101" s="237"/>
      <c r="U101" s="232"/>
      <c r="V101" s="237">
        <f>VLOOKUP(V100,Check[],5,FALSE)</f>
        <v>219</v>
      </c>
      <c r="W101" s="237"/>
      <c r="X101" s="237"/>
      <c r="Y101" s="237">
        <f>VLOOKUP(Y100,Check[],5,FALSE)</f>
        <v>220</v>
      </c>
      <c r="Z101" s="233"/>
      <c r="AA101" s="233"/>
      <c r="AB101" s="19"/>
      <c r="AC101" s="19"/>
      <c r="AD101" s="19"/>
      <c r="AE101" s="19"/>
      <c r="AF101" s="19"/>
      <c r="AG101" s="19"/>
      <c r="AH101" s="19"/>
      <c r="AI101" s="19"/>
      <c r="AJ101" s="19"/>
      <c r="AK101" s="19"/>
      <c r="AL101" s="19"/>
      <c r="AM101" s="19"/>
      <c r="AN101" s="247"/>
      <c r="AO101" s="239">
        <f>VLOOKUP(AO100,Check[],5,FALSE)</f>
        <v>211</v>
      </c>
      <c r="AP101" s="240"/>
      <c r="AQ101" s="243">
        <f>VLOOKUP(AQ100,Check[],5,FALSE)</f>
        <v>212</v>
      </c>
      <c r="AR101" s="240"/>
      <c r="AS101" s="243">
        <f>VLOOKUP(AS100,Check[],5,FALSE)</f>
        <v>213</v>
      </c>
      <c r="AT101" s="244"/>
      <c r="AU101" s="242"/>
      <c r="AV101" s="243">
        <f>VLOOKUP(AV100,Check[],5,FALSE)</f>
        <v>214</v>
      </c>
      <c r="AW101" s="240"/>
      <c r="AX101" s="248">
        <f>VLOOKUP(AX100,Check[],5,FALSE)</f>
        <v>208</v>
      </c>
      <c r="AY101" s="243">
        <f>VLOOKUP(AY100,Check[],5,FALSE)</f>
        <v>209</v>
      </c>
      <c r="AZ101" s="244"/>
      <c r="BA101" s="242"/>
      <c r="BB101" s="243">
        <f>VLOOKUP(BB100,Check[],5,FALSE)</f>
        <v>210</v>
      </c>
      <c r="BC101" s="249"/>
      <c r="BD101" s="37"/>
      <c r="BE101" s="21"/>
      <c r="BF101" s="21"/>
      <c r="BG101" s="37"/>
      <c r="BH101" s="1495"/>
      <c r="BI101" s="1495"/>
      <c r="BJ101" s="1495"/>
      <c r="BK101" s="31"/>
      <c r="BL101" s="365" t="s">
        <v>65</v>
      </c>
      <c r="BM101" s="354"/>
      <c r="BN101" s="1777"/>
      <c r="BP101" s="236" t="s">
        <v>1078</v>
      </c>
    </row>
    <row r="102" spans="1:68" s="196" customFormat="1" ht="15" customHeight="1" thickBot="1" x14ac:dyDescent="0.4">
      <c r="A102" s="1712"/>
      <c r="B102" s="198">
        <f t="shared" ref="B102" si="738">B106+3.48</f>
        <v>100.48000000000002</v>
      </c>
      <c r="C102" s="283" t="s">
        <v>1</v>
      </c>
      <c r="D102" s="204"/>
      <c r="E102" s="1496"/>
      <c r="F102" s="1496"/>
      <c r="G102" s="1496"/>
      <c r="H102" s="203"/>
      <c r="I102" s="203"/>
      <c r="J102" s="203"/>
      <c r="K102" s="203"/>
      <c r="L102" s="188">
        <f>VLOOKUP(L100,Check[],6,FALSE)</f>
        <v>2701</v>
      </c>
      <c r="M102" s="199"/>
      <c r="N102" s="199">
        <f>VLOOKUP(N100,Check[],6,FALSE)</f>
        <v>2702</v>
      </c>
      <c r="O102" s="199"/>
      <c r="P102" s="193">
        <f>VLOOKUP(P100,Check[],6,FALSE)</f>
        <v>2703</v>
      </c>
      <c r="Q102" s="199">
        <f>VLOOKUP(Q100,Check[],6,FALSE)</f>
        <v>2704</v>
      </c>
      <c r="R102" s="199"/>
      <c r="S102" s="199">
        <f>VLOOKUP(S100,Check[],6,FALSE)</f>
        <v>2705</v>
      </c>
      <c r="T102" s="199"/>
      <c r="U102" s="190"/>
      <c r="V102" s="199">
        <f>VLOOKUP(V100,Check[],6,FALSE)</f>
        <v>2706</v>
      </c>
      <c r="W102" s="199"/>
      <c r="X102" s="199"/>
      <c r="Y102" s="199">
        <f>VLOOKUP(Y100,Check[],6,FALSE)</f>
        <v>2707</v>
      </c>
      <c r="Z102" s="191"/>
      <c r="AA102" s="191"/>
      <c r="AB102" s="192"/>
      <c r="AC102" s="192"/>
      <c r="AD102" s="192"/>
      <c r="AE102" s="192"/>
      <c r="AF102" s="192"/>
      <c r="AG102" s="192"/>
      <c r="AH102" s="192"/>
      <c r="AI102" s="192"/>
      <c r="AJ102" s="192"/>
      <c r="AK102" s="192"/>
      <c r="AL102" s="192"/>
      <c r="AM102" s="192"/>
      <c r="AN102" s="215"/>
      <c r="AO102" s="201">
        <f>VLOOKUP(AO100,Check[],6,FALSE)</f>
        <v>2702</v>
      </c>
      <c r="AP102" s="202"/>
      <c r="AQ102" s="211">
        <f>VLOOKUP(AQ100,Check[],6,FALSE)</f>
        <v>2703</v>
      </c>
      <c r="AR102" s="202"/>
      <c r="AS102" s="211">
        <f>VLOOKUP(AS100,Check[],6,FALSE)</f>
        <v>2704</v>
      </c>
      <c r="AT102" s="212"/>
      <c r="AU102" s="207"/>
      <c r="AV102" s="211">
        <f>VLOOKUP(AV100,Check[],6,FALSE)</f>
        <v>2705</v>
      </c>
      <c r="AW102" s="202"/>
      <c r="AX102" s="193">
        <f>VLOOKUP(AX100,Check[],6,FALSE)</f>
        <v>2706</v>
      </c>
      <c r="AY102" s="211">
        <f>VLOOKUP(AY100,Check[],6,FALSE)</f>
        <v>2707</v>
      </c>
      <c r="AZ102" s="212"/>
      <c r="BA102" s="207"/>
      <c r="BB102" s="211">
        <f>VLOOKUP(BB100,Check[],6,FALSE)</f>
        <v>2701</v>
      </c>
      <c r="BC102" s="216"/>
      <c r="BD102" s="218"/>
      <c r="BE102" s="203"/>
      <c r="BF102" s="203"/>
      <c r="BG102" s="218"/>
      <c r="BH102" s="1496"/>
      <c r="BI102" s="1496"/>
      <c r="BJ102" s="1496"/>
      <c r="BK102" s="205"/>
      <c r="BL102" s="366" t="s">
        <v>1</v>
      </c>
      <c r="BM102" s="355">
        <f t="shared" ref="BM102" si="739">BM106+3.48</f>
        <v>100.48000000000002</v>
      </c>
      <c r="BN102" s="1778"/>
      <c r="BP102" s="197" t="s">
        <v>1</v>
      </c>
    </row>
    <row r="103" spans="1:68" s="110" customFormat="1" ht="21.95" customHeight="1" x14ac:dyDescent="0.45">
      <c r="A103" s="1711"/>
      <c r="B103" s="331" t="str">
        <f t="shared" ref="B103" si="740">_xlfn.CONCAT("קומה ",B104)</f>
        <v>קומה 26</v>
      </c>
      <c r="C103" s="281" t="s">
        <v>0</v>
      </c>
      <c r="D103" s="117"/>
      <c r="E103" s="1494"/>
      <c r="F103" s="1494"/>
      <c r="G103" s="1494"/>
      <c r="H103" s="116"/>
      <c r="I103" s="116"/>
      <c r="J103" s="116"/>
      <c r="K103" s="116"/>
      <c r="L103" s="104">
        <f t="shared" ref="L103" si="741">L107+7</f>
        <v>207</v>
      </c>
      <c r="M103" s="112"/>
      <c r="N103" s="112">
        <f t="shared" ref="N103" si="742">N107+7</f>
        <v>208</v>
      </c>
      <c r="O103" s="112"/>
      <c r="P103" s="159">
        <f t="shared" ref="P103:Q103" si="743">P107+7</f>
        <v>209</v>
      </c>
      <c r="Q103" s="112">
        <f t="shared" si="743"/>
        <v>210</v>
      </c>
      <c r="R103" s="112"/>
      <c r="S103" s="112">
        <f t="shared" ref="S103" si="744">S107+7</f>
        <v>211</v>
      </c>
      <c r="T103" s="112"/>
      <c r="U103" s="106"/>
      <c r="V103" s="112">
        <f t="shared" ref="V103" si="745">V107+7</f>
        <v>212</v>
      </c>
      <c r="W103" s="112"/>
      <c r="X103" s="112"/>
      <c r="Y103" s="112">
        <f t="shared" ref="Y103" si="746">Y107+7</f>
        <v>213</v>
      </c>
      <c r="Z103" s="121"/>
      <c r="AA103" s="121"/>
      <c r="AB103" s="107"/>
      <c r="AC103" s="107"/>
      <c r="AD103" s="107"/>
      <c r="AE103" s="107"/>
      <c r="AF103" s="107"/>
      <c r="AG103" s="107"/>
      <c r="AH103" s="107"/>
      <c r="AI103" s="107"/>
      <c r="AJ103" s="107"/>
      <c r="AK103" s="107"/>
      <c r="AL103" s="107"/>
      <c r="AM103" s="107"/>
      <c r="AN103" s="137"/>
      <c r="AO103" s="114">
        <f t="shared" ref="AO103" si="747">AO107+7</f>
        <v>204</v>
      </c>
      <c r="AP103" s="115"/>
      <c r="AQ103" s="123">
        <f t="shared" ref="AQ103" si="748">AQ107+7</f>
        <v>205</v>
      </c>
      <c r="AR103" s="115"/>
      <c r="AS103" s="123">
        <f t="shared" ref="AS103" si="749">AS107+7</f>
        <v>206</v>
      </c>
      <c r="AT103" s="105"/>
      <c r="AU103" s="115"/>
      <c r="AV103" s="123">
        <f t="shared" ref="AV103" si="750">AV107+7</f>
        <v>207</v>
      </c>
      <c r="AW103" s="115"/>
      <c r="AX103" s="159">
        <f t="shared" ref="AX103:AY103" si="751">AX107+7</f>
        <v>201</v>
      </c>
      <c r="AY103" s="123">
        <f t="shared" si="751"/>
        <v>202</v>
      </c>
      <c r="AZ103" s="105"/>
      <c r="BA103" s="115"/>
      <c r="BB103" s="123">
        <f t="shared" ref="BB103" si="752">BB107+7</f>
        <v>203</v>
      </c>
      <c r="BC103" s="160"/>
      <c r="BD103" s="163"/>
      <c r="BE103" s="116"/>
      <c r="BF103" s="116"/>
      <c r="BG103" s="163"/>
      <c r="BH103" s="1494"/>
      <c r="BI103" s="1494"/>
      <c r="BJ103" s="1494"/>
      <c r="BK103" s="119"/>
      <c r="BL103" s="364" t="s">
        <v>0</v>
      </c>
      <c r="BM103" s="352" t="str">
        <f t="shared" ref="BM103" si="753">_xlfn.CONCAT("קומה ",BM104)</f>
        <v>קומה 26</v>
      </c>
      <c r="BN103" s="1777"/>
      <c r="BP103" s="111" t="s">
        <v>0</v>
      </c>
    </row>
    <row r="104" spans="1:68" s="52" customFormat="1" ht="9.9499999999999993" hidden="1" customHeight="1" x14ac:dyDescent="0.2">
      <c r="A104" s="1711"/>
      <c r="B104" s="332">
        <f t="shared" ref="B104" si="754">B108+1</f>
        <v>26</v>
      </c>
      <c r="C104" s="281" t="s">
        <v>89</v>
      </c>
      <c r="D104" s="56"/>
      <c r="E104" s="1495"/>
      <c r="F104" s="1495"/>
      <c r="G104" s="1495"/>
      <c r="H104" s="55"/>
      <c r="I104" s="55"/>
      <c r="J104" s="55"/>
      <c r="K104" s="55"/>
      <c r="L104" s="66" t="str">
        <f>VLOOKUP("*"&amp;L$5&amp;".Ap."&amp;L103,Check[],1,FALSE)</f>
        <v>S.S.3F.TS.Ap.207</v>
      </c>
      <c r="M104" s="64" t="str">
        <f t="shared" ref="M104" si="755">L104</f>
        <v>S.S.3F.TS.Ap.207</v>
      </c>
      <c r="N104" s="64" t="str">
        <f>VLOOKUP("*"&amp;N$5&amp;".Ap."&amp;N103,Check[],1,FALSE)</f>
        <v>V.GMS.S.3G.TS.Ap.208</v>
      </c>
      <c r="O104" s="64" t="str">
        <f t="shared" ref="O104" si="756">N104</f>
        <v>V.GMS.S.3G.TS.Ap.208</v>
      </c>
      <c r="P104" s="64" t="str">
        <f>VLOOKUP("*"&amp;P$5&amp;".Ap."&amp;P103,Check[],1,FALSE)</f>
        <v>S.S.3A.TS.Ap.209</v>
      </c>
      <c r="Q104" s="64" t="str">
        <f>VLOOKUP("*"&amp;Q$5&amp;".Ap."&amp;Q103,Check[],1,FALSE)</f>
        <v>S.S.2D.TS.Ap.210</v>
      </c>
      <c r="R104" s="64" t="str">
        <f t="shared" ref="R104" si="757">Q104</f>
        <v>S.S.2D.TS.Ap.210</v>
      </c>
      <c r="S104" s="64" t="str">
        <f>VLOOKUP("*"&amp;S$5&amp;".Ap."&amp;S103,Check[],1,FALSE)</f>
        <v>S.S.4C.TS.Ap.211</v>
      </c>
      <c r="T104" s="64" t="str">
        <f t="shared" ref="T104:U104" si="758">S104</f>
        <v>S.S.4C.TS.Ap.211</v>
      </c>
      <c r="U104" s="68" t="str">
        <f t="shared" si="758"/>
        <v>S.S.4C.TS.Ap.211</v>
      </c>
      <c r="V104" s="64" t="str">
        <f>VLOOKUP("*"&amp;V$5&amp;".Ap."&amp;V103,Check[],1,FALSE)</f>
        <v>O.S.5A.TS.Ap.212</v>
      </c>
      <c r="W104" s="64" t="str">
        <f t="shared" ref="W104" si="759">V104</f>
        <v>O.S.5A.TS.Ap.212</v>
      </c>
      <c r="X104" s="64" t="str">
        <f t="shared" ref="X104" si="760">V104</f>
        <v>O.S.5A.TS.Ap.212</v>
      </c>
      <c r="Y104" s="64" t="str">
        <f>VLOOKUP("*"&amp;Y$5&amp;".Ap."&amp;Y103,Check[],1,FALSE)</f>
        <v>O.S.5B.TS.Ap.213</v>
      </c>
      <c r="Z104" s="65" t="str">
        <f t="shared" ref="Z104" si="761">Y104</f>
        <v>O.S.5B.TS.Ap.213</v>
      </c>
      <c r="AA104" s="65" t="str">
        <f t="shared" ref="AA104" si="762">Y104</f>
        <v>O.S.5B.TS.Ap.213</v>
      </c>
      <c r="AB104" s="50"/>
      <c r="AC104" s="50"/>
      <c r="AD104" s="50"/>
      <c r="AE104" s="50"/>
      <c r="AF104" s="50"/>
      <c r="AG104" s="50"/>
      <c r="AH104" s="50"/>
      <c r="AI104" s="50"/>
      <c r="AJ104" s="50"/>
      <c r="AK104" s="50"/>
      <c r="AL104" s="50"/>
      <c r="AM104" s="50"/>
      <c r="AN104" s="61"/>
      <c r="AO104" s="71" t="str">
        <f>VLOOKUP("*"&amp;AO$5&amp;".Ap."&amp;AO103,Check[],1,FALSE)</f>
        <v>S.S.5B.TN.Ap.204</v>
      </c>
      <c r="AP104" s="68" t="str">
        <f t="shared" ref="AP104" si="763">AO104</f>
        <v>S.S.5B.TN.Ap.204</v>
      </c>
      <c r="AQ104" s="72" t="str">
        <f>VLOOKUP("*"&amp;AQ$5&amp;".Ap."&amp;AQ103,Check[],1,FALSE)</f>
        <v>S.S.5A.TN.Ap.205</v>
      </c>
      <c r="AR104" s="68" t="str">
        <f t="shared" ref="AR104" si="764">AQ104</f>
        <v>S.S.5A.TN.Ap.205</v>
      </c>
      <c r="AS104" s="72" t="str">
        <f>VLOOKUP("*"&amp;AS$5&amp;".Ap."&amp;AS103,Check[],1,FALSE)</f>
        <v>O.S.4C.TN.Ap.206</v>
      </c>
      <c r="AT104" s="67" t="str">
        <f t="shared" ref="AT104" si="765">AS104</f>
        <v>O.S.4C.TN.Ap.206</v>
      </c>
      <c r="AU104" s="68" t="str">
        <f t="shared" ref="AU104" si="766">AT104</f>
        <v>O.S.4C.TN.Ap.206</v>
      </c>
      <c r="AV104" s="72" t="str">
        <f>VLOOKUP("*"&amp;AV$5&amp;".Ap."&amp;AV103,Check[],1,FALSE)</f>
        <v>V.GMS.S.2D.TN.Ap.207</v>
      </c>
      <c r="AW104" s="68" t="str">
        <f t="shared" ref="AW104" si="767">AV104</f>
        <v>V.GMS.S.2D.TN.Ap.207</v>
      </c>
      <c r="AX104" s="64" t="str">
        <f>VLOOKUP("*"&amp;AX$5&amp;".Ap."&amp;AX103,Check[],1,FALSE)</f>
        <v>V.GMS.S.3A.TN.Ap.201</v>
      </c>
      <c r="AY104" s="72" t="str">
        <f>VLOOKUP("*"&amp;AY$5&amp;".Ap."&amp;AY103,Check[],1,FALSE)</f>
        <v>S.S.3G.TN.Ap.202</v>
      </c>
      <c r="AZ104" s="67" t="str">
        <f t="shared" ref="AZ104" si="768">AY104</f>
        <v>S.S.3G.TN.Ap.202</v>
      </c>
      <c r="BA104" s="68" t="str">
        <f t="shared" ref="BA104" si="769">AZ104</f>
        <v>S.S.3G.TN.Ap.202</v>
      </c>
      <c r="BB104" s="72" t="str">
        <f>VLOOKUP("*"&amp;BB$5&amp;".Ap."&amp;BB103,Check[],1,FALSE)</f>
        <v>S.S.3F.TN.Ap.203</v>
      </c>
      <c r="BC104" s="73" t="str">
        <f t="shared" ref="BC104" si="770">BB104</f>
        <v>S.S.3F.TN.Ap.203</v>
      </c>
      <c r="BD104" s="62"/>
      <c r="BE104" s="55"/>
      <c r="BF104" s="55"/>
      <c r="BG104" s="62"/>
      <c r="BH104" s="1495"/>
      <c r="BI104" s="1495"/>
      <c r="BJ104" s="1495"/>
      <c r="BK104" s="57"/>
      <c r="BL104" s="364" t="s">
        <v>89</v>
      </c>
      <c r="BM104" s="353">
        <f t="shared" ref="BM104" si="771">BM108+1</f>
        <v>26</v>
      </c>
      <c r="BN104" s="1777"/>
      <c r="BP104" s="53" t="s">
        <v>89</v>
      </c>
    </row>
    <row r="105" spans="1:68" s="8" customFormat="1" ht="12" customHeight="1" x14ac:dyDescent="0.3">
      <c r="A105" s="1711"/>
      <c r="B105" s="333"/>
      <c r="C105" s="282" t="s">
        <v>65</v>
      </c>
      <c r="D105" s="25"/>
      <c r="E105" s="1495"/>
      <c r="F105" s="1495"/>
      <c r="G105" s="1495"/>
      <c r="H105" s="21"/>
      <c r="I105" s="21"/>
      <c r="J105" s="21"/>
      <c r="K105" s="21"/>
      <c r="L105" s="230">
        <f>VLOOKUP(L104,Check[],5,FALSE)</f>
        <v>207</v>
      </c>
      <c r="M105" s="237"/>
      <c r="N105" s="237">
        <f>VLOOKUP(N104,Check[],5,FALSE)</f>
        <v>208</v>
      </c>
      <c r="O105" s="237"/>
      <c r="P105" s="248">
        <f>VLOOKUP(P104,Check[],5,FALSE)</f>
        <v>209</v>
      </c>
      <c r="Q105" s="237">
        <f>VLOOKUP(Q104,Check[],5,FALSE)</f>
        <v>210</v>
      </c>
      <c r="R105" s="237"/>
      <c r="S105" s="237">
        <f>VLOOKUP(S104,Check[],5,FALSE)</f>
        <v>211</v>
      </c>
      <c r="T105" s="237"/>
      <c r="U105" s="232"/>
      <c r="V105" s="237">
        <f>VLOOKUP(V104,Check[],5,FALSE)</f>
        <v>212</v>
      </c>
      <c r="W105" s="237"/>
      <c r="X105" s="237"/>
      <c r="Y105" s="237">
        <f>VLOOKUP(Y104,Check[],5,FALSE)</f>
        <v>213</v>
      </c>
      <c r="Z105" s="233"/>
      <c r="AA105" s="233"/>
      <c r="AB105" s="19"/>
      <c r="AC105" s="19"/>
      <c r="AD105" s="19"/>
      <c r="AE105" s="19"/>
      <c r="AF105" s="19"/>
      <c r="AG105" s="19"/>
      <c r="AH105" s="19"/>
      <c r="AI105" s="19"/>
      <c r="AJ105" s="19"/>
      <c r="AK105" s="19"/>
      <c r="AL105" s="19"/>
      <c r="AM105" s="19"/>
      <c r="AN105" s="247"/>
      <c r="AO105" s="239">
        <f>VLOOKUP(AO104,Check[],5,FALSE)</f>
        <v>204</v>
      </c>
      <c r="AP105" s="240"/>
      <c r="AQ105" s="243">
        <f>VLOOKUP(AQ104,Check[],5,FALSE)</f>
        <v>205</v>
      </c>
      <c r="AR105" s="240"/>
      <c r="AS105" s="243">
        <f>VLOOKUP(AS104,Check[],5,FALSE)</f>
        <v>206</v>
      </c>
      <c r="AT105" s="244"/>
      <c r="AU105" s="242"/>
      <c r="AV105" s="243">
        <f>VLOOKUP(AV104,Check[],5,FALSE)</f>
        <v>207</v>
      </c>
      <c r="AW105" s="240"/>
      <c r="AX105" s="248">
        <f>VLOOKUP(AX104,Check[],5,FALSE)</f>
        <v>201</v>
      </c>
      <c r="AY105" s="243">
        <f>VLOOKUP(AY104,Check[],5,FALSE)</f>
        <v>202</v>
      </c>
      <c r="AZ105" s="244"/>
      <c r="BA105" s="242"/>
      <c r="BB105" s="243">
        <f>VLOOKUP(BB104,Check[],5,FALSE)</f>
        <v>203</v>
      </c>
      <c r="BC105" s="249"/>
      <c r="BD105" s="37"/>
      <c r="BE105" s="21"/>
      <c r="BF105" s="21"/>
      <c r="BG105" s="37"/>
      <c r="BH105" s="1495"/>
      <c r="BI105" s="1495"/>
      <c r="BJ105" s="1495"/>
      <c r="BK105" s="31"/>
      <c r="BL105" s="365" t="s">
        <v>65</v>
      </c>
      <c r="BM105" s="354"/>
      <c r="BN105" s="1777"/>
      <c r="BP105" s="236" t="s">
        <v>1078</v>
      </c>
    </row>
    <row r="106" spans="1:68" s="196" customFormat="1" ht="15" customHeight="1" thickBot="1" x14ac:dyDescent="0.4">
      <c r="A106" s="1712"/>
      <c r="B106" s="198">
        <f t="shared" ref="B106" si="772">B110+3.48</f>
        <v>97.000000000000014</v>
      </c>
      <c r="C106" s="283" t="s">
        <v>1</v>
      </c>
      <c r="D106" s="204"/>
      <c r="E106" s="1496"/>
      <c r="F106" s="1496"/>
      <c r="G106" s="1496"/>
      <c r="H106" s="203"/>
      <c r="I106" s="203"/>
      <c r="J106" s="203"/>
      <c r="K106" s="203"/>
      <c r="L106" s="188">
        <f>VLOOKUP(L104,Check[],6,FALSE)</f>
        <v>2601</v>
      </c>
      <c r="M106" s="199"/>
      <c r="N106" s="199">
        <f>VLOOKUP(N104,Check[],6,FALSE)</f>
        <v>2602</v>
      </c>
      <c r="O106" s="199"/>
      <c r="P106" s="193">
        <f>VLOOKUP(P104,Check[],6,FALSE)</f>
        <v>2603</v>
      </c>
      <c r="Q106" s="199">
        <f>VLOOKUP(Q104,Check[],6,FALSE)</f>
        <v>2604</v>
      </c>
      <c r="R106" s="199"/>
      <c r="S106" s="199">
        <f>VLOOKUP(S104,Check[],6,FALSE)</f>
        <v>2605</v>
      </c>
      <c r="T106" s="199"/>
      <c r="U106" s="190"/>
      <c r="V106" s="199">
        <f>VLOOKUP(V104,Check[],6,FALSE)</f>
        <v>2606</v>
      </c>
      <c r="W106" s="199"/>
      <c r="X106" s="199"/>
      <c r="Y106" s="199">
        <f>VLOOKUP(Y104,Check[],6,FALSE)</f>
        <v>2607</v>
      </c>
      <c r="Z106" s="191"/>
      <c r="AA106" s="191"/>
      <c r="AB106" s="192"/>
      <c r="AC106" s="192"/>
      <c r="AD106" s="192"/>
      <c r="AE106" s="192"/>
      <c r="AF106" s="192"/>
      <c r="AG106" s="192"/>
      <c r="AH106" s="192"/>
      <c r="AI106" s="192"/>
      <c r="AJ106" s="192"/>
      <c r="AK106" s="192"/>
      <c r="AL106" s="192"/>
      <c r="AM106" s="192"/>
      <c r="AN106" s="215"/>
      <c r="AO106" s="201">
        <f>VLOOKUP(AO104,Check[],6,FALSE)</f>
        <v>2602</v>
      </c>
      <c r="AP106" s="202"/>
      <c r="AQ106" s="211">
        <f>VLOOKUP(AQ104,Check[],6,FALSE)</f>
        <v>2603</v>
      </c>
      <c r="AR106" s="202"/>
      <c r="AS106" s="211">
        <f>VLOOKUP(AS104,Check[],6,FALSE)</f>
        <v>2604</v>
      </c>
      <c r="AT106" s="212"/>
      <c r="AU106" s="207"/>
      <c r="AV106" s="211">
        <f>VLOOKUP(AV104,Check[],6,FALSE)</f>
        <v>2605</v>
      </c>
      <c r="AW106" s="202"/>
      <c r="AX106" s="193">
        <f>VLOOKUP(AX104,Check[],6,FALSE)</f>
        <v>2605</v>
      </c>
      <c r="AY106" s="211">
        <f>VLOOKUP(AY104,Check[],6,FALSE)</f>
        <v>2607</v>
      </c>
      <c r="AZ106" s="212"/>
      <c r="BA106" s="207"/>
      <c r="BB106" s="211">
        <f>VLOOKUP(BB104,Check[],6,FALSE)</f>
        <v>2601</v>
      </c>
      <c r="BC106" s="216"/>
      <c r="BD106" s="218"/>
      <c r="BE106" s="203"/>
      <c r="BF106" s="203"/>
      <c r="BG106" s="218"/>
      <c r="BH106" s="1496"/>
      <c r="BI106" s="1496"/>
      <c r="BJ106" s="1496"/>
      <c r="BK106" s="205"/>
      <c r="BL106" s="366" t="s">
        <v>1</v>
      </c>
      <c r="BM106" s="355">
        <f t="shared" ref="BM106" si="773">BM110+3.48</f>
        <v>97.000000000000014</v>
      </c>
      <c r="BN106" s="1778"/>
      <c r="BP106" s="197" t="s">
        <v>1</v>
      </c>
    </row>
    <row r="107" spans="1:68" s="110" customFormat="1" ht="21.95" customHeight="1" x14ac:dyDescent="0.45">
      <c r="A107" s="1711"/>
      <c r="B107" s="331" t="str">
        <f t="shared" ref="B107" si="774">_xlfn.CONCAT("קומה ",B108)</f>
        <v>קומה 25</v>
      </c>
      <c r="C107" s="281" t="s">
        <v>0</v>
      </c>
      <c r="D107" s="117"/>
      <c r="E107" s="1491" t="s">
        <v>1076</v>
      </c>
      <c r="F107" s="1491" t="s">
        <v>1076</v>
      </c>
      <c r="G107" s="1491" t="s">
        <v>1076</v>
      </c>
      <c r="H107" s="116"/>
      <c r="I107" s="116"/>
      <c r="J107" s="116"/>
      <c r="K107" s="116"/>
      <c r="L107" s="104">
        <f t="shared" ref="L107" si="775">L111+7</f>
        <v>200</v>
      </c>
      <c r="M107" s="112"/>
      <c r="N107" s="112">
        <f t="shared" ref="N107" si="776">N111+7</f>
        <v>201</v>
      </c>
      <c r="O107" s="112"/>
      <c r="P107" s="159">
        <f t="shared" ref="P107:Q107" si="777">P111+7</f>
        <v>202</v>
      </c>
      <c r="Q107" s="112">
        <f t="shared" si="777"/>
        <v>203</v>
      </c>
      <c r="R107" s="112"/>
      <c r="S107" s="112">
        <f t="shared" ref="S107" si="778">S111+7</f>
        <v>204</v>
      </c>
      <c r="T107" s="112"/>
      <c r="U107" s="106"/>
      <c r="V107" s="112">
        <f t="shared" ref="V107" si="779">V111+7</f>
        <v>205</v>
      </c>
      <c r="W107" s="112"/>
      <c r="X107" s="112"/>
      <c r="Y107" s="112">
        <f t="shared" ref="Y107" si="780">Y111+7</f>
        <v>206</v>
      </c>
      <c r="Z107" s="121"/>
      <c r="AA107" s="121"/>
      <c r="AB107" s="107"/>
      <c r="AC107" s="107"/>
      <c r="AD107" s="107"/>
      <c r="AE107" s="107"/>
      <c r="AF107" s="107"/>
      <c r="AG107" s="107"/>
      <c r="AH107" s="107"/>
      <c r="AI107" s="107"/>
      <c r="AJ107" s="107"/>
      <c r="AK107" s="107"/>
      <c r="AL107" s="107"/>
      <c r="AM107" s="107"/>
      <c r="AN107" s="137"/>
      <c r="AO107" s="114">
        <f t="shared" ref="AO107" si="781">AO111+7</f>
        <v>197</v>
      </c>
      <c r="AP107" s="115"/>
      <c r="AQ107" s="123">
        <f t="shared" ref="AQ107" si="782">AQ111+7</f>
        <v>198</v>
      </c>
      <c r="AR107" s="115"/>
      <c r="AS107" s="123">
        <f t="shared" ref="AS107" si="783">AS111+7</f>
        <v>199</v>
      </c>
      <c r="AT107" s="105"/>
      <c r="AU107" s="115"/>
      <c r="AV107" s="123">
        <f t="shared" ref="AV107" si="784">AV111+7</f>
        <v>200</v>
      </c>
      <c r="AW107" s="115"/>
      <c r="AX107" s="159">
        <f t="shared" ref="AX107:AY107" si="785">AX111+7</f>
        <v>194</v>
      </c>
      <c r="AY107" s="123">
        <f t="shared" si="785"/>
        <v>195</v>
      </c>
      <c r="AZ107" s="105"/>
      <c r="BA107" s="115"/>
      <c r="BB107" s="123">
        <f t="shared" ref="BB107" si="786">BB111+7</f>
        <v>196</v>
      </c>
      <c r="BC107" s="160"/>
      <c r="BD107" s="163"/>
      <c r="BE107" s="116"/>
      <c r="BF107" s="116"/>
      <c r="BG107" s="163"/>
      <c r="BH107" s="1491" t="s">
        <v>1076</v>
      </c>
      <c r="BI107" s="1491" t="s">
        <v>1076</v>
      </c>
      <c r="BJ107" s="1491" t="s">
        <v>1076</v>
      </c>
      <c r="BK107" s="119"/>
      <c r="BL107" s="364" t="s">
        <v>0</v>
      </c>
      <c r="BM107" s="352" t="str">
        <f t="shared" ref="BM107" si="787">_xlfn.CONCAT("קומה ",BM108)</f>
        <v>קומה 25</v>
      </c>
      <c r="BN107" s="1777"/>
      <c r="BP107" s="111" t="s">
        <v>0</v>
      </c>
    </row>
    <row r="108" spans="1:68" s="52" customFormat="1" ht="9.9499999999999993" hidden="1" customHeight="1" x14ac:dyDescent="0.2">
      <c r="A108" s="1711"/>
      <c r="B108" s="332">
        <f t="shared" ref="B108" si="788">B112+1</f>
        <v>25</v>
      </c>
      <c r="C108" s="281" t="s">
        <v>89</v>
      </c>
      <c r="D108" s="56"/>
      <c r="E108" s="1492"/>
      <c r="F108" s="1492"/>
      <c r="G108" s="1492"/>
      <c r="H108" s="55"/>
      <c r="I108" s="55"/>
      <c r="J108" s="55"/>
      <c r="K108" s="55"/>
      <c r="L108" s="66" t="str">
        <f>VLOOKUP("*"&amp;L$5&amp;".Ap."&amp;L107,Check[],1,FALSE)</f>
        <v>S.S.3F.TS.Ap.200</v>
      </c>
      <c r="M108" s="64" t="str">
        <f t="shared" ref="M108" si="789">L108</f>
        <v>S.S.3F.TS.Ap.200</v>
      </c>
      <c r="N108" s="64" t="str">
        <f>VLOOKUP("*"&amp;N$5&amp;".Ap."&amp;N107,Check[],1,FALSE)</f>
        <v>V.GMS.S.3G.TS.Ap.201</v>
      </c>
      <c r="O108" s="64" t="str">
        <f t="shared" ref="O108" si="790">N108</f>
        <v>V.GMS.S.3G.TS.Ap.201</v>
      </c>
      <c r="P108" s="64" t="str">
        <f>VLOOKUP("*"&amp;P$5&amp;".Ap."&amp;P107,Check[],1,FALSE)</f>
        <v>V.GMS.S.3A.TS.Ap.202</v>
      </c>
      <c r="Q108" s="64" t="str">
        <f>VLOOKUP("*"&amp;Q$5&amp;".Ap."&amp;Q107,Check[],1,FALSE)</f>
        <v>S.S.2D.TS.Ap.203</v>
      </c>
      <c r="R108" s="64" t="str">
        <f t="shared" ref="R108" si="791">Q108</f>
        <v>S.S.2D.TS.Ap.203</v>
      </c>
      <c r="S108" s="64" t="str">
        <f>VLOOKUP("*"&amp;S$5&amp;".Ap."&amp;S107,Check[],1,FALSE)</f>
        <v>S.S.4C.TS.Ap.204</v>
      </c>
      <c r="T108" s="64" t="str">
        <f t="shared" ref="T108:U108" si="792">S108</f>
        <v>S.S.4C.TS.Ap.204</v>
      </c>
      <c r="U108" s="68" t="str">
        <f t="shared" si="792"/>
        <v>S.S.4C.TS.Ap.204</v>
      </c>
      <c r="V108" s="64" t="str">
        <f>VLOOKUP("*"&amp;V$5&amp;".Ap."&amp;V107,Check[],1,FALSE)</f>
        <v>O.S.5A.TS.Ap.205</v>
      </c>
      <c r="W108" s="64" t="str">
        <f t="shared" ref="W108" si="793">V108</f>
        <v>O.S.5A.TS.Ap.205</v>
      </c>
      <c r="X108" s="64" t="str">
        <f t="shared" ref="X108" si="794">V108</f>
        <v>O.S.5A.TS.Ap.205</v>
      </c>
      <c r="Y108" s="64" t="str">
        <f>VLOOKUP("*"&amp;Y$5&amp;".Ap."&amp;Y107,Check[],1,FALSE)</f>
        <v>V.GMC.S.5B.TS.Ap.206</v>
      </c>
      <c r="Z108" s="65" t="str">
        <f t="shared" ref="Z108" si="795">Y108</f>
        <v>V.GMC.S.5B.TS.Ap.206</v>
      </c>
      <c r="AA108" s="65" t="str">
        <f t="shared" ref="AA108" si="796">Y108</f>
        <v>V.GMC.S.5B.TS.Ap.206</v>
      </c>
      <c r="AB108" s="50"/>
      <c r="AC108" s="50"/>
      <c r="AD108" s="50"/>
      <c r="AE108" s="50"/>
      <c r="AF108" s="50"/>
      <c r="AG108" s="50"/>
      <c r="AH108" s="50"/>
      <c r="AI108" s="50"/>
      <c r="AJ108" s="50"/>
      <c r="AK108" s="50"/>
      <c r="AL108" s="50"/>
      <c r="AM108" s="50"/>
      <c r="AN108" s="61"/>
      <c r="AO108" s="71" t="str">
        <f>VLOOKUP("*"&amp;AO$5&amp;".Ap."&amp;AO107,Check[],1,FALSE)</f>
        <v>O.S.5B.TN.Ap.197</v>
      </c>
      <c r="AP108" s="68" t="str">
        <f t="shared" ref="AP108" si="797">AO108</f>
        <v>O.S.5B.TN.Ap.197</v>
      </c>
      <c r="AQ108" s="72" t="str">
        <f>VLOOKUP("*"&amp;AQ$5&amp;".Ap."&amp;AQ107,Check[],1,FALSE)</f>
        <v>S.S.5A.TN.Ap.198</v>
      </c>
      <c r="AR108" s="68" t="str">
        <f t="shared" ref="AR108" si="798">AQ108</f>
        <v>S.S.5A.TN.Ap.198</v>
      </c>
      <c r="AS108" s="72" t="str">
        <f>VLOOKUP("*"&amp;AS$5&amp;".Ap."&amp;AS107,Check[],1,FALSE)</f>
        <v>S.S.4C.TN.Ap.199</v>
      </c>
      <c r="AT108" s="67" t="str">
        <f t="shared" ref="AT108" si="799">AS108</f>
        <v>S.S.4C.TN.Ap.199</v>
      </c>
      <c r="AU108" s="68" t="str">
        <f t="shared" ref="AU108" si="800">AT108</f>
        <v>S.S.4C.TN.Ap.199</v>
      </c>
      <c r="AV108" s="72" t="str">
        <f>VLOOKUP("*"&amp;AV$5&amp;".Ap."&amp;AV107,Check[],1,FALSE)</f>
        <v>V.GMS.S.2D.TN.Ap.200</v>
      </c>
      <c r="AW108" s="68" t="str">
        <f t="shared" ref="AW108" si="801">AV108</f>
        <v>V.GMS.S.2D.TN.Ap.200</v>
      </c>
      <c r="AX108" s="64" t="str">
        <f>VLOOKUP("*"&amp;AX$5&amp;".Ap."&amp;AX107,Check[],1,FALSE)</f>
        <v>V.GMS.S.3A.TN.Ap.194</v>
      </c>
      <c r="AY108" s="72" t="str">
        <f>VLOOKUP("*"&amp;AY$5&amp;".Ap."&amp;AY107,Check[],1,FALSE)</f>
        <v>S.S.3G.TN.Ap.195</v>
      </c>
      <c r="AZ108" s="67" t="str">
        <f t="shared" ref="AZ108" si="802">AY108</f>
        <v>S.S.3G.TN.Ap.195</v>
      </c>
      <c r="BA108" s="68" t="str">
        <f t="shared" ref="BA108" si="803">AZ108</f>
        <v>S.S.3G.TN.Ap.195</v>
      </c>
      <c r="BB108" s="72" t="str">
        <f>VLOOKUP("*"&amp;BB$5&amp;".Ap."&amp;BB107,Check[],1,FALSE)</f>
        <v>S.S.3F.TN.Ap.196</v>
      </c>
      <c r="BC108" s="73" t="str">
        <f t="shared" ref="BC108" si="804">BB108</f>
        <v>S.S.3F.TN.Ap.196</v>
      </c>
      <c r="BD108" s="62"/>
      <c r="BE108" s="55"/>
      <c r="BF108" s="55"/>
      <c r="BG108" s="62"/>
      <c r="BH108" s="1492"/>
      <c r="BI108" s="1492"/>
      <c r="BJ108" s="1492"/>
      <c r="BK108" s="57"/>
      <c r="BL108" s="364" t="s">
        <v>89</v>
      </c>
      <c r="BM108" s="353">
        <f t="shared" ref="BM108" si="805">BM112+1</f>
        <v>25</v>
      </c>
      <c r="BN108" s="1777"/>
      <c r="BP108" s="53" t="s">
        <v>89</v>
      </c>
    </row>
    <row r="109" spans="1:68" s="8" customFormat="1" ht="12" customHeight="1" x14ac:dyDescent="0.3">
      <c r="A109" s="1711"/>
      <c r="B109" s="333"/>
      <c r="C109" s="282" t="s">
        <v>65</v>
      </c>
      <c r="D109" s="25"/>
      <c r="E109" s="1492"/>
      <c r="F109" s="1492"/>
      <c r="G109" s="1492"/>
      <c r="H109" s="21"/>
      <c r="I109" s="21"/>
      <c r="J109" s="21"/>
      <c r="K109" s="21"/>
      <c r="L109" s="230">
        <f>VLOOKUP(L108,Check[],5,FALSE)</f>
        <v>200</v>
      </c>
      <c r="M109" s="237"/>
      <c r="N109" s="237">
        <f>VLOOKUP(N108,Check[],5,FALSE)</f>
        <v>201</v>
      </c>
      <c r="O109" s="237"/>
      <c r="P109" s="248">
        <f>VLOOKUP(P108,Check[],5,FALSE)</f>
        <v>202</v>
      </c>
      <c r="Q109" s="237">
        <f>VLOOKUP(Q108,Check[],5,FALSE)</f>
        <v>203</v>
      </c>
      <c r="R109" s="237"/>
      <c r="S109" s="237">
        <f>VLOOKUP(S108,Check[],5,FALSE)</f>
        <v>204</v>
      </c>
      <c r="T109" s="237"/>
      <c r="U109" s="232"/>
      <c r="V109" s="237">
        <f>VLOOKUP(V108,Check[],5,FALSE)</f>
        <v>205</v>
      </c>
      <c r="W109" s="237"/>
      <c r="X109" s="237"/>
      <c r="Y109" s="237">
        <f>VLOOKUP(Y108,Check[],5,FALSE)</f>
        <v>206</v>
      </c>
      <c r="Z109" s="233"/>
      <c r="AA109" s="233"/>
      <c r="AB109" s="19"/>
      <c r="AC109" s="19"/>
      <c r="AD109" s="19"/>
      <c r="AE109" s="19"/>
      <c r="AF109" s="19"/>
      <c r="AG109" s="19"/>
      <c r="AH109" s="19"/>
      <c r="AI109" s="19"/>
      <c r="AJ109" s="19"/>
      <c r="AK109" s="19"/>
      <c r="AL109" s="19"/>
      <c r="AM109" s="19"/>
      <c r="AN109" s="247"/>
      <c r="AO109" s="239">
        <f>VLOOKUP(AO108,Check[],5,FALSE)</f>
        <v>197</v>
      </c>
      <c r="AP109" s="240"/>
      <c r="AQ109" s="243">
        <f>VLOOKUP(AQ108,Check[],5,FALSE)</f>
        <v>198</v>
      </c>
      <c r="AR109" s="240"/>
      <c r="AS109" s="243">
        <f>VLOOKUP(AS108,Check[],5,FALSE)</f>
        <v>199</v>
      </c>
      <c r="AT109" s="244"/>
      <c r="AU109" s="242"/>
      <c r="AV109" s="243">
        <f>VLOOKUP(AV108,Check[],5,FALSE)</f>
        <v>200</v>
      </c>
      <c r="AW109" s="240"/>
      <c r="AX109" s="248">
        <f>VLOOKUP(AX108,Check[],5,FALSE)</f>
        <v>194</v>
      </c>
      <c r="AY109" s="243">
        <f>VLOOKUP(AY108,Check[],5,FALSE)</f>
        <v>195</v>
      </c>
      <c r="AZ109" s="244"/>
      <c r="BA109" s="242"/>
      <c r="BB109" s="243">
        <f>VLOOKUP(BB108,Check[],5,FALSE)</f>
        <v>196</v>
      </c>
      <c r="BC109" s="249"/>
      <c r="BD109" s="37"/>
      <c r="BE109" s="21"/>
      <c r="BF109" s="21"/>
      <c r="BG109" s="37"/>
      <c r="BH109" s="1492"/>
      <c r="BI109" s="1492"/>
      <c r="BJ109" s="1492"/>
      <c r="BK109" s="31"/>
      <c r="BL109" s="365" t="s">
        <v>65</v>
      </c>
      <c r="BM109" s="354"/>
      <c r="BN109" s="1777"/>
      <c r="BP109" s="236" t="s">
        <v>1078</v>
      </c>
    </row>
    <row r="110" spans="1:68" s="196" customFormat="1" ht="15" customHeight="1" thickBot="1" x14ac:dyDescent="0.4">
      <c r="A110" s="1712"/>
      <c r="B110" s="198">
        <f t="shared" ref="B110" si="806">B114+3.48</f>
        <v>93.52000000000001</v>
      </c>
      <c r="C110" s="283" t="s">
        <v>1</v>
      </c>
      <c r="D110" s="204"/>
      <c r="E110" s="1493"/>
      <c r="F110" s="1493"/>
      <c r="G110" s="1493"/>
      <c r="H110" s="203"/>
      <c r="I110" s="203"/>
      <c r="J110" s="203"/>
      <c r="K110" s="203"/>
      <c r="L110" s="188">
        <f>VLOOKUP(L108,Check[],6,FALSE)</f>
        <v>2501</v>
      </c>
      <c r="M110" s="199"/>
      <c r="N110" s="199">
        <f>VLOOKUP(N108,Check[],6,FALSE)</f>
        <v>2502</v>
      </c>
      <c r="O110" s="199"/>
      <c r="P110" s="193">
        <f>VLOOKUP(P108,Check[],6,FALSE)</f>
        <v>2503</v>
      </c>
      <c r="Q110" s="199">
        <f>VLOOKUP(Q108,Check[],6,FALSE)</f>
        <v>2504</v>
      </c>
      <c r="R110" s="199"/>
      <c r="S110" s="199">
        <f>VLOOKUP(S108,Check[],6,FALSE)</f>
        <v>2505</v>
      </c>
      <c r="T110" s="199"/>
      <c r="U110" s="190"/>
      <c r="V110" s="199">
        <f>VLOOKUP(V108,Check[],6,FALSE)</f>
        <v>2506</v>
      </c>
      <c r="W110" s="199"/>
      <c r="X110" s="199"/>
      <c r="Y110" s="199">
        <f>VLOOKUP(Y108,Check[],6,FALSE)</f>
        <v>2507</v>
      </c>
      <c r="Z110" s="191"/>
      <c r="AA110" s="191"/>
      <c r="AB110" s="192"/>
      <c r="AC110" s="192"/>
      <c r="AD110" s="192"/>
      <c r="AE110" s="192"/>
      <c r="AF110" s="192"/>
      <c r="AG110" s="192"/>
      <c r="AH110" s="192"/>
      <c r="AI110" s="192"/>
      <c r="AJ110" s="192"/>
      <c r="AK110" s="192"/>
      <c r="AL110" s="192"/>
      <c r="AM110" s="192"/>
      <c r="AN110" s="215"/>
      <c r="AO110" s="201">
        <f>VLOOKUP(AO108,Check[],6,FALSE)</f>
        <v>2502</v>
      </c>
      <c r="AP110" s="202"/>
      <c r="AQ110" s="211">
        <f>VLOOKUP(AQ108,Check[],6,FALSE)</f>
        <v>2503</v>
      </c>
      <c r="AR110" s="202"/>
      <c r="AS110" s="211">
        <f>VLOOKUP(AS108,Check[],6,FALSE)</f>
        <v>2504</v>
      </c>
      <c r="AT110" s="212"/>
      <c r="AU110" s="207"/>
      <c r="AV110" s="211">
        <f>VLOOKUP(AV108,Check[],6,FALSE)</f>
        <v>2505</v>
      </c>
      <c r="AW110" s="202"/>
      <c r="AX110" s="193">
        <f>VLOOKUP(AX108,Check[],6,FALSE)</f>
        <v>2506</v>
      </c>
      <c r="AY110" s="211">
        <f>VLOOKUP(AY108,Check[],6,FALSE)</f>
        <v>2507</v>
      </c>
      <c r="AZ110" s="212"/>
      <c r="BA110" s="207"/>
      <c r="BB110" s="211">
        <f>VLOOKUP(BB108,Check[],6,FALSE)</f>
        <v>2501</v>
      </c>
      <c r="BC110" s="216"/>
      <c r="BD110" s="218"/>
      <c r="BE110" s="203"/>
      <c r="BF110" s="203"/>
      <c r="BG110" s="218"/>
      <c r="BH110" s="1493"/>
      <c r="BI110" s="1493"/>
      <c r="BJ110" s="1493"/>
      <c r="BK110" s="205"/>
      <c r="BL110" s="366" t="s">
        <v>1</v>
      </c>
      <c r="BM110" s="355">
        <f t="shared" ref="BM110" si="807">BM114+3.48</f>
        <v>93.52000000000001</v>
      </c>
      <c r="BN110" s="1778"/>
      <c r="BP110" s="197" t="s">
        <v>1</v>
      </c>
    </row>
    <row r="111" spans="1:68" s="110" customFormat="1" ht="21.95" customHeight="1" x14ac:dyDescent="0.45">
      <c r="A111" s="1711"/>
      <c r="B111" s="331" t="str">
        <f t="shared" ref="B111" si="808">_xlfn.CONCAT("קומה ",B112)</f>
        <v>קומה 24</v>
      </c>
      <c r="C111" s="281" t="s">
        <v>0</v>
      </c>
      <c r="D111" s="117"/>
      <c r="E111" s="1494"/>
      <c r="F111" s="1494"/>
      <c r="G111" s="1494"/>
      <c r="H111" s="116"/>
      <c r="I111" s="116"/>
      <c r="J111" s="116"/>
      <c r="K111" s="116"/>
      <c r="L111" s="104">
        <f t="shared" ref="L111" si="809">L115+7</f>
        <v>193</v>
      </c>
      <c r="M111" s="112"/>
      <c r="N111" s="112">
        <f t="shared" ref="N111" si="810">N115+7</f>
        <v>194</v>
      </c>
      <c r="O111" s="112"/>
      <c r="P111" s="159">
        <f t="shared" ref="P111:Q111" si="811">P115+7</f>
        <v>195</v>
      </c>
      <c r="Q111" s="112">
        <f t="shared" si="811"/>
        <v>196</v>
      </c>
      <c r="R111" s="112"/>
      <c r="S111" s="112">
        <f t="shared" ref="S111" si="812">S115+7</f>
        <v>197</v>
      </c>
      <c r="T111" s="112"/>
      <c r="U111" s="106"/>
      <c r="V111" s="112">
        <f t="shared" ref="V111" si="813">V115+7</f>
        <v>198</v>
      </c>
      <c r="W111" s="112"/>
      <c r="X111" s="112"/>
      <c r="Y111" s="112">
        <f t="shared" ref="Y111" si="814">Y115+7</f>
        <v>199</v>
      </c>
      <c r="Z111" s="121"/>
      <c r="AA111" s="121"/>
      <c r="AB111" s="107"/>
      <c r="AC111" s="107"/>
      <c r="AD111" s="107"/>
      <c r="AE111" s="107"/>
      <c r="AF111" s="107"/>
      <c r="AG111" s="107"/>
      <c r="AH111" s="107"/>
      <c r="AI111" s="107"/>
      <c r="AJ111" s="107"/>
      <c r="AK111" s="107"/>
      <c r="AL111" s="107"/>
      <c r="AM111" s="107"/>
      <c r="AN111" s="137"/>
      <c r="AO111" s="114">
        <f t="shared" ref="AO111" si="815">AO115+7</f>
        <v>190</v>
      </c>
      <c r="AP111" s="115"/>
      <c r="AQ111" s="123">
        <f t="shared" ref="AQ111" si="816">AQ115+7</f>
        <v>191</v>
      </c>
      <c r="AR111" s="115"/>
      <c r="AS111" s="123">
        <f t="shared" ref="AS111" si="817">AS115+7</f>
        <v>192</v>
      </c>
      <c r="AT111" s="105"/>
      <c r="AU111" s="115"/>
      <c r="AV111" s="123">
        <f t="shared" ref="AV111" si="818">AV115+7</f>
        <v>193</v>
      </c>
      <c r="AW111" s="115"/>
      <c r="AX111" s="159">
        <f t="shared" ref="AX111:AY111" si="819">AX115+7</f>
        <v>187</v>
      </c>
      <c r="AY111" s="123">
        <f t="shared" si="819"/>
        <v>188</v>
      </c>
      <c r="AZ111" s="105"/>
      <c r="BA111" s="115"/>
      <c r="BB111" s="123">
        <f t="shared" ref="BB111" si="820">BB115+7</f>
        <v>189</v>
      </c>
      <c r="BC111" s="160"/>
      <c r="BD111" s="163"/>
      <c r="BE111" s="116"/>
      <c r="BF111" s="116"/>
      <c r="BG111" s="163"/>
      <c r="BH111" s="1494"/>
      <c r="BI111" s="1494"/>
      <c r="BJ111" s="1494"/>
      <c r="BK111" s="119"/>
      <c r="BL111" s="364" t="s">
        <v>0</v>
      </c>
      <c r="BM111" s="352" t="str">
        <f t="shared" ref="BM111" si="821">_xlfn.CONCAT("קומה ",BM112)</f>
        <v>קומה 24</v>
      </c>
      <c r="BN111" s="1777"/>
      <c r="BP111" s="111" t="s">
        <v>0</v>
      </c>
    </row>
    <row r="112" spans="1:68" s="52" customFormat="1" ht="9.9499999999999993" hidden="1" customHeight="1" x14ac:dyDescent="0.2">
      <c r="A112" s="1711"/>
      <c r="B112" s="332">
        <f t="shared" ref="B112" si="822">B116+1</f>
        <v>24</v>
      </c>
      <c r="C112" s="281" t="s">
        <v>89</v>
      </c>
      <c r="D112" s="56"/>
      <c r="E112" s="1495"/>
      <c r="F112" s="1495"/>
      <c r="G112" s="1495"/>
      <c r="H112" s="55"/>
      <c r="I112" s="55"/>
      <c r="J112" s="55"/>
      <c r="K112" s="55"/>
      <c r="L112" s="66" t="str">
        <f>VLOOKUP("*"&amp;L$5&amp;".Ap."&amp;L111,Check[],1,FALSE)</f>
        <v>S.S.3F.TS.Ap.193</v>
      </c>
      <c r="M112" s="64" t="str">
        <f t="shared" ref="M112" si="823">L112</f>
        <v>S.S.3F.TS.Ap.193</v>
      </c>
      <c r="N112" s="64" t="str">
        <f>VLOOKUP("*"&amp;N$5&amp;".Ap."&amp;N111,Check[],1,FALSE)</f>
        <v>S.S.3G.TS.Ap.194</v>
      </c>
      <c r="O112" s="64" t="str">
        <f t="shared" ref="O112" si="824">N112</f>
        <v>S.S.3G.TS.Ap.194</v>
      </c>
      <c r="P112" s="64" t="str">
        <f>VLOOKUP("*"&amp;P$5&amp;".Ap."&amp;P111,Check[],1,FALSE)</f>
        <v>S.S.3A.TS.Ap.195</v>
      </c>
      <c r="Q112" s="64" t="str">
        <f>VLOOKUP("*"&amp;Q$5&amp;".Ap."&amp;Q111,Check[],1,FALSE)</f>
        <v>S.S.2D.TS.Ap.196</v>
      </c>
      <c r="R112" s="64" t="str">
        <f t="shared" ref="R112" si="825">Q112</f>
        <v>S.S.2D.TS.Ap.196</v>
      </c>
      <c r="S112" s="64" t="str">
        <f>VLOOKUP("*"&amp;S$5&amp;".Ap."&amp;S111,Check[],1,FALSE)</f>
        <v>S.S.4C.TS.Ap.197</v>
      </c>
      <c r="T112" s="64" t="str">
        <f t="shared" ref="T112:U112" si="826">S112</f>
        <v>S.S.4C.TS.Ap.197</v>
      </c>
      <c r="U112" s="68" t="str">
        <f t="shared" si="826"/>
        <v>S.S.4C.TS.Ap.197</v>
      </c>
      <c r="V112" s="64" t="str">
        <f>VLOOKUP("*"&amp;V$5&amp;".Ap."&amp;V111,Check[],1,FALSE)</f>
        <v>S.S.5A.TS.Ap.198</v>
      </c>
      <c r="W112" s="64" t="str">
        <f t="shared" ref="W112" si="827">V112</f>
        <v>S.S.5A.TS.Ap.198</v>
      </c>
      <c r="X112" s="64" t="str">
        <f t="shared" ref="X112" si="828">V112</f>
        <v>S.S.5A.TS.Ap.198</v>
      </c>
      <c r="Y112" s="64" t="str">
        <f>VLOOKUP("*"&amp;Y$5&amp;".Ap."&amp;Y111,Check[],1,FALSE)</f>
        <v>V.GMC.S.5B.TS.Ap.199</v>
      </c>
      <c r="Z112" s="65" t="str">
        <f t="shared" ref="Z112" si="829">Y112</f>
        <v>V.GMC.S.5B.TS.Ap.199</v>
      </c>
      <c r="AA112" s="65" t="str">
        <f t="shared" ref="AA112" si="830">Y112</f>
        <v>V.GMC.S.5B.TS.Ap.199</v>
      </c>
      <c r="AB112" s="50"/>
      <c r="AC112" s="50"/>
      <c r="AD112" s="50"/>
      <c r="AE112" s="50"/>
      <c r="AF112" s="50"/>
      <c r="AG112" s="50"/>
      <c r="AH112" s="50"/>
      <c r="AI112" s="50"/>
      <c r="AJ112" s="50"/>
      <c r="AK112" s="50"/>
      <c r="AL112" s="50"/>
      <c r="AM112" s="50"/>
      <c r="AN112" s="61"/>
      <c r="AO112" s="71" t="str">
        <f>VLOOKUP("*"&amp;AO$5&amp;".Ap."&amp;AO111,Check[],1,FALSE)</f>
        <v>V.GMC.S.5B.TN.Ap.190</v>
      </c>
      <c r="AP112" s="68" t="str">
        <f t="shared" ref="AP112" si="831">AO112</f>
        <v>V.GMC.S.5B.TN.Ap.190</v>
      </c>
      <c r="AQ112" s="72" t="str">
        <f>VLOOKUP("*"&amp;AQ$5&amp;".Ap."&amp;AQ111,Check[],1,FALSE)</f>
        <v>S.S.5A.TN.Ap.191</v>
      </c>
      <c r="AR112" s="68" t="str">
        <f t="shared" ref="AR112" si="832">AQ112</f>
        <v>S.S.5A.TN.Ap.191</v>
      </c>
      <c r="AS112" s="72" t="str">
        <f>VLOOKUP("*"&amp;AS$5&amp;".Ap."&amp;AS111,Check[],1,FALSE)</f>
        <v>S.S.4C.TN.Ap.192</v>
      </c>
      <c r="AT112" s="67" t="str">
        <f t="shared" ref="AT112" si="833">AS112</f>
        <v>S.S.4C.TN.Ap.192</v>
      </c>
      <c r="AU112" s="68" t="str">
        <f t="shared" ref="AU112" si="834">AT112</f>
        <v>S.S.4C.TN.Ap.192</v>
      </c>
      <c r="AV112" s="72" t="str">
        <f>VLOOKUP("*"&amp;AV$5&amp;".Ap."&amp;AV111,Check[],1,FALSE)</f>
        <v>V.GMS.S.2D.TN.Ap.193</v>
      </c>
      <c r="AW112" s="68" t="str">
        <f t="shared" ref="AW112" si="835">AV112</f>
        <v>V.GMS.S.2D.TN.Ap.193</v>
      </c>
      <c r="AX112" s="64" t="str">
        <f>VLOOKUP("*"&amp;AX$5&amp;".Ap."&amp;AX111,Check[],1,FALSE)</f>
        <v>V.GMS.S.3A.TN.Ap.187</v>
      </c>
      <c r="AY112" s="72" t="str">
        <f>VLOOKUP("*"&amp;AY$5&amp;".Ap."&amp;AY111,Check[],1,FALSE)</f>
        <v>S.S.3G.TN.Ap.188</v>
      </c>
      <c r="AZ112" s="67" t="str">
        <f t="shared" ref="AZ112" si="836">AY112</f>
        <v>S.S.3G.TN.Ap.188</v>
      </c>
      <c r="BA112" s="68" t="str">
        <f t="shared" ref="BA112" si="837">AZ112</f>
        <v>S.S.3G.TN.Ap.188</v>
      </c>
      <c r="BB112" s="72" t="str">
        <f>VLOOKUP("*"&amp;BB$5&amp;".Ap."&amp;BB111,Check[],1,FALSE)</f>
        <v>S.S.3F.TN.Ap.189</v>
      </c>
      <c r="BC112" s="73" t="str">
        <f t="shared" ref="BC112" si="838">BB112</f>
        <v>S.S.3F.TN.Ap.189</v>
      </c>
      <c r="BD112" s="62"/>
      <c r="BE112" s="55"/>
      <c r="BF112" s="55"/>
      <c r="BG112" s="62"/>
      <c r="BH112" s="1495"/>
      <c r="BI112" s="1495"/>
      <c r="BJ112" s="1495"/>
      <c r="BK112" s="57"/>
      <c r="BL112" s="364" t="s">
        <v>89</v>
      </c>
      <c r="BM112" s="353">
        <f t="shared" ref="BM112" si="839">BM116+1</f>
        <v>24</v>
      </c>
      <c r="BN112" s="1777"/>
      <c r="BP112" s="53" t="s">
        <v>89</v>
      </c>
    </row>
    <row r="113" spans="1:68" s="8" customFormat="1" ht="12" customHeight="1" x14ac:dyDescent="0.3">
      <c r="A113" s="1711"/>
      <c r="B113" s="333"/>
      <c r="C113" s="282" t="s">
        <v>65</v>
      </c>
      <c r="D113" s="25"/>
      <c r="E113" s="1495"/>
      <c r="F113" s="1495"/>
      <c r="G113" s="1495"/>
      <c r="H113" s="21"/>
      <c r="I113" s="21"/>
      <c r="J113" s="21"/>
      <c r="K113" s="21"/>
      <c r="L113" s="230">
        <f>VLOOKUP(L112,Check[],5,FALSE)</f>
        <v>193</v>
      </c>
      <c r="M113" s="237"/>
      <c r="N113" s="237">
        <f>VLOOKUP(N112,Check[],5,FALSE)</f>
        <v>194</v>
      </c>
      <c r="O113" s="237"/>
      <c r="P113" s="248">
        <f>VLOOKUP(P112,Check[],5,FALSE)</f>
        <v>195</v>
      </c>
      <c r="Q113" s="237">
        <f>VLOOKUP(Q112,Check[],5,FALSE)</f>
        <v>196</v>
      </c>
      <c r="R113" s="237"/>
      <c r="S113" s="237">
        <f>VLOOKUP(S112,Check[],5,FALSE)</f>
        <v>197</v>
      </c>
      <c r="T113" s="237"/>
      <c r="U113" s="232"/>
      <c r="V113" s="237">
        <f>VLOOKUP(V112,Check[],5,FALSE)</f>
        <v>198</v>
      </c>
      <c r="W113" s="237"/>
      <c r="X113" s="237"/>
      <c r="Y113" s="237">
        <f>VLOOKUP(Y112,Check[],5,FALSE)</f>
        <v>199</v>
      </c>
      <c r="Z113" s="233"/>
      <c r="AA113" s="233"/>
      <c r="AB113" s="19"/>
      <c r="AC113" s="19"/>
      <c r="AD113" s="19"/>
      <c r="AE113" s="19"/>
      <c r="AF113" s="19"/>
      <c r="AG113" s="19"/>
      <c r="AH113" s="19"/>
      <c r="AI113" s="19"/>
      <c r="AJ113" s="19"/>
      <c r="AK113" s="19"/>
      <c r="AL113" s="19"/>
      <c r="AM113" s="19"/>
      <c r="AN113" s="247"/>
      <c r="AO113" s="239">
        <f>VLOOKUP(AO112,Check[],5,FALSE)</f>
        <v>190</v>
      </c>
      <c r="AP113" s="240"/>
      <c r="AQ113" s="243">
        <f>VLOOKUP(AQ112,Check[],5,FALSE)</f>
        <v>191</v>
      </c>
      <c r="AR113" s="240"/>
      <c r="AS113" s="243">
        <f>VLOOKUP(AS112,Check[],5,FALSE)</f>
        <v>192</v>
      </c>
      <c r="AT113" s="244"/>
      <c r="AU113" s="242"/>
      <c r="AV113" s="243">
        <f>VLOOKUP(AV112,Check[],5,FALSE)</f>
        <v>193</v>
      </c>
      <c r="AW113" s="240"/>
      <c r="AX113" s="248">
        <f>VLOOKUP(AX112,Check[],5,FALSE)</f>
        <v>187</v>
      </c>
      <c r="AY113" s="243">
        <f>VLOOKUP(AY112,Check[],5,FALSE)</f>
        <v>188</v>
      </c>
      <c r="AZ113" s="244"/>
      <c r="BA113" s="242"/>
      <c r="BB113" s="243">
        <f>VLOOKUP(BB112,Check[],5,FALSE)</f>
        <v>189</v>
      </c>
      <c r="BC113" s="249"/>
      <c r="BD113" s="37"/>
      <c r="BE113" s="21"/>
      <c r="BF113" s="21"/>
      <c r="BG113" s="37"/>
      <c r="BH113" s="1495"/>
      <c r="BI113" s="1495"/>
      <c r="BJ113" s="1495"/>
      <c r="BK113" s="31"/>
      <c r="BL113" s="365" t="s">
        <v>65</v>
      </c>
      <c r="BM113" s="354"/>
      <c r="BN113" s="1777"/>
      <c r="BP113" s="236" t="s">
        <v>1078</v>
      </c>
    </row>
    <row r="114" spans="1:68" s="196" customFormat="1" ht="15" customHeight="1" thickBot="1" x14ac:dyDescent="0.4">
      <c r="A114" s="1712"/>
      <c r="B114" s="198">
        <f t="shared" ref="B114" si="840">B118+3.48</f>
        <v>90.04</v>
      </c>
      <c r="C114" s="283" t="s">
        <v>1</v>
      </c>
      <c r="D114" s="204"/>
      <c r="E114" s="1496"/>
      <c r="F114" s="1496"/>
      <c r="G114" s="1496"/>
      <c r="H114" s="203"/>
      <c r="I114" s="203"/>
      <c r="J114" s="203"/>
      <c r="K114" s="203"/>
      <c r="L114" s="188">
        <f>VLOOKUP(L112,Check[],6,FALSE)</f>
        <v>2401</v>
      </c>
      <c r="M114" s="199"/>
      <c r="N114" s="199">
        <f>VLOOKUP(N112,Check[],6,FALSE)</f>
        <v>2402</v>
      </c>
      <c r="O114" s="199"/>
      <c r="P114" s="193">
        <f>VLOOKUP(P112,Check[],6,FALSE)</f>
        <v>2403</v>
      </c>
      <c r="Q114" s="199">
        <f>VLOOKUP(Q112,Check[],6,FALSE)</f>
        <v>2404</v>
      </c>
      <c r="R114" s="199"/>
      <c r="S114" s="199">
        <f>VLOOKUP(S112,Check[],6,FALSE)</f>
        <v>2405</v>
      </c>
      <c r="T114" s="199"/>
      <c r="U114" s="190"/>
      <c r="V114" s="199">
        <f>VLOOKUP(V112,Check[],6,FALSE)</f>
        <v>2406</v>
      </c>
      <c r="W114" s="199"/>
      <c r="X114" s="199"/>
      <c r="Y114" s="199">
        <f>VLOOKUP(Y112,Check[],6,FALSE)</f>
        <v>2407</v>
      </c>
      <c r="Z114" s="191"/>
      <c r="AA114" s="191"/>
      <c r="AB114" s="192"/>
      <c r="AC114" s="192"/>
      <c r="AD114" s="192"/>
      <c r="AE114" s="192"/>
      <c r="AF114" s="192"/>
      <c r="AG114" s="192"/>
      <c r="AH114" s="192"/>
      <c r="AI114" s="192"/>
      <c r="AJ114" s="192"/>
      <c r="AK114" s="192"/>
      <c r="AL114" s="192"/>
      <c r="AM114" s="192"/>
      <c r="AN114" s="215"/>
      <c r="AO114" s="201">
        <f>VLOOKUP(AO112,Check[],6,FALSE)</f>
        <v>2402</v>
      </c>
      <c r="AP114" s="202"/>
      <c r="AQ114" s="211">
        <f>VLOOKUP(AQ112,Check[],6,FALSE)</f>
        <v>2403</v>
      </c>
      <c r="AR114" s="202"/>
      <c r="AS114" s="211">
        <f>VLOOKUP(AS112,Check[],6,FALSE)</f>
        <v>2404</v>
      </c>
      <c r="AT114" s="212"/>
      <c r="AU114" s="207"/>
      <c r="AV114" s="211">
        <f>VLOOKUP(AV112,Check[],6,FALSE)</f>
        <v>2405</v>
      </c>
      <c r="AW114" s="202"/>
      <c r="AX114" s="193">
        <f>VLOOKUP(AX112,Check[],6,FALSE)</f>
        <v>2406</v>
      </c>
      <c r="AY114" s="211">
        <f>VLOOKUP(AY112,Check[],6,FALSE)</f>
        <v>2407</v>
      </c>
      <c r="AZ114" s="212"/>
      <c r="BA114" s="207"/>
      <c r="BB114" s="211">
        <f>VLOOKUP(BB112,Check[],6,FALSE)</f>
        <v>2401</v>
      </c>
      <c r="BC114" s="216"/>
      <c r="BD114" s="218"/>
      <c r="BE114" s="203"/>
      <c r="BF114" s="203"/>
      <c r="BG114" s="218"/>
      <c r="BH114" s="1496"/>
      <c r="BI114" s="1496"/>
      <c r="BJ114" s="1496"/>
      <c r="BK114" s="205"/>
      <c r="BL114" s="366" t="s">
        <v>1</v>
      </c>
      <c r="BM114" s="355">
        <f t="shared" ref="BM114" si="841">BM118+3.48</f>
        <v>90.04</v>
      </c>
      <c r="BN114" s="1778"/>
      <c r="BP114" s="197" t="s">
        <v>1</v>
      </c>
    </row>
    <row r="115" spans="1:68" s="110" customFormat="1" ht="21.95" customHeight="1" x14ac:dyDescent="0.45">
      <c r="A115" s="1711"/>
      <c r="B115" s="331" t="str">
        <f t="shared" ref="B115" si="842">_xlfn.CONCAT("קומה ",B116)</f>
        <v>קומה 23</v>
      </c>
      <c r="C115" s="281" t="s">
        <v>0</v>
      </c>
      <c r="D115" s="117"/>
      <c r="E115" s="1494"/>
      <c r="F115" s="1494"/>
      <c r="G115" s="1494"/>
      <c r="H115" s="116"/>
      <c r="I115" s="116"/>
      <c r="J115" s="116"/>
      <c r="K115" s="116"/>
      <c r="L115" s="104">
        <f>L119+7</f>
        <v>186</v>
      </c>
      <c r="M115" s="112"/>
      <c r="N115" s="112">
        <f>N119+7</f>
        <v>187</v>
      </c>
      <c r="O115" s="112"/>
      <c r="P115" s="159">
        <f>P119+7</f>
        <v>188</v>
      </c>
      <c r="Q115" s="112">
        <f>Q119+7</f>
        <v>189</v>
      </c>
      <c r="R115" s="112"/>
      <c r="S115" s="112">
        <f>S119+7</f>
        <v>190</v>
      </c>
      <c r="T115" s="112"/>
      <c r="U115" s="106"/>
      <c r="V115" s="112">
        <f>V119+7</f>
        <v>191</v>
      </c>
      <c r="W115" s="112"/>
      <c r="X115" s="112"/>
      <c r="Y115" s="112">
        <f>Y119+7</f>
        <v>192</v>
      </c>
      <c r="Z115" s="121"/>
      <c r="AA115" s="121"/>
      <c r="AB115" s="107"/>
      <c r="AC115" s="107"/>
      <c r="AD115" s="107"/>
      <c r="AE115" s="107"/>
      <c r="AF115" s="107"/>
      <c r="AG115" s="107"/>
      <c r="AH115" s="107"/>
      <c r="AI115" s="107"/>
      <c r="AJ115" s="107"/>
      <c r="AK115" s="107"/>
      <c r="AL115" s="107"/>
      <c r="AM115" s="107"/>
      <c r="AN115" s="137"/>
      <c r="AO115" s="114">
        <f t="shared" ref="AO115" si="843">AO119+7</f>
        <v>183</v>
      </c>
      <c r="AP115" s="115"/>
      <c r="AQ115" s="123">
        <f t="shared" ref="AQ115" si="844">AQ119+7</f>
        <v>184</v>
      </c>
      <c r="AR115" s="115"/>
      <c r="AS115" s="123">
        <f t="shared" ref="AS115" si="845">AS119+7</f>
        <v>185</v>
      </c>
      <c r="AT115" s="105"/>
      <c r="AU115" s="115"/>
      <c r="AV115" s="123">
        <f t="shared" ref="AV115" si="846">AV119+7</f>
        <v>186</v>
      </c>
      <c r="AW115" s="115"/>
      <c r="AX115" s="159">
        <f t="shared" ref="AX115:AY115" si="847">AX119+7</f>
        <v>180</v>
      </c>
      <c r="AY115" s="123">
        <f t="shared" si="847"/>
        <v>181</v>
      </c>
      <c r="AZ115" s="105"/>
      <c r="BA115" s="115"/>
      <c r="BB115" s="123">
        <f t="shared" ref="BB115" si="848">BB119+7</f>
        <v>182</v>
      </c>
      <c r="BC115" s="160"/>
      <c r="BD115" s="163"/>
      <c r="BE115" s="116"/>
      <c r="BF115" s="116"/>
      <c r="BG115" s="163"/>
      <c r="BH115" s="1494"/>
      <c r="BI115" s="1494"/>
      <c r="BJ115" s="1494"/>
      <c r="BK115" s="119"/>
      <c r="BL115" s="364" t="s">
        <v>0</v>
      </c>
      <c r="BM115" s="352" t="str">
        <f t="shared" ref="BM115" si="849">_xlfn.CONCAT("קומה ",BM116)</f>
        <v>קומה 23</v>
      </c>
      <c r="BN115" s="1777"/>
      <c r="BP115" s="111" t="s">
        <v>0</v>
      </c>
    </row>
    <row r="116" spans="1:68" s="52" customFormat="1" ht="9.9499999999999993" hidden="1" customHeight="1" x14ac:dyDescent="0.2">
      <c r="A116" s="1711"/>
      <c r="B116" s="332">
        <f t="shared" ref="B116" si="850">B120+1</f>
        <v>23</v>
      </c>
      <c r="C116" s="281" t="s">
        <v>89</v>
      </c>
      <c r="D116" s="56"/>
      <c r="E116" s="1495"/>
      <c r="F116" s="1495"/>
      <c r="G116" s="1495"/>
      <c r="H116" s="55"/>
      <c r="I116" s="55"/>
      <c r="J116" s="55"/>
      <c r="K116" s="55"/>
      <c r="L116" s="66" t="str">
        <f>VLOOKUP("*"&amp;L$5&amp;".Ap."&amp;L115,Check[],1,FALSE)</f>
        <v>O.S.3F.TS.Ap.186</v>
      </c>
      <c r="M116" s="64" t="str">
        <f t="shared" ref="M116" si="851">L116</f>
        <v>O.S.3F.TS.Ap.186</v>
      </c>
      <c r="N116" s="64" t="str">
        <f>VLOOKUP("*"&amp;N$5&amp;".Ap."&amp;N115,Check[],1,FALSE)</f>
        <v>S.S.3G.TS.Ap.187</v>
      </c>
      <c r="O116" s="64" t="str">
        <f t="shared" ref="O116" si="852">N116</f>
        <v>S.S.3G.TS.Ap.187</v>
      </c>
      <c r="P116" s="64" t="str">
        <f>VLOOKUP("*"&amp;P$5&amp;".Ap."&amp;P115,Check[],1,FALSE)</f>
        <v>S.S.3A.TS.Ap.188</v>
      </c>
      <c r="Q116" s="64" t="str">
        <f>VLOOKUP("*"&amp;Q$5&amp;".Ap."&amp;Q115,Check[],1,FALSE)</f>
        <v>V.GMC.S.2D.TS.Ap.189</v>
      </c>
      <c r="R116" s="64" t="str">
        <f t="shared" ref="R116" si="853">Q116</f>
        <v>V.GMC.S.2D.TS.Ap.189</v>
      </c>
      <c r="S116" s="64" t="str">
        <f>VLOOKUP("*"&amp;S$5&amp;".Ap."&amp;S115,Check[],1,FALSE)</f>
        <v>S.S.4C.TS.Ap.190</v>
      </c>
      <c r="T116" s="64" t="str">
        <f t="shared" ref="T116:U116" si="854">S116</f>
        <v>S.S.4C.TS.Ap.190</v>
      </c>
      <c r="U116" s="68" t="str">
        <f t="shared" si="854"/>
        <v>S.S.4C.TS.Ap.190</v>
      </c>
      <c r="V116" s="64" t="str">
        <f>VLOOKUP("*"&amp;V$5&amp;".Ap."&amp;V115,Check[],1,FALSE)</f>
        <v>S.S.5A.TS.Ap.191</v>
      </c>
      <c r="W116" s="64" t="str">
        <f>V116</f>
        <v>S.S.5A.TS.Ap.191</v>
      </c>
      <c r="X116" s="64" t="str">
        <f>V116</f>
        <v>S.S.5A.TS.Ap.191</v>
      </c>
      <c r="Y116" s="64" t="str">
        <f>VLOOKUP("*"&amp;Y$5&amp;".Ap."&amp;Y115,Check[],1,FALSE)</f>
        <v>S.S.5B.TS.Ap.192</v>
      </c>
      <c r="Z116" s="65" t="str">
        <f>Y116</f>
        <v>S.S.5B.TS.Ap.192</v>
      </c>
      <c r="AA116" s="65" t="str">
        <f>Y116</f>
        <v>S.S.5B.TS.Ap.192</v>
      </c>
      <c r="AB116" s="50"/>
      <c r="AC116" s="50"/>
      <c r="AD116" s="50"/>
      <c r="AE116" s="50"/>
      <c r="AF116" s="50"/>
      <c r="AG116" s="50"/>
      <c r="AH116" s="50"/>
      <c r="AI116" s="50"/>
      <c r="AJ116" s="50"/>
      <c r="AK116" s="50"/>
      <c r="AL116" s="50"/>
      <c r="AM116" s="50"/>
      <c r="AN116" s="61"/>
      <c r="AO116" s="71" t="str">
        <f>VLOOKUP("*"&amp;AO$5&amp;".Ap."&amp;AO115,Check[],1,FALSE)</f>
        <v>V.GMC.S.5B.TN.Ap.183</v>
      </c>
      <c r="AP116" s="68" t="str">
        <f t="shared" ref="AP116" si="855">AO116</f>
        <v>V.GMC.S.5B.TN.Ap.183</v>
      </c>
      <c r="AQ116" s="72" t="str">
        <f>VLOOKUP("*"&amp;AQ$5&amp;".Ap."&amp;AQ115,Check[],1,FALSE)</f>
        <v>S.S.5A.TN.Ap.184</v>
      </c>
      <c r="AR116" s="68" t="str">
        <f t="shared" ref="AR116" si="856">AQ116</f>
        <v>S.S.5A.TN.Ap.184</v>
      </c>
      <c r="AS116" s="72" t="str">
        <f>VLOOKUP("*"&amp;AS$5&amp;".Ap."&amp;AS115,Check[],1,FALSE)</f>
        <v>S.S.4C.TN.Ap.185</v>
      </c>
      <c r="AT116" s="67" t="str">
        <f t="shared" ref="AT116" si="857">AS116</f>
        <v>S.S.4C.TN.Ap.185</v>
      </c>
      <c r="AU116" s="68" t="str">
        <f t="shared" ref="AU116" si="858">AT116</f>
        <v>S.S.4C.TN.Ap.185</v>
      </c>
      <c r="AV116" s="72" t="str">
        <f>VLOOKUP("*"&amp;AV$5&amp;".Ap."&amp;AV115,Check[],1,FALSE)</f>
        <v>S.S.2D.TN.Ap.186</v>
      </c>
      <c r="AW116" s="68" t="str">
        <f t="shared" ref="AW116" si="859">AV116</f>
        <v>S.S.2D.TN.Ap.186</v>
      </c>
      <c r="AX116" s="64" t="str">
        <f>VLOOKUP("*"&amp;AX$5&amp;".Ap."&amp;AX115,Check[],1,FALSE)</f>
        <v>V.GMS.S.3A.TN.Ap.180</v>
      </c>
      <c r="AY116" s="72" t="str">
        <f>VLOOKUP("*"&amp;AY$5&amp;".Ap."&amp;AY115,Check[],1,FALSE)</f>
        <v>S.S.3G.TN.Ap.181</v>
      </c>
      <c r="AZ116" s="67" t="str">
        <f t="shared" ref="AZ116" si="860">AY116</f>
        <v>S.S.3G.TN.Ap.181</v>
      </c>
      <c r="BA116" s="68" t="str">
        <f t="shared" ref="BA116" si="861">AZ116</f>
        <v>S.S.3G.TN.Ap.181</v>
      </c>
      <c r="BB116" s="72" t="str">
        <f>VLOOKUP("*"&amp;BB$5&amp;".Ap."&amp;BB115,Check[],1,FALSE)</f>
        <v>S.S.3F.TN.Ap.182</v>
      </c>
      <c r="BC116" s="73" t="str">
        <f t="shared" ref="BC116" si="862">BB116</f>
        <v>S.S.3F.TN.Ap.182</v>
      </c>
      <c r="BD116" s="62"/>
      <c r="BE116" s="55"/>
      <c r="BF116" s="55"/>
      <c r="BG116" s="62"/>
      <c r="BH116" s="1495"/>
      <c r="BI116" s="1495"/>
      <c r="BJ116" s="1495"/>
      <c r="BK116" s="57"/>
      <c r="BL116" s="364" t="s">
        <v>89</v>
      </c>
      <c r="BM116" s="353">
        <f t="shared" ref="BM116" si="863">BM120+1</f>
        <v>23</v>
      </c>
      <c r="BN116" s="1777"/>
      <c r="BP116" s="53" t="s">
        <v>89</v>
      </c>
    </row>
    <row r="117" spans="1:68" s="8" customFormat="1" ht="12" customHeight="1" x14ac:dyDescent="0.3">
      <c r="A117" s="1711"/>
      <c r="B117" s="333"/>
      <c r="C117" s="282" t="s">
        <v>65</v>
      </c>
      <c r="D117" s="25"/>
      <c r="E117" s="1495"/>
      <c r="F117" s="1495"/>
      <c r="G117" s="1495"/>
      <c r="H117" s="21"/>
      <c r="I117" s="21"/>
      <c r="J117" s="21"/>
      <c r="K117" s="21"/>
      <c r="L117" s="230">
        <f>VLOOKUP(L116,Check[],5,FALSE)</f>
        <v>186</v>
      </c>
      <c r="M117" s="237"/>
      <c r="N117" s="237">
        <f>VLOOKUP(N116,Check[],5,FALSE)</f>
        <v>187</v>
      </c>
      <c r="O117" s="237"/>
      <c r="P117" s="248">
        <f>VLOOKUP(P116,Check[],5,FALSE)</f>
        <v>188</v>
      </c>
      <c r="Q117" s="237">
        <f>VLOOKUP(Q116,Check[],5,FALSE)</f>
        <v>189</v>
      </c>
      <c r="R117" s="237"/>
      <c r="S117" s="237">
        <f>VLOOKUP(S116,Check[],5,FALSE)</f>
        <v>190</v>
      </c>
      <c r="T117" s="237"/>
      <c r="U117" s="232"/>
      <c r="V117" s="237">
        <f>VLOOKUP(V116,Check[],5,FALSE)</f>
        <v>191</v>
      </c>
      <c r="W117" s="237"/>
      <c r="X117" s="237"/>
      <c r="Y117" s="237">
        <f>VLOOKUP(Y116,Check[],5,FALSE)</f>
        <v>192</v>
      </c>
      <c r="Z117" s="233"/>
      <c r="AA117" s="233"/>
      <c r="AB117" s="19"/>
      <c r="AC117" s="19"/>
      <c r="AD117" s="19"/>
      <c r="AE117" s="19"/>
      <c r="AF117" s="19"/>
      <c r="AG117" s="19"/>
      <c r="AH117" s="19"/>
      <c r="AI117" s="19"/>
      <c r="AJ117" s="19"/>
      <c r="AK117" s="19"/>
      <c r="AL117" s="19"/>
      <c r="AM117" s="19"/>
      <c r="AN117" s="247"/>
      <c r="AO117" s="239">
        <f>VLOOKUP(AO116,Check[],5,FALSE)</f>
        <v>183</v>
      </c>
      <c r="AP117" s="240"/>
      <c r="AQ117" s="243">
        <f>VLOOKUP(AQ116,Check[],5,FALSE)</f>
        <v>184</v>
      </c>
      <c r="AR117" s="240"/>
      <c r="AS117" s="243">
        <f>VLOOKUP(AS116,Check[],5,FALSE)</f>
        <v>185</v>
      </c>
      <c r="AT117" s="244"/>
      <c r="AU117" s="242"/>
      <c r="AV117" s="243">
        <f>VLOOKUP(AV116,Check[],5,FALSE)</f>
        <v>186</v>
      </c>
      <c r="AW117" s="240"/>
      <c r="AX117" s="248">
        <f>VLOOKUP(AX116,Check[],5,FALSE)</f>
        <v>180</v>
      </c>
      <c r="AY117" s="243">
        <f>VLOOKUP(AY116,Check[],5,FALSE)</f>
        <v>181</v>
      </c>
      <c r="AZ117" s="244"/>
      <c r="BA117" s="242"/>
      <c r="BB117" s="243">
        <f>VLOOKUP(BB116,Check[],5,FALSE)</f>
        <v>182</v>
      </c>
      <c r="BC117" s="249"/>
      <c r="BD117" s="37"/>
      <c r="BE117" s="21"/>
      <c r="BF117" s="21"/>
      <c r="BG117" s="37"/>
      <c r="BH117" s="1495"/>
      <c r="BI117" s="1495"/>
      <c r="BJ117" s="1495"/>
      <c r="BK117" s="31"/>
      <c r="BL117" s="365" t="s">
        <v>65</v>
      </c>
      <c r="BM117" s="354"/>
      <c r="BN117" s="1777"/>
      <c r="BP117" s="236" t="s">
        <v>1078</v>
      </c>
    </row>
    <row r="118" spans="1:68" s="196" customFormat="1" ht="15" customHeight="1" thickBot="1" x14ac:dyDescent="0.4">
      <c r="A118" s="1712"/>
      <c r="B118" s="198">
        <f t="shared" ref="B118" si="864">B122+3.48</f>
        <v>86.56</v>
      </c>
      <c r="C118" s="283" t="s">
        <v>1</v>
      </c>
      <c r="D118" s="204"/>
      <c r="E118" s="1496"/>
      <c r="F118" s="1496"/>
      <c r="G118" s="1496"/>
      <c r="H118" s="203"/>
      <c r="I118" s="203"/>
      <c r="J118" s="203"/>
      <c r="K118" s="203"/>
      <c r="L118" s="188">
        <f>VLOOKUP(L116,Check[],6,FALSE)</f>
        <v>2301</v>
      </c>
      <c r="M118" s="199"/>
      <c r="N118" s="199">
        <f>VLOOKUP(N116,Check[],6,FALSE)</f>
        <v>2302</v>
      </c>
      <c r="O118" s="199"/>
      <c r="P118" s="193">
        <f>VLOOKUP(P116,Check[],6,FALSE)</f>
        <v>2303</v>
      </c>
      <c r="Q118" s="199">
        <f>VLOOKUP(Q116,Check[],6,FALSE)</f>
        <v>2304</v>
      </c>
      <c r="R118" s="199"/>
      <c r="S118" s="199">
        <f>VLOOKUP(S116,Check[],6,FALSE)</f>
        <v>2305</v>
      </c>
      <c r="T118" s="199"/>
      <c r="U118" s="190"/>
      <c r="V118" s="199">
        <f>VLOOKUP(V116,Check[],6,FALSE)</f>
        <v>2306</v>
      </c>
      <c r="W118" s="199"/>
      <c r="X118" s="199"/>
      <c r="Y118" s="199">
        <f>VLOOKUP(Y116,Check[],6,FALSE)</f>
        <v>2307</v>
      </c>
      <c r="Z118" s="191"/>
      <c r="AA118" s="191"/>
      <c r="AB118" s="192"/>
      <c r="AC118" s="192"/>
      <c r="AD118" s="192"/>
      <c r="AE118" s="192"/>
      <c r="AF118" s="192"/>
      <c r="AG118" s="192"/>
      <c r="AH118" s="192"/>
      <c r="AI118" s="192"/>
      <c r="AJ118" s="192"/>
      <c r="AK118" s="192"/>
      <c r="AL118" s="192"/>
      <c r="AM118" s="192"/>
      <c r="AN118" s="215"/>
      <c r="AO118" s="201">
        <f>VLOOKUP(AO116,Check[],6,FALSE)</f>
        <v>2302</v>
      </c>
      <c r="AP118" s="202"/>
      <c r="AQ118" s="211">
        <f>VLOOKUP(AQ116,Check[],6,FALSE)</f>
        <v>2303</v>
      </c>
      <c r="AR118" s="202"/>
      <c r="AS118" s="211">
        <f>VLOOKUP(AS116,Check[],6,FALSE)</f>
        <v>2304</v>
      </c>
      <c r="AT118" s="212"/>
      <c r="AU118" s="207"/>
      <c r="AV118" s="211">
        <f>VLOOKUP(AV116,Check[],6,FALSE)</f>
        <v>2305</v>
      </c>
      <c r="AW118" s="202"/>
      <c r="AX118" s="193">
        <f>VLOOKUP(AX116,Check[],6,FALSE)</f>
        <v>2306</v>
      </c>
      <c r="AY118" s="211">
        <f>VLOOKUP(AY116,Check[],6,FALSE)</f>
        <v>2307</v>
      </c>
      <c r="AZ118" s="212"/>
      <c r="BA118" s="207"/>
      <c r="BB118" s="211">
        <f>VLOOKUP(BB116,Check[],6,FALSE)</f>
        <v>2301</v>
      </c>
      <c r="BC118" s="216"/>
      <c r="BD118" s="218"/>
      <c r="BE118" s="203"/>
      <c r="BF118" s="203"/>
      <c r="BG118" s="218"/>
      <c r="BH118" s="1496"/>
      <c r="BI118" s="1496"/>
      <c r="BJ118" s="1496"/>
      <c r="BK118" s="205"/>
      <c r="BL118" s="366" t="s">
        <v>1</v>
      </c>
      <c r="BM118" s="355">
        <f t="shared" ref="BM118" si="865">BM122+3.48</f>
        <v>86.56</v>
      </c>
      <c r="BN118" s="1778"/>
      <c r="BP118" s="197" t="s">
        <v>1</v>
      </c>
    </row>
    <row r="119" spans="1:68" s="110" customFormat="1" ht="21.95" customHeight="1" x14ac:dyDescent="0.45">
      <c r="A119" s="1711"/>
      <c r="B119" s="331" t="str">
        <f t="shared" ref="B119" si="866">_xlfn.CONCAT("קומה ",B120)</f>
        <v>קומה 22</v>
      </c>
      <c r="C119" s="281" t="s">
        <v>0</v>
      </c>
      <c r="D119" s="117"/>
      <c r="E119" s="1491" t="s">
        <v>1076</v>
      </c>
      <c r="F119" s="1491" t="s">
        <v>1076</v>
      </c>
      <c r="G119" s="1491" t="s">
        <v>1076</v>
      </c>
      <c r="H119" s="116"/>
      <c r="I119" s="116"/>
      <c r="J119" s="116"/>
      <c r="K119" s="116"/>
      <c r="L119" s="104">
        <v>179</v>
      </c>
      <c r="M119" s="112"/>
      <c r="N119" s="112">
        <v>180</v>
      </c>
      <c r="O119" s="112"/>
      <c r="P119" s="159">
        <v>181</v>
      </c>
      <c r="Q119" s="112">
        <v>182</v>
      </c>
      <c r="R119" s="112"/>
      <c r="S119" s="112">
        <v>183</v>
      </c>
      <c r="T119" s="112"/>
      <c r="U119" s="106"/>
      <c r="V119" s="112">
        <v>184</v>
      </c>
      <c r="W119" s="112"/>
      <c r="X119" s="112"/>
      <c r="Y119" s="112">
        <v>185</v>
      </c>
      <c r="Z119" s="121"/>
      <c r="AA119" s="121"/>
      <c r="AB119" s="107"/>
      <c r="AC119" s="107"/>
      <c r="AD119" s="107"/>
      <c r="AE119" s="107"/>
      <c r="AF119" s="107"/>
      <c r="AG119" s="107"/>
      <c r="AH119" s="107"/>
      <c r="AI119" s="107"/>
      <c r="AJ119" s="107"/>
      <c r="AK119" s="107"/>
      <c r="AL119" s="107"/>
      <c r="AM119" s="107"/>
      <c r="AN119" s="137"/>
      <c r="AO119" s="114">
        <f t="shared" ref="AO119" si="867">AO123+7</f>
        <v>176</v>
      </c>
      <c r="AP119" s="115"/>
      <c r="AQ119" s="123">
        <f t="shared" ref="AQ119" si="868">AQ123+7</f>
        <v>177</v>
      </c>
      <c r="AR119" s="115"/>
      <c r="AS119" s="123">
        <f t="shared" ref="AS119" si="869">AS123+7</f>
        <v>178</v>
      </c>
      <c r="AT119" s="105"/>
      <c r="AU119" s="115"/>
      <c r="AV119" s="123">
        <f t="shared" ref="AV119" si="870">AV123+7</f>
        <v>179</v>
      </c>
      <c r="AW119" s="115"/>
      <c r="AX119" s="159">
        <f t="shared" ref="AX119:AY119" si="871">AX123+7</f>
        <v>173</v>
      </c>
      <c r="AY119" s="123">
        <f t="shared" si="871"/>
        <v>174</v>
      </c>
      <c r="AZ119" s="105"/>
      <c r="BA119" s="115"/>
      <c r="BB119" s="123">
        <f t="shared" ref="BB119" si="872">BB123+7</f>
        <v>175</v>
      </c>
      <c r="BC119" s="160"/>
      <c r="BD119" s="163"/>
      <c r="BE119" s="116"/>
      <c r="BF119" s="116"/>
      <c r="BG119" s="163"/>
      <c r="BH119" s="1491" t="s">
        <v>1076</v>
      </c>
      <c r="BI119" s="1491" t="s">
        <v>1076</v>
      </c>
      <c r="BJ119" s="1491" t="s">
        <v>1076</v>
      </c>
      <c r="BK119" s="119"/>
      <c r="BL119" s="364" t="s">
        <v>0</v>
      </c>
      <c r="BM119" s="352" t="str">
        <f t="shared" ref="BM119" si="873">_xlfn.CONCAT("קומה ",BM120)</f>
        <v>קומה 22</v>
      </c>
      <c r="BN119" s="1777"/>
      <c r="BP119" s="111" t="s">
        <v>0</v>
      </c>
    </row>
    <row r="120" spans="1:68" s="52" customFormat="1" ht="9.9499999999999993" hidden="1" customHeight="1" x14ac:dyDescent="0.2">
      <c r="A120" s="1711"/>
      <c r="B120" s="332">
        <f t="shared" ref="B120" si="874">B124+1</f>
        <v>22</v>
      </c>
      <c r="C120" s="281" t="s">
        <v>89</v>
      </c>
      <c r="D120" s="56"/>
      <c r="E120" s="1492"/>
      <c r="F120" s="1492"/>
      <c r="G120" s="1492"/>
      <c r="H120" s="55"/>
      <c r="I120" s="55"/>
      <c r="J120" s="55"/>
      <c r="K120" s="55"/>
      <c r="L120" s="66" t="str">
        <f>VLOOKUP("*"&amp;L$5&amp;".Ap."&amp;L119,Check[],1,FALSE)</f>
        <v>O.S.3F.TS.Ap.179</v>
      </c>
      <c r="M120" s="64" t="str">
        <f t="shared" ref="M120" si="875">L120</f>
        <v>O.S.3F.TS.Ap.179</v>
      </c>
      <c r="N120" s="64" t="str">
        <f>VLOOKUP("*"&amp;N$5&amp;".Ap."&amp;N119,Check[],1,FALSE)</f>
        <v>S.S.3G.TS.Ap.180</v>
      </c>
      <c r="O120" s="64" t="str">
        <f t="shared" ref="O120" si="876">N120</f>
        <v>S.S.3G.TS.Ap.180</v>
      </c>
      <c r="P120" s="64" t="str">
        <f>VLOOKUP("*"&amp;P$5&amp;".Ap."&amp;P119,Check[],1,FALSE)</f>
        <v>V.GMS.S.3A.TS.Ap.181</v>
      </c>
      <c r="Q120" s="64" t="str">
        <f>VLOOKUP("*"&amp;Q$5&amp;".Ap."&amp;Q119,Check[],1,FALSE)</f>
        <v>O.S.2D.TS.Ap.182</v>
      </c>
      <c r="R120" s="64" t="str">
        <f t="shared" ref="R120" si="877">Q120</f>
        <v>O.S.2D.TS.Ap.182</v>
      </c>
      <c r="S120" s="64" t="str">
        <f>VLOOKUP("*"&amp;S$5&amp;".Ap."&amp;S119,Check[],1,FALSE)</f>
        <v>S.S.4C.TS.Ap.183</v>
      </c>
      <c r="T120" s="64" t="str">
        <f t="shared" ref="T120:U120" si="878">S120</f>
        <v>S.S.4C.TS.Ap.183</v>
      </c>
      <c r="U120" s="68" t="str">
        <f t="shared" si="878"/>
        <v>S.S.4C.TS.Ap.183</v>
      </c>
      <c r="V120" s="64" t="str">
        <f>VLOOKUP("*"&amp;V$5&amp;".Ap."&amp;V119,Check[],1,FALSE)</f>
        <v>S.S.5A.TS.Ap.184</v>
      </c>
      <c r="W120" s="64" t="str">
        <f>V120</f>
        <v>S.S.5A.TS.Ap.184</v>
      </c>
      <c r="X120" s="64" t="str">
        <f t="shared" ref="X120" si="879">V120</f>
        <v>S.S.5A.TS.Ap.184</v>
      </c>
      <c r="Y120" s="64" t="str">
        <f>VLOOKUP("*"&amp;Y$5&amp;".Ap."&amp;Y119,Check[],1,FALSE)</f>
        <v>S.S.5B.TS.Ap.185</v>
      </c>
      <c r="Z120" s="65" t="str">
        <f>Y120</f>
        <v>S.S.5B.TS.Ap.185</v>
      </c>
      <c r="AA120" s="65" t="str">
        <f>Y120</f>
        <v>S.S.5B.TS.Ap.185</v>
      </c>
      <c r="AB120" s="50"/>
      <c r="AC120" s="50"/>
      <c r="AD120" s="50"/>
      <c r="AE120" s="50"/>
      <c r="AF120" s="50"/>
      <c r="AG120" s="50"/>
      <c r="AH120" s="50"/>
      <c r="AI120" s="50"/>
      <c r="AJ120" s="50"/>
      <c r="AK120" s="50"/>
      <c r="AL120" s="50"/>
      <c r="AM120" s="50"/>
      <c r="AN120" s="61"/>
      <c r="AO120" s="71" t="str">
        <f>VLOOKUP("*"&amp;AO$5&amp;".Ap."&amp;AO119,Check[],1,FALSE)</f>
        <v>O.S.5B.TN.Ap.176</v>
      </c>
      <c r="AP120" s="68" t="str">
        <f t="shared" ref="AP120" si="880">AO120</f>
        <v>O.S.5B.TN.Ap.176</v>
      </c>
      <c r="AQ120" s="72" t="str">
        <f>VLOOKUP("*"&amp;AQ$5&amp;".Ap."&amp;AQ119,Check[],1,FALSE)</f>
        <v>O.S.5A.TN.Ap.177</v>
      </c>
      <c r="AR120" s="68" t="str">
        <f t="shared" ref="AR120" si="881">AQ120</f>
        <v>O.S.5A.TN.Ap.177</v>
      </c>
      <c r="AS120" s="72" t="str">
        <f>VLOOKUP("*"&amp;AS$5&amp;".Ap."&amp;AS119,Check[],1,FALSE)</f>
        <v>S.S.4C.TN.Ap.178</v>
      </c>
      <c r="AT120" s="67" t="str">
        <f t="shared" ref="AT120" si="882">AS120</f>
        <v>S.S.4C.TN.Ap.178</v>
      </c>
      <c r="AU120" s="68" t="str">
        <f t="shared" ref="AU120" si="883">AT120</f>
        <v>S.S.4C.TN.Ap.178</v>
      </c>
      <c r="AV120" s="72" t="str">
        <f>VLOOKUP("*"&amp;AV$5&amp;".Ap."&amp;AV119,Check[],1,FALSE)</f>
        <v>S.S.2D.TN.Ap.179</v>
      </c>
      <c r="AW120" s="68" t="str">
        <f t="shared" ref="AW120" si="884">AV120</f>
        <v>S.S.2D.TN.Ap.179</v>
      </c>
      <c r="AX120" s="64" t="str">
        <f>VLOOKUP("*"&amp;AX$5&amp;".Ap."&amp;AX119,Check[],1,FALSE)</f>
        <v>V.GMS.S.3A.TN.Ap.173</v>
      </c>
      <c r="AY120" s="72" t="str">
        <f>VLOOKUP("*"&amp;AY$5&amp;".Ap."&amp;AY119,Check[],1,FALSE)</f>
        <v>S.S.3G.TN.Ap.174</v>
      </c>
      <c r="AZ120" s="67" t="str">
        <f t="shared" ref="AZ120" si="885">AY120</f>
        <v>S.S.3G.TN.Ap.174</v>
      </c>
      <c r="BA120" s="68" t="str">
        <f t="shared" ref="BA120" si="886">AZ120</f>
        <v>S.S.3G.TN.Ap.174</v>
      </c>
      <c r="BB120" s="72" t="str">
        <f>VLOOKUP("*"&amp;BB$5&amp;".Ap."&amp;BB119,Check[],1,FALSE)</f>
        <v>O.S.3F.TN.Ap.175</v>
      </c>
      <c r="BC120" s="73" t="str">
        <f t="shared" ref="BC120" si="887">BB120</f>
        <v>O.S.3F.TN.Ap.175</v>
      </c>
      <c r="BD120" s="62"/>
      <c r="BE120" s="55"/>
      <c r="BF120" s="55"/>
      <c r="BG120" s="62"/>
      <c r="BH120" s="1492"/>
      <c r="BI120" s="1492"/>
      <c r="BJ120" s="1492"/>
      <c r="BK120" s="57"/>
      <c r="BL120" s="364" t="s">
        <v>89</v>
      </c>
      <c r="BM120" s="353">
        <f t="shared" ref="BM120" si="888">BM124+1</f>
        <v>22</v>
      </c>
      <c r="BN120" s="1777"/>
      <c r="BP120" s="53" t="s">
        <v>89</v>
      </c>
    </row>
    <row r="121" spans="1:68" s="8" customFormat="1" ht="12" customHeight="1" x14ac:dyDescent="0.3">
      <c r="A121" s="1711"/>
      <c r="B121" s="333"/>
      <c r="C121" s="282" t="s">
        <v>65</v>
      </c>
      <c r="D121" s="25"/>
      <c r="E121" s="1492"/>
      <c r="F121" s="1492"/>
      <c r="G121" s="1492"/>
      <c r="H121" s="21"/>
      <c r="I121" s="21"/>
      <c r="J121" s="21"/>
      <c r="K121" s="21"/>
      <c r="L121" s="230">
        <f>VLOOKUP(L120,Check[],5,FALSE)</f>
        <v>179</v>
      </c>
      <c r="M121" s="237"/>
      <c r="N121" s="237">
        <f>VLOOKUP(N120,Check[],5,FALSE)</f>
        <v>180</v>
      </c>
      <c r="O121" s="237"/>
      <c r="P121" s="248">
        <f>VLOOKUP(P120,Check[],5,FALSE)</f>
        <v>181</v>
      </c>
      <c r="Q121" s="237">
        <f>VLOOKUP(Q120,Check[],5,FALSE)</f>
        <v>182</v>
      </c>
      <c r="R121" s="237"/>
      <c r="S121" s="237">
        <f>VLOOKUP(S120,Check[],5,FALSE)</f>
        <v>183</v>
      </c>
      <c r="T121" s="237"/>
      <c r="U121" s="232"/>
      <c r="V121" s="237">
        <f>VLOOKUP(V120,Check[],5,FALSE)</f>
        <v>184</v>
      </c>
      <c r="W121" s="237"/>
      <c r="X121" s="237"/>
      <c r="Y121" s="237">
        <f>VLOOKUP(Y120,Check[],5,FALSE)</f>
        <v>185</v>
      </c>
      <c r="Z121" s="233"/>
      <c r="AA121" s="233"/>
      <c r="AB121" s="19"/>
      <c r="AC121" s="19"/>
      <c r="AD121" s="19"/>
      <c r="AE121" s="19"/>
      <c r="AF121" s="19"/>
      <c r="AG121" s="19"/>
      <c r="AH121" s="19"/>
      <c r="AI121" s="19"/>
      <c r="AJ121" s="19"/>
      <c r="AK121" s="19"/>
      <c r="AL121" s="19"/>
      <c r="AM121" s="19"/>
      <c r="AN121" s="247"/>
      <c r="AO121" s="239">
        <f>VLOOKUP(AO120,Check[],5,FALSE)</f>
        <v>176</v>
      </c>
      <c r="AP121" s="240"/>
      <c r="AQ121" s="243">
        <f>VLOOKUP(AQ120,Check[],5,FALSE)</f>
        <v>177</v>
      </c>
      <c r="AR121" s="240"/>
      <c r="AS121" s="243">
        <f>VLOOKUP(AS120,Check[],5,FALSE)</f>
        <v>178</v>
      </c>
      <c r="AT121" s="244"/>
      <c r="AU121" s="242"/>
      <c r="AV121" s="243">
        <f>VLOOKUP(AV120,Check[],5,FALSE)</f>
        <v>179</v>
      </c>
      <c r="AW121" s="240"/>
      <c r="AX121" s="248">
        <f>VLOOKUP(AX120,Check[],5,FALSE)</f>
        <v>173</v>
      </c>
      <c r="AY121" s="243">
        <f>VLOOKUP(AY120,Check[],5,FALSE)</f>
        <v>174</v>
      </c>
      <c r="AZ121" s="244"/>
      <c r="BA121" s="242"/>
      <c r="BB121" s="243">
        <f>VLOOKUP(BB120,Check[],5,FALSE)</f>
        <v>175</v>
      </c>
      <c r="BC121" s="249"/>
      <c r="BD121" s="37"/>
      <c r="BE121" s="21"/>
      <c r="BF121" s="21"/>
      <c r="BG121" s="37"/>
      <c r="BH121" s="1492"/>
      <c r="BI121" s="1492"/>
      <c r="BJ121" s="1492"/>
      <c r="BK121" s="31"/>
      <c r="BL121" s="365" t="s">
        <v>65</v>
      </c>
      <c r="BM121" s="354"/>
      <c r="BN121" s="1777"/>
      <c r="BP121" s="236" t="s">
        <v>1078</v>
      </c>
    </row>
    <row r="122" spans="1:68" s="196" customFormat="1" ht="15" customHeight="1" thickBot="1" x14ac:dyDescent="0.4">
      <c r="A122" s="1712"/>
      <c r="B122" s="198">
        <f t="shared" ref="B122" si="889">B126+3.48</f>
        <v>83.08</v>
      </c>
      <c r="C122" s="283" t="s">
        <v>1</v>
      </c>
      <c r="D122" s="204"/>
      <c r="E122" s="1493"/>
      <c r="F122" s="1493"/>
      <c r="G122" s="1493"/>
      <c r="H122" s="203"/>
      <c r="I122" s="203"/>
      <c r="J122" s="203"/>
      <c r="K122" s="203"/>
      <c r="L122" s="188">
        <f>VLOOKUP(L120,Check[],6,FALSE)</f>
        <v>2201</v>
      </c>
      <c r="M122" s="199"/>
      <c r="N122" s="199">
        <f>VLOOKUP(N120,Check[],6,FALSE)</f>
        <v>2202</v>
      </c>
      <c r="O122" s="199"/>
      <c r="P122" s="193">
        <f>VLOOKUP(P120,Check[],6,FALSE)</f>
        <v>2203</v>
      </c>
      <c r="Q122" s="199">
        <f>VLOOKUP(Q120,Check[],6,FALSE)</f>
        <v>2204</v>
      </c>
      <c r="R122" s="199"/>
      <c r="S122" s="199">
        <f>VLOOKUP(S120,Check[],6,FALSE)</f>
        <v>2205</v>
      </c>
      <c r="T122" s="199"/>
      <c r="U122" s="190"/>
      <c r="V122" s="199">
        <f>VLOOKUP(V120,Check[],6,FALSE)</f>
        <v>2206</v>
      </c>
      <c r="W122" s="199"/>
      <c r="X122" s="199"/>
      <c r="Y122" s="199">
        <f>VLOOKUP(Y120,Check[],6,FALSE)</f>
        <v>2207</v>
      </c>
      <c r="Z122" s="191"/>
      <c r="AA122" s="191"/>
      <c r="AB122" s="192"/>
      <c r="AC122" s="192"/>
      <c r="AD122" s="192"/>
      <c r="AE122" s="192"/>
      <c r="AF122" s="192"/>
      <c r="AG122" s="192"/>
      <c r="AH122" s="192"/>
      <c r="AI122" s="192"/>
      <c r="AJ122" s="192"/>
      <c r="AK122" s="192"/>
      <c r="AL122" s="192"/>
      <c r="AM122" s="192"/>
      <c r="AN122" s="215"/>
      <c r="AO122" s="201">
        <f>VLOOKUP(AO120,Check[],6,FALSE)</f>
        <v>2202</v>
      </c>
      <c r="AP122" s="202"/>
      <c r="AQ122" s="211">
        <f>VLOOKUP(AQ120,Check[],6,FALSE)</f>
        <v>2203</v>
      </c>
      <c r="AR122" s="202"/>
      <c r="AS122" s="211">
        <f>VLOOKUP(AS120,Check[],6,FALSE)</f>
        <v>2204</v>
      </c>
      <c r="AT122" s="212"/>
      <c r="AU122" s="207"/>
      <c r="AV122" s="211">
        <f>VLOOKUP(AV120,Check[],6,FALSE)</f>
        <v>2205</v>
      </c>
      <c r="AW122" s="202"/>
      <c r="AX122" s="193">
        <f>VLOOKUP(AX120,Check[],6,FALSE)</f>
        <v>2206</v>
      </c>
      <c r="AY122" s="211">
        <f>VLOOKUP(AY120,Check[],6,FALSE)</f>
        <v>2207</v>
      </c>
      <c r="AZ122" s="212"/>
      <c r="BA122" s="207"/>
      <c r="BB122" s="211">
        <f>VLOOKUP(BB120,Check[],6,FALSE)</f>
        <v>2201</v>
      </c>
      <c r="BC122" s="216"/>
      <c r="BD122" s="218"/>
      <c r="BE122" s="203"/>
      <c r="BF122" s="203"/>
      <c r="BG122" s="218"/>
      <c r="BH122" s="1493"/>
      <c r="BI122" s="1493"/>
      <c r="BJ122" s="1493"/>
      <c r="BK122" s="205"/>
      <c r="BL122" s="366" t="s">
        <v>1</v>
      </c>
      <c r="BM122" s="355">
        <f t="shared" ref="BM122" si="890">BM126+3.48</f>
        <v>83.08</v>
      </c>
      <c r="BN122" s="1778"/>
      <c r="BP122" s="197" t="s">
        <v>1</v>
      </c>
    </row>
    <row r="123" spans="1:68" s="110" customFormat="1" ht="21.95" customHeight="1" x14ac:dyDescent="0.45">
      <c r="A123" s="1766" t="s">
        <v>59</v>
      </c>
      <c r="B123" s="326" t="str">
        <f t="shared" ref="B123" si="891">_xlfn.CONCAT("קומה ",B124)</f>
        <v>קומה 21</v>
      </c>
      <c r="C123" s="278" t="s">
        <v>0</v>
      </c>
      <c r="D123" s="117"/>
      <c r="E123" s="1494"/>
      <c r="F123" s="1494"/>
      <c r="G123" s="1494"/>
      <c r="H123" s="116"/>
      <c r="I123" s="116"/>
      <c r="J123" s="116"/>
      <c r="K123" s="116"/>
      <c r="L123" s="104">
        <f t="shared" ref="L123" si="892">L127+8</f>
        <v>171</v>
      </c>
      <c r="M123" s="112"/>
      <c r="N123" s="112">
        <f t="shared" ref="N123" si="893">N127+8</f>
        <v>172</v>
      </c>
      <c r="O123" s="112"/>
      <c r="P123" s="159">
        <f t="shared" ref="P123:Q123" si="894">P127+8</f>
        <v>173</v>
      </c>
      <c r="Q123" s="112">
        <f t="shared" si="894"/>
        <v>174</v>
      </c>
      <c r="R123" s="112"/>
      <c r="S123" s="106"/>
      <c r="T123" s="112">
        <f t="shared" ref="T123" si="895">T127+8</f>
        <v>175</v>
      </c>
      <c r="U123" s="112"/>
      <c r="V123" s="112">
        <f t="shared" ref="V123" si="896">V127+8</f>
        <v>176</v>
      </c>
      <c r="W123" s="112"/>
      <c r="X123" s="112">
        <f t="shared" ref="X123" si="897">X127+8</f>
        <v>177</v>
      </c>
      <c r="Y123" s="112"/>
      <c r="Z123" s="112">
        <f t="shared" ref="Z123" si="898">Z127+8</f>
        <v>178</v>
      </c>
      <c r="AA123" s="121"/>
      <c r="AB123" s="107"/>
      <c r="AC123" s="107"/>
      <c r="AD123" s="107"/>
      <c r="AE123" s="107"/>
      <c r="AF123" s="107"/>
      <c r="AG123" s="107"/>
      <c r="AH123" s="107"/>
      <c r="AI123" s="107"/>
      <c r="AJ123" s="107"/>
      <c r="AK123" s="107"/>
      <c r="AL123" s="107"/>
      <c r="AM123" s="107"/>
      <c r="AN123" s="137"/>
      <c r="AO123" s="114">
        <f>AO127+7</f>
        <v>169</v>
      </c>
      <c r="AP123" s="115"/>
      <c r="AQ123" s="123">
        <f>AQ127+7</f>
        <v>170</v>
      </c>
      <c r="AR123" s="115"/>
      <c r="AS123" s="123">
        <f>AS127+7</f>
        <v>171</v>
      </c>
      <c r="AT123" s="105"/>
      <c r="AU123" s="115"/>
      <c r="AV123" s="123">
        <f>AV127+7</f>
        <v>172</v>
      </c>
      <c r="AW123" s="115"/>
      <c r="AX123" s="159">
        <f>AX127+7</f>
        <v>166</v>
      </c>
      <c r="AY123" s="123">
        <f>AY127+7</f>
        <v>167</v>
      </c>
      <c r="AZ123" s="105"/>
      <c r="BA123" s="115"/>
      <c r="BB123" s="123">
        <f>BB127+7</f>
        <v>168</v>
      </c>
      <c r="BC123" s="160"/>
      <c r="BD123" s="163"/>
      <c r="BE123" s="116"/>
      <c r="BF123" s="116"/>
      <c r="BG123" s="163"/>
      <c r="BH123" s="1494"/>
      <c r="BI123" s="1494"/>
      <c r="BJ123" s="1494"/>
      <c r="BK123" s="119"/>
      <c r="BL123" s="364" t="s">
        <v>0</v>
      </c>
      <c r="BM123" s="352" t="str">
        <f t="shared" ref="BM123" si="899">_xlfn.CONCAT("קומה ",BM124)</f>
        <v>קומה 21</v>
      </c>
      <c r="BN123" s="1777"/>
      <c r="BP123" s="111" t="s">
        <v>0</v>
      </c>
    </row>
    <row r="124" spans="1:68" s="52" customFormat="1" ht="9.9499999999999993" hidden="1" customHeight="1" x14ac:dyDescent="0.2">
      <c r="A124" s="1766"/>
      <c r="B124" s="329">
        <f t="shared" ref="B124" si="900">B128+1</f>
        <v>21</v>
      </c>
      <c r="C124" s="278" t="s">
        <v>89</v>
      </c>
      <c r="D124" s="56"/>
      <c r="E124" s="1495"/>
      <c r="F124" s="1495"/>
      <c r="G124" s="1495"/>
      <c r="H124" s="55"/>
      <c r="I124" s="55"/>
      <c r="J124" s="55"/>
      <c r="K124" s="55"/>
      <c r="L124" s="66" t="str">
        <f>VLOOKUP("*"&amp;L$5&amp;".Ap."&amp;L123,Check[],1,FALSE)</f>
        <v>V.GMS.S.3B.TS.Ap.171</v>
      </c>
      <c r="M124" s="64" t="str">
        <f t="shared" ref="M124:M132" si="901">L124</f>
        <v>V.GMS.S.3B.TS.Ap.171</v>
      </c>
      <c r="N124" s="64" t="str">
        <f>VLOOKUP("*"&amp;N$5&amp;".Ap."&amp;N123,Check[],1,FALSE)</f>
        <v>S.S.3C.TS.Ap.172</v>
      </c>
      <c r="O124" s="64" t="str">
        <f t="shared" ref="O124:O132" si="902">N124</f>
        <v>S.S.3C.TS.Ap.172</v>
      </c>
      <c r="P124" s="64" t="str">
        <f>VLOOKUP("*"&amp;P$5&amp;".Ap."&amp;P123,Check[],1,FALSE)</f>
        <v>S.S.3A.TS.Ap.173</v>
      </c>
      <c r="Q124" s="64" t="str">
        <f>VLOOKUP("*"&amp;Q$5&amp;".Ap."&amp;Q123,Check[],1,FALSE)</f>
        <v>S.S.3D.TS.Ap.174</v>
      </c>
      <c r="R124" s="64" t="str">
        <f t="shared" ref="R124:S124" si="903">Q124</f>
        <v>S.S.3D.TS.Ap.174</v>
      </c>
      <c r="S124" s="68" t="str">
        <f t="shared" si="903"/>
        <v>S.S.3D.TS.Ap.174</v>
      </c>
      <c r="T124" s="64" t="str">
        <f>VLOOKUP("*"&amp;T$5&amp;".Ap."&amp;T123,Check[],1,FALSE)</f>
        <v>S.S.3E.TS.Ap.175</v>
      </c>
      <c r="U124" s="64" t="str">
        <f t="shared" ref="U124:U132" si="904">T124</f>
        <v>S.S.3E.TS.Ap.175</v>
      </c>
      <c r="V124" s="64" t="str">
        <f>VLOOKUP("*"&amp;V$5&amp;".Ap."&amp;V123,Check[],1,FALSE)</f>
        <v>O.S.4A.TS.Ap.176</v>
      </c>
      <c r="W124" s="64" t="str">
        <f t="shared" ref="W124" si="905">V124</f>
        <v>O.S.4A.TS.Ap.176</v>
      </c>
      <c r="X124" s="64" t="str">
        <f>VLOOKUP("*"&amp;X$5&amp;".Ap."&amp;X123,Check[],1,FALSE)</f>
        <v>S.S.2G.TS.Ap.177</v>
      </c>
      <c r="Y124" s="64" t="str">
        <f t="shared" ref="Y124:Y132" si="906">X124</f>
        <v>S.S.2G.TS.Ap.177</v>
      </c>
      <c r="Z124" s="64" t="str">
        <f>VLOOKUP("*"&amp;Z$5&amp;".Ap."&amp;Z123,Check[],1,FALSE)</f>
        <v>V.GMC.S.4B.TS.Ap.178</v>
      </c>
      <c r="AA124" s="65" t="str">
        <f t="shared" ref="AA124:AA184" si="907">Z124</f>
        <v>V.GMC.S.4B.TS.Ap.178</v>
      </c>
      <c r="AB124" s="50"/>
      <c r="AC124" s="50"/>
      <c r="AD124" s="50"/>
      <c r="AE124" s="50"/>
      <c r="AF124" s="50"/>
      <c r="AG124" s="50"/>
      <c r="AH124" s="50"/>
      <c r="AI124" s="50"/>
      <c r="AJ124" s="50"/>
      <c r="AK124" s="50"/>
      <c r="AL124" s="50"/>
      <c r="AM124" s="50"/>
      <c r="AN124" s="61"/>
      <c r="AO124" s="71" t="str">
        <f>VLOOKUP("*"&amp;AO$5&amp;".Ap."&amp;AO123,Check[],1,FALSE)</f>
        <v>S.S.5B.TN.Ap.169</v>
      </c>
      <c r="AP124" s="68" t="str">
        <f t="shared" ref="AP124" si="908">AO124</f>
        <v>S.S.5B.TN.Ap.169</v>
      </c>
      <c r="AQ124" s="72" t="str">
        <f>VLOOKUP("*"&amp;AQ$5&amp;".Ap."&amp;AQ123,Check[],1,FALSE)</f>
        <v>S.S.5A.TN.Ap.170</v>
      </c>
      <c r="AR124" s="68" t="str">
        <f t="shared" ref="AR124" si="909">AQ124</f>
        <v>S.S.5A.TN.Ap.170</v>
      </c>
      <c r="AS124" s="72" t="str">
        <f>VLOOKUP("*"&amp;AS$5&amp;".Ap."&amp;AS123,Check[],1,FALSE)</f>
        <v>S.S.4C.TN.Ap.171</v>
      </c>
      <c r="AT124" s="67" t="str">
        <f t="shared" ref="AT124:AU124" si="910">AS124</f>
        <v>S.S.4C.TN.Ap.171</v>
      </c>
      <c r="AU124" s="68" t="str">
        <f t="shared" si="910"/>
        <v>S.S.4C.TN.Ap.171</v>
      </c>
      <c r="AV124" s="72" t="str">
        <f>VLOOKUP("*"&amp;AV$5&amp;".Ap."&amp;AV123,Check[],1,FALSE)</f>
        <v>S.S.2D.TN.Ap.172</v>
      </c>
      <c r="AW124" s="68" t="str">
        <f t="shared" ref="AW124" si="911">AV124</f>
        <v>S.S.2D.TN.Ap.172</v>
      </c>
      <c r="AX124" s="64" t="str">
        <f>VLOOKUP("*"&amp;AX$5&amp;".Ap."&amp;AX123,Check[],1,FALSE)</f>
        <v>V.GMS.S.3A.TN.Ap.166</v>
      </c>
      <c r="AY124" s="72" t="str">
        <f>VLOOKUP("*"&amp;AY$5&amp;".Ap."&amp;AY123,Check[],1,FALSE)</f>
        <v>S.S.3G.TN.Ap.167</v>
      </c>
      <c r="AZ124" s="67" t="str">
        <f t="shared" ref="AZ124" si="912">AY124</f>
        <v>S.S.3G.TN.Ap.167</v>
      </c>
      <c r="BA124" s="68" t="str">
        <f t="shared" ref="BA124" si="913">AZ124</f>
        <v>S.S.3G.TN.Ap.167</v>
      </c>
      <c r="BB124" s="72" t="str">
        <f>VLOOKUP("*"&amp;BB$5&amp;".Ap."&amp;BB123,Check[],1,FALSE)</f>
        <v>S.S.3F.TN.Ap.168</v>
      </c>
      <c r="BC124" s="73" t="str">
        <f t="shared" ref="BC124" si="914">BB124</f>
        <v>S.S.3F.TN.Ap.168</v>
      </c>
      <c r="BD124" s="62"/>
      <c r="BE124" s="55"/>
      <c r="BF124" s="55"/>
      <c r="BG124" s="62"/>
      <c r="BH124" s="1495"/>
      <c r="BI124" s="1495"/>
      <c r="BJ124" s="1495"/>
      <c r="BK124" s="57"/>
      <c r="BL124" s="364" t="s">
        <v>89</v>
      </c>
      <c r="BM124" s="353">
        <f t="shared" ref="BM124" si="915">BM128+1</f>
        <v>21</v>
      </c>
      <c r="BN124" s="1777"/>
      <c r="BP124" s="53" t="s">
        <v>89</v>
      </c>
    </row>
    <row r="125" spans="1:68" s="8" customFormat="1" ht="12" customHeight="1" x14ac:dyDescent="0.3">
      <c r="A125" s="1766"/>
      <c r="B125" s="330"/>
      <c r="C125" s="279" t="s">
        <v>65</v>
      </c>
      <c r="D125" s="25"/>
      <c r="E125" s="1495"/>
      <c r="F125" s="1495"/>
      <c r="G125" s="1495"/>
      <c r="H125" s="21"/>
      <c r="I125" s="21"/>
      <c r="J125" s="21"/>
      <c r="K125" s="21"/>
      <c r="L125" s="230">
        <f>VLOOKUP(L124,Check[],5,FALSE)</f>
        <v>171</v>
      </c>
      <c r="M125" s="237"/>
      <c r="N125" s="237">
        <f>VLOOKUP(N124,Check[],5,FALSE)</f>
        <v>172</v>
      </c>
      <c r="O125" s="237"/>
      <c r="P125" s="248">
        <f>VLOOKUP(P124,Check[],5,FALSE)</f>
        <v>173</v>
      </c>
      <c r="Q125" s="237">
        <f>VLOOKUP(Q124,Check[],5,FALSE)</f>
        <v>174</v>
      </c>
      <c r="R125" s="237"/>
      <c r="S125" s="232"/>
      <c r="T125" s="237">
        <f>VLOOKUP(T124,Check[],5,FALSE)</f>
        <v>175</v>
      </c>
      <c r="U125" s="237"/>
      <c r="V125" s="237">
        <f>VLOOKUP(V124,Check[],5,FALSE)</f>
        <v>176</v>
      </c>
      <c r="W125" s="237"/>
      <c r="X125" s="237">
        <f>VLOOKUP(X124,Check[],5,FALSE)</f>
        <v>177</v>
      </c>
      <c r="Y125" s="237"/>
      <c r="Z125" s="237">
        <f>VLOOKUP(Z124,Check[],5,FALSE)</f>
        <v>178</v>
      </c>
      <c r="AA125" s="233"/>
      <c r="AB125" s="19"/>
      <c r="AC125" s="19"/>
      <c r="AD125" s="19"/>
      <c r="AE125" s="19"/>
      <c r="AF125" s="19"/>
      <c r="AG125" s="19"/>
      <c r="AH125" s="19"/>
      <c r="AI125" s="19"/>
      <c r="AJ125" s="19"/>
      <c r="AK125" s="19"/>
      <c r="AL125" s="19"/>
      <c r="AM125" s="19"/>
      <c r="AN125" s="247"/>
      <c r="AO125" s="239">
        <f>VLOOKUP(AO124,Check[],5,FALSE)</f>
        <v>169</v>
      </c>
      <c r="AP125" s="240"/>
      <c r="AQ125" s="243">
        <f>VLOOKUP(AQ124,Check[],5,FALSE)</f>
        <v>170</v>
      </c>
      <c r="AR125" s="240"/>
      <c r="AS125" s="243">
        <f>VLOOKUP(AS124,Check[],5,FALSE)</f>
        <v>171</v>
      </c>
      <c r="AT125" s="244"/>
      <c r="AU125" s="242"/>
      <c r="AV125" s="243">
        <f>VLOOKUP(AV124,Check[],5,FALSE)</f>
        <v>172</v>
      </c>
      <c r="AW125" s="240"/>
      <c r="AX125" s="248">
        <f>VLOOKUP(AX124,Check[],5,FALSE)</f>
        <v>166</v>
      </c>
      <c r="AY125" s="243">
        <f>VLOOKUP(AY124,Check[],5,FALSE)</f>
        <v>167</v>
      </c>
      <c r="AZ125" s="244"/>
      <c r="BA125" s="242"/>
      <c r="BB125" s="243">
        <f>VLOOKUP(BB124,Check[],5,FALSE)</f>
        <v>168</v>
      </c>
      <c r="BC125" s="249"/>
      <c r="BD125" s="37"/>
      <c r="BE125" s="21"/>
      <c r="BF125" s="21"/>
      <c r="BG125" s="37"/>
      <c r="BH125" s="1495"/>
      <c r="BI125" s="1495"/>
      <c r="BJ125" s="1495"/>
      <c r="BK125" s="31"/>
      <c r="BL125" s="365" t="s">
        <v>65</v>
      </c>
      <c r="BM125" s="354"/>
      <c r="BN125" s="1777"/>
      <c r="BP125" s="236" t="s">
        <v>1078</v>
      </c>
    </row>
    <row r="126" spans="1:68" s="196" customFormat="1" ht="15" customHeight="1" thickBot="1" x14ac:dyDescent="0.4">
      <c r="A126" s="1767"/>
      <c r="B126" s="187">
        <f t="shared" ref="B126" si="916">B130+3.48</f>
        <v>79.599999999999994</v>
      </c>
      <c r="C126" s="280" t="s">
        <v>1</v>
      </c>
      <c r="D126" s="204"/>
      <c r="E126" s="1496"/>
      <c r="F126" s="1496"/>
      <c r="G126" s="1496"/>
      <c r="H126" s="203"/>
      <c r="I126" s="203"/>
      <c r="J126" s="203"/>
      <c r="K126" s="203"/>
      <c r="L126" s="188">
        <f>VLOOKUP(L124,Check[],6,FALSE)</f>
        <v>2101</v>
      </c>
      <c r="M126" s="199"/>
      <c r="N126" s="199">
        <f>VLOOKUP(N124,Check[],6,FALSE)</f>
        <v>2102</v>
      </c>
      <c r="O126" s="199"/>
      <c r="P126" s="193">
        <f>VLOOKUP(P124,Check[],6,FALSE)</f>
        <v>2103</v>
      </c>
      <c r="Q126" s="199">
        <f>VLOOKUP(Q124,Check[],6,FALSE)</f>
        <v>2104</v>
      </c>
      <c r="R126" s="199"/>
      <c r="S126" s="190"/>
      <c r="T126" s="199">
        <f>VLOOKUP(T124,Check[],6,FALSE)</f>
        <v>2105</v>
      </c>
      <c r="U126" s="199"/>
      <c r="V126" s="199">
        <f>VLOOKUP(V124,Check[],6,FALSE)</f>
        <v>2106</v>
      </c>
      <c r="W126" s="199"/>
      <c r="X126" s="199">
        <f>VLOOKUP(X124,Check[],6,FALSE)</f>
        <v>2107</v>
      </c>
      <c r="Y126" s="199"/>
      <c r="Z126" s="199">
        <f>VLOOKUP(Z124,Check[],6,FALSE)</f>
        <v>2108</v>
      </c>
      <c r="AA126" s="191"/>
      <c r="AB126" s="192"/>
      <c r="AC126" s="192"/>
      <c r="AD126" s="192"/>
      <c r="AE126" s="192"/>
      <c r="AF126" s="192"/>
      <c r="AG126" s="192"/>
      <c r="AH126" s="192"/>
      <c r="AI126" s="192"/>
      <c r="AJ126" s="192"/>
      <c r="AK126" s="192"/>
      <c r="AL126" s="192"/>
      <c r="AM126" s="192"/>
      <c r="AN126" s="215"/>
      <c r="AO126" s="201">
        <f>VLOOKUP(AO124,Check[],6,FALSE)</f>
        <v>2102</v>
      </c>
      <c r="AP126" s="202"/>
      <c r="AQ126" s="211">
        <f>VLOOKUP(AQ124,Check[],6,FALSE)</f>
        <v>2103</v>
      </c>
      <c r="AR126" s="202"/>
      <c r="AS126" s="211">
        <f>VLOOKUP(AS124,Check[],6,FALSE)</f>
        <v>2104</v>
      </c>
      <c r="AT126" s="212"/>
      <c r="AU126" s="207"/>
      <c r="AV126" s="211">
        <f>VLOOKUP(AV124,Check[],6,FALSE)</f>
        <v>2105</v>
      </c>
      <c r="AW126" s="202"/>
      <c r="AX126" s="193">
        <f>VLOOKUP(AX124,Check[],6,FALSE)</f>
        <v>2106</v>
      </c>
      <c r="AY126" s="211">
        <f>VLOOKUP(AY124,Check[],6,FALSE)</f>
        <v>2107</v>
      </c>
      <c r="AZ126" s="212"/>
      <c r="BA126" s="207"/>
      <c r="BB126" s="211">
        <f>VLOOKUP(BB124,Check[],6,FALSE)</f>
        <v>2101</v>
      </c>
      <c r="BC126" s="216"/>
      <c r="BD126" s="218"/>
      <c r="BE126" s="203"/>
      <c r="BF126" s="203"/>
      <c r="BG126" s="218"/>
      <c r="BH126" s="1496"/>
      <c r="BI126" s="1496"/>
      <c r="BJ126" s="1496"/>
      <c r="BK126" s="205"/>
      <c r="BL126" s="366" t="s">
        <v>1</v>
      </c>
      <c r="BM126" s="355">
        <f t="shared" ref="BM126" si="917">BM130+3.48</f>
        <v>79.599999999999994</v>
      </c>
      <c r="BN126" s="1778"/>
      <c r="BP126" s="197" t="s">
        <v>1</v>
      </c>
    </row>
    <row r="127" spans="1:68" s="110" customFormat="1" ht="21.95" customHeight="1" x14ac:dyDescent="0.45">
      <c r="A127" s="1766"/>
      <c r="B127" s="326" t="str">
        <f t="shared" ref="B127" si="918">_xlfn.CONCAT("קומה ",B128)</f>
        <v>קומה 20</v>
      </c>
      <c r="C127" s="278" t="s">
        <v>0</v>
      </c>
      <c r="D127" s="117"/>
      <c r="E127" s="1494"/>
      <c r="F127" s="1494"/>
      <c r="G127" s="1494"/>
      <c r="H127" s="116"/>
      <c r="I127" s="116"/>
      <c r="J127" s="116"/>
      <c r="K127" s="116"/>
      <c r="L127" s="104">
        <f t="shared" ref="L127" si="919">L131+8</f>
        <v>163</v>
      </c>
      <c r="M127" s="112"/>
      <c r="N127" s="112">
        <f t="shared" ref="N127" si="920">N131+8</f>
        <v>164</v>
      </c>
      <c r="O127" s="112"/>
      <c r="P127" s="159">
        <f t="shared" ref="P127:Q127" si="921">P131+8</f>
        <v>165</v>
      </c>
      <c r="Q127" s="112">
        <f t="shared" si="921"/>
        <v>166</v>
      </c>
      <c r="R127" s="112"/>
      <c r="S127" s="106"/>
      <c r="T127" s="112">
        <f t="shared" ref="T127" si="922">T131+8</f>
        <v>167</v>
      </c>
      <c r="U127" s="112"/>
      <c r="V127" s="112">
        <f t="shared" ref="V127" si="923">V131+8</f>
        <v>168</v>
      </c>
      <c r="W127" s="112"/>
      <c r="X127" s="112">
        <f t="shared" ref="X127" si="924">X131+8</f>
        <v>169</v>
      </c>
      <c r="Y127" s="112"/>
      <c r="Z127" s="112">
        <f t="shared" ref="Z127" si="925">Z131+8</f>
        <v>170</v>
      </c>
      <c r="AA127" s="121"/>
      <c r="AB127" s="107"/>
      <c r="AC127" s="107"/>
      <c r="AD127" s="107"/>
      <c r="AE127" s="107"/>
      <c r="AF127" s="107"/>
      <c r="AG127" s="107"/>
      <c r="AH127" s="107"/>
      <c r="AI127" s="107"/>
      <c r="AJ127" s="107"/>
      <c r="AK127" s="107"/>
      <c r="AL127" s="107"/>
      <c r="AM127" s="107"/>
      <c r="AN127" s="137"/>
      <c r="AO127" s="114">
        <v>162</v>
      </c>
      <c r="AP127" s="115"/>
      <c r="AQ127" s="123">
        <v>163</v>
      </c>
      <c r="AR127" s="115"/>
      <c r="AS127" s="123">
        <v>164</v>
      </c>
      <c r="AT127" s="105"/>
      <c r="AU127" s="115"/>
      <c r="AV127" s="123">
        <v>165</v>
      </c>
      <c r="AW127" s="115"/>
      <c r="AX127" s="159">
        <v>159</v>
      </c>
      <c r="AY127" s="123">
        <v>160</v>
      </c>
      <c r="AZ127" s="105"/>
      <c r="BA127" s="115"/>
      <c r="BB127" s="123">
        <v>161</v>
      </c>
      <c r="BC127" s="160"/>
      <c r="BD127" s="163"/>
      <c r="BE127" s="116"/>
      <c r="BF127" s="116"/>
      <c r="BG127" s="163"/>
      <c r="BH127" s="1494"/>
      <c r="BI127" s="1494"/>
      <c r="BJ127" s="1494"/>
      <c r="BK127" s="119"/>
      <c r="BL127" s="364" t="s">
        <v>0</v>
      </c>
      <c r="BM127" s="352" t="str">
        <f t="shared" ref="BM127" si="926">_xlfn.CONCAT("קומה ",BM128)</f>
        <v>קומה 20</v>
      </c>
      <c r="BN127" s="1777"/>
      <c r="BP127" s="111" t="s">
        <v>0</v>
      </c>
    </row>
    <row r="128" spans="1:68" s="52" customFormat="1" ht="9.9499999999999993" hidden="1" customHeight="1" x14ac:dyDescent="0.2">
      <c r="A128" s="1766"/>
      <c r="B128" s="329">
        <f t="shared" ref="B128" si="927">B132+1</f>
        <v>20</v>
      </c>
      <c r="C128" s="278" t="s">
        <v>89</v>
      </c>
      <c r="D128" s="56"/>
      <c r="E128" s="1495"/>
      <c r="F128" s="1495"/>
      <c r="G128" s="1495"/>
      <c r="H128" s="55"/>
      <c r="I128" s="55"/>
      <c r="J128" s="55"/>
      <c r="K128" s="55"/>
      <c r="L128" s="66" t="str">
        <f>VLOOKUP("*"&amp;L$5&amp;".Ap."&amp;L127,Check[],1,FALSE)</f>
        <v>V.GMS.S.3B.TS.Ap.163</v>
      </c>
      <c r="M128" s="64" t="str">
        <f t="shared" si="901"/>
        <v>V.GMS.S.3B.TS.Ap.163</v>
      </c>
      <c r="N128" s="64" t="str">
        <f>VLOOKUP("*"&amp;N$5&amp;".Ap."&amp;N127,Check[],1,FALSE)</f>
        <v>S.S.3C.TS.Ap.164</v>
      </c>
      <c r="O128" s="64" t="str">
        <f t="shared" si="902"/>
        <v>S.S.3C.TS.Ap.164</v>
      </c>
      <c r="P128" s="64" t="str">
        <f>VLOOKUP("*"&amp;P$5&amp;".Ap."&amp;P127,Check[],1,FALSE)</f>
        <v>S.S.3A.TS.Ap.165</v>
      </c>
      <c r="Q128" s="64" t="str">
        <f>VLOOKUP("*"&amp;Q$5&amp;".Ap."&amp;Q127,Check[],1,FALSE)</f>
        <v>S.S.3D.TS.Ap.166</v>
      </c>
      <c r="R128" s="64" t="str">
        <f t="shared" ref="R128:S128" si="928">Q128</f>
        <v>S.S.3D.TS.Ap.166</v>
      </c>
      <c r="S128" s="68" t="str">
        <f t="shared" si="928"/>
        <v>S.S.3D.TS.Ap.166</v>
      </c>
      <c r="T128" s="64" t="str">
        <f>VLOOKUP("*"&amp;T$5&amp;".Ap."&amp;T127,Check[],1,FALSE)</f>
        <v>S.S.3E.TS.Ap.167</v>
      </c>
      <c r="U128" s="64" t="str">
        <f t="shared" si="904"/>
        <v>S.S.3E.TS.Ap.167</v>
      </c>
      <c r="V128" s="64" t="str">
        <f>VLOOKUP("*"&amp;V$5&amp;".Ap."&amp;V127,Check[],1,FALSE)</f>
        <v>S.S.4A.TS.Ap.168</v>
      </c>
      <c r="W128" s="64" t="str">
        <f t="shared" ref="W128" si="929">V128</f>
        <v>S.S.4A.TS.Ap.168</v>
      </c>
      <c r="X128" s="64" t="str">
        <f>VLOOKUP("*"&amp;X$5&amp;".Ap."&amp;X127,Check[],1,FALSE)</f>
        <v>O.S.2G.TS.Ap.169</v>
      </c>
      <c r="Y128" s="64" t="str">
        <f t="shared" si="906"/>
        <v>O.S.2G.TS.Ap.169</v>
      </c>
      <c r="Z128" s="64" t="str">
        <f>VLOOKUP("*"&amp;Z$5&amp;".Ap."&amp;Z127,Check[],1,FALSE)</f>
        <v>O.S.4B.TS.Ap.170</v>
      </c>
      <c r="AA128" s="65" t="str">
        <f t="shared" si="907"/>
        <v>O.S.4B.TS.Ap.170</v>
      </c>
      <c r="AB128" s="50"/>
      <c r="AC128" s="50"/>
      <c r="AD128" s="50"/>
      <c r="AE128" s="50"/>
      <c r="AF128" s="50"/>
      <c r="AG128" s="50"/>
      <c r="AH128" s="50"/>
      <c r="AI128" s="50"/>
      <c r="AJ128" s="50"/>
      <c r="AK128" s="50"/>
      <c r="AL128" s="50"/>
      <c r="AM128" s="50"/>
      <c r="AN128" s="61"/>
      <c r="AO128" s="71" t="str">
        <f>VLOOKUP("*"&amp;AO$5&amp;".Ap."&amp;AO127,Check[],1,FALSE)</f>
        <v>S.S.5B.TN.Ap.162</v>
      </c>
      <c r="AP128" s="68" t="str">
        <f t="shared" ref="AP128" si="930">AO128</f>
        <v>S.S.5B.TN.Ap.162</v>
      </c>
      <c r="AQ128" s="72" t="str">
        <f>VLOOKUP("*"&amp;AQ$5&amp;".Ap."&amp;AQ127,Check[],1,FALSE)</f>
        <v>V.GM.S.5A.TN.Ap.163</v>
      </c>
      <c r="AR128" s="68" t="str">
        <f t="shared" ref="AR128" si="931">AQ128</f>
        <v>V.GM.S.5A.TN.Ap.163</v>
      </c>
      <c r="AS128" s="72" t="str">
        <f>VLOOKUP("*"&amp;AS$5&amp;".Ap."&amp;AS127,Check[],1,FALSE)</f>
        <v>S.S.4C.TN.Ap.164</v>
      </c>
      <c r="AT128" s="67" t="str">
        <f t="shared" ref="AT128:AU128" si="932">AS128</f>
        <v>S.S.4C.TN.Ap.164</v>
      </c>
      <c r="AU128" s="68" t="str">
        <f t="shared" si="932"/>
        <v>S.S.4C.TN.Ap.164</v>
      </c>
      <c r="AV128" s="72" t="str">
        <f>VLOOKUP("*"&amp;AV$5&amp;".Ap."&amp;AV127,Check[],1,FALSE)</f>
        <v>S.S.2D.TN.Ap.165</v>
      </c>
      <c r="AW128" s="68" t="str">
        <f t="shared" ref="AW128" si="933">AV128</f>
        <v>S.S.2D.TN.Ap.165</v>
      </c>
      <c r="AX128" s="64" t="str">
        <f>VLOOKUP("*"&amp;AX$5&amp;".Ap."&amp;AX127,Check[],1,FALSE)</f>
        <v>S.S.3A.TN.Ap.159</v>
      </c>
      <c r="AY128" s="72" t="str">
        <f>VLOOKUP("*"&amp;AY$5&amp;".Ap."&amp;AY127,Check[],1,FALSE)</f>
        <v>S.S.3G.TN.Ap.160</v>
      </c>
      <c r="AZ128" s="67" t="str">
        <f t="shared" ref="AZ128" si="934">AY128</f>
        <v>S.S.3G.TN.Ap.160</v>
      </c>
      <c r="BA128" s="68" t="str">
        <f t="shared" ref="BA128" si="935">AZ128</f>
        <v>S.S.3G.TN.Ap.160</v>
      </c>
      <c r="BB128" s="72" t="str">
        <f>VLOOKUP("*"&amp;BB$5&amp;".Ap."&amp;BB127,Check[],1,FALSE)</f>
        <v>S.S.3F.TN.Ap.161</v>
      </c>
      <c r="BC128" s="73" t="str">
        <f t="shared" ref="BC128" si="936">BB128</f>
        <v>S.S.3F.TN.Ap.161</v>
      </c>
      <c r="BD128" s="62"/>
      <c r="BE128" s="55"/>
      <c r="BF128" s="55"/>
      <c r="BG128" s="62"/>
      <c r="BH128" s="1495"/>
      <c r="BI128" s="1495"/>
      <c r="BJ128" s="1495"/>
      <c r="BK128" s="57"/>
      <c r="BL128" s="364" t="s">
        <v>89</v>
      </c>
      <c r="BM128" s="353">
        <f t="shared" ref="BM128" si="937">BM132+1</f>
        <v>20</v>
      </c>
      <c r="BN128" s="1777"/>
      <c r="BP128" s="53" t="s">
        <v>89</v>
      </c>
    </row>
    <row r="129" spans="1:68" s="8" customFormat="1" ht="12" customHeight="1" x14ac:dyDescent="0.3">
      <c r="A129" s="1766"/>
      <c r="B129" s="330"/>
      <c r="C129" s="279" t="s">
        <v>65</v>
      </c>
      <c r="D129" s="25"/>
      <c r="E129" s="1495"/>
      <c r="F129" s="1495"/>
      <c r="G129" s="1495"/>
      <c r="H129" s="21"/>
      <c r="I129" s="21"/>
      <c r="J129" s="21"/>
      <c r="K129" s="21"/>
      <c r="L129" s="230">
        <f>VLOOKUP(L128,Check[],5,FALSE)</f>
        <v>163</v>
      </c>
      <c r="M129" s="237"/>
      <c r="N129" s="237">
        <f>VLOOKUP(N128,Check[],5,FALSE)</f>
        <v>164</v>
      </c>
      <c r="O129" s="237"/>
      <c r="P129" s="248">
        <f>VLOOKUP(P128,Check[],5,FALSE)</f>
        <v>165</v>
      </c>
      <c r="Q129" s="237">
        <f>VLOOKUP(Q128,Check[],5,FALSE)</f>
        <v>166</v>
      </c>
      <c r="R129" s="237"/>
      <c r="S129" s="232"/>
      <c r="T129" s="237">
        <f>VLOOKUP(T128,Check[],5,FALSE)</f>
        <v>167</v>
      </c>
      <c r="U129" s="237"/>
      <c r="V129" s="237">
        <f>VLOOKUP(V128,Check[],5,FALSE)</f>
        <v>168</v>
      </c>
      <c r="W129" s="237"/>
      <c r="X129" s="237">
        <f>VLOOKUP(X128,Check[],5,FALSE)</f>
        <v>169</v>
      </c>
      <c r="Y129" s="237"/>
      <c r="Z129" s="237">
        <f>VLOOKUP(Z128,Check[],5,FALSE)</f>
        <v>170</v>
      </c>
      <c r="AA129" s="233"/>
      <c r="AB129" s="19"/>
      <c r="AC129" s="19"/>
      <c r="AD129" s="19"/>
      <c r="AE129" s="19"/>
      <c r="AF129" s="19"/>
      <c r="AG129" s="19"/>
      <c r="AH129" s="19"/>
      <c r="AI129" s="19"/>
      <c r="AJ129" s="19"/>
      <c r="AK129" s="19"/>
      <c r="AL129" s="19"/>
      <c r="AM129" s="19"/>
      <c r="AN129" s="247"/>
      <c r="AO129" s="239">
        <f>VLOOKUP(AO128,Check[],5,FALSE)</f>
        <v>162</v>
      </c>
      <c r="AP129" s="240"/>
      <c r="AQ129" s="243">
        <f>VLOOKUP(AQ128,Check[],5,FALSE)</f>
        <v>163</v>
      </c>
      <c r="AR129" s="240"/>
      <c r="AS129" s="243">
        <f>VLOOKUP(AS128,Check[],5,FALSE)</f>
        <v>164</v>
      </c>
      <c r="AT129" s="244"/>
      <c r="AU129" s="242"/>
      <c r="AV129" s="243">
        <f>VLOOKUP(AV128,Check[],5,FALSE)</f>
        <v>165</v>
      </c>
      <c r="AW129" s="240"/>
      <c r="AX129" s="248">
        <f>VLOOKUP(AX128,Check[],5,FALSE)</f>
        <v>159</v>
      </c>
      <c r="AY129" s="243">
        <f>VLOOKUP(AY128,Check[],5,FALSE)</f>
        <v>160</v>
      </c>
      <c r="AZ129" s="244"/>
      <c r="BA129" s="242"/>
      <c r="BB129" s="243">
        <f>VLOOKUP(BB128,Check[],5,FALSE)</f>
        <v>161</v>
      </c>
      <c r="BC129" s="249"/>
      <c r="BD129" s="37"/>
      <c r="BE129" s="21"/>
      <c r="BF129" s="21"/>
      <c r="BG129" s="37"/>
      <c r="BH129" s="1495"/>
      <c r="BI129" s="1495"/>
      <c r="BJ129" s="1495"/>
      <c r="BK129" s="31"/>
      <c r="BL129" s="365" t="s">
        <v>65</v>
      </c>
      <c r="BM129" s="354"/>
      <c r="BN129" s="1777"/>
      <c r="BP129" s="236" t="s">
        <v>1078</v>
      </c>
    </row>
    <row r="130" spans="1:68" s="196" customFormat="1" ht="15" customHeight="1" thickBot="1" x14ac:dyDescent="0.4">
      <c r="A130" s="1767"/>
      <c r="B130" s="187">
        <f t="shared" ref="B130" si="938">B134+3.48</f>
        <v>76.11999999999999</v>
      </c>
      <c r="C130" s="280" t="s">
        <v>1</v>
      </c>
      <c r="D130" s="204"/>
      <c r="E130" s="1496"/>
      <c r="F130" s="1496"/>
      <c r="G130" s="1496"/>
      <c r="H130" s="203"/>
      <c r="I130" s="203"/>
      <c r="J130" s="203"/>
      <c r="K130" s="203"/>
      <c r="L130" s="188">
        <f>VLOOKUP(L128,Check[],6,FALSE)</f>
        <v>2001</v>
      </c>
      <c r="M130" s="199"/>
      <c r="N130" s="199">
        <f>VLOOKUP(N128,Check[],6,FALSE)</f>
        <v>2002</v>
      </c>
      <c r="O130" s="199"/>
      <c r="P130" s="193">
        <f>VLOOKUP(P128,Check[],6,FALSE)</f>
        <v>2003</v>
      </c>
      <c r="Q130" s="199">
        <f>VLOOKUP(Q128,Check[],6,FALSE)</f>
        <v>2004</v>
      </c>
      <c r="R130" s="199"/>
      <c r="S130" s="190"/>
      <c r="T130" s="199">
        <f>VLOOKUP(T128,Check[],6,FALSE)</f>
        <v>2005</v>
      </c>
      <c r="U130" s="199"/>
      <c r="V130" s="199">
        <f>VLOOKUP(V128,Check[],6,FALSE)</f>
        <v>2006</v>
      </c>
      <c r="W130" s="199"/>
      <c r="X130" s="199">
        <f>VLOOKUP(X128,Check[],6,FALSE)</f>
        <v>2007</v>
      </c>
      <c r="Y130" s="199"/>
      <c r="Z130" s="199">
        <f>VLOOKUP(Z128,Check[],6,FALSE)</f>
        <v>2008</v>
      </c>
      <c r="AA130" s="191"/>
      <c r="AB130" s="192"/>
      <c r="AC130" s="192"/>
      <c r="AD130" s="192"/>
      <c r="AE130" s="192"/>
      <c r="AF130" s="192"/>
      <c r="AG130" s="192"/>
      <c r="AH130" s="192"/>
      <c r="AI130" s="192"/>
      <c r="AJ130" s="192"/>
      <c r="AK130" s="192"/>
      <c r="AL130" s="192"/>
      <c r="AM130" s="192"/>
      <c r="AN130" s="215"/>
      <c r="AO130" s="194">
        <f>VLOOKUP(AO128,Check[],6,FALSE)</f>
        <v>2002</v>
      </c>
      <c r="AP130" s="202"/>
      <c r="AQ130" s="211">
        <f>VLOOKUP(AQ128,Check[],6,FALSE)</f>
        <v>2003</v>
      </c>
      <c r="AR130" s="202"/>
      <c r="AS130" s="211">
        <f>VLOOKUP(AS128,Check[],6,FALSE)</f>
        <v>2004</v>
      </c>
      <c r="AT130" s="212"/>
      <c r="AU130" s="207"/>
      <c r="AV130" s="211">
        <f>VLOOKUP(AV128,Check[],6,FALSE)</f>
        <v>2005</v>
      </c>
      <c r="AW130" s="202"/>
      <c r="AX130" s="193">
        <f>VLOOKUP(AX128,Check[],6,FALSE)</f>
        <v>2006</v>
      </c>
      <c r="AY130" s="211">
        <f>VLOOKUP(AY128,Check[],6,FALSE)</f>
        <v>2007</v>
      </c>
      <c r="AZ130" s="212"/>
      <c r="BA130" s="207"/>
      <c r="BB130" s="211">
        <f>VLOOKUP(BB128,Check[],6,FALSE)</f>
        <v>2001</v>
      </c>
      <c r="BC130" s="216"/>
      <c r="BD130" s="218"/>
      <c r="BE130" s="203"/>
      <c r="BF130" s="203"/>
      <c r="BG130" s="218"/>
      <c r="BH130" s="1496"/>
      <c r="BI130" s="1496"/>
      <c r="BJ130" s="1496"/>
      <c r="BK130" s="205"/>
      <c r="BL130" s="366" t="s">
        <v>1</v>
      </c>
      <c r="BM130" s="355">
        <f t="shared" ref="BM130" si="939">BM134+3.48</f>
        <v>76.11999999999999</v>
      </c>
      <c r="BN130" s="1778"/>
      <c r="BP130" s="197" t="s">
        <v>1</v>
      </c>
    </row>
    <row r="131" spans="1:68" s="110" customFormat="1" ht="21.95" customHeight="1" x14ac:dyDescent="0.45">
      <c r="A131" s="1766"/>
      <c r="B131" s="326" t="str">
        <f t="shared" ref="B131" si="940">_xlfn.CONCAT("קומה ",B132)</f>
        <v>קומה 19</v>
      </c>
      <c r="C131" s="278" t="s">
        <v>0</v>
      </c>
      <c r="D131" s="117"/>
      <c r="E131" s="1491" t="s">
        <v>1076</v>
      </c>
      <c r="F131" s="1491" t="s">
        <v>1076</v>
      </c>
      <c r="G131" s="1491" t="s">
        <v>1076</v>
      </c>
      <c r="H131" s="116"/>
      <c r="I131" s="116"/>
      <c r="J131" s="116"/>
      <c r="K131" s="116"/>
      <c r="L131" s="104">
        <f t="shared" ref="L131" si="941">L135+8</f>
        <v>155</v>
      </c>
      <c r="M131" s="112"/>
      <c r="N131" s="112">
        <f t="shared" ref="N131" si="942">N135+8</f>
        <v>156</v>
      </c>
      <c r="O131" s="112"/>
      <c r="P131" s="159">
        <f t="shared" ref="P131:Q131" si="943">P135+8</f>
        <v>157</v>
      </c>
      <c r="Q131" s="112">
        <f t="shared" si="943"/>
        <v>158</v>
      </c>
      <c r="R131" s="112"/>
      <c r="S131" s="106"/>
      <c r="T131" s="112">
        <f t="shared" ref="T131" si="944">T135+8</f>
        <v>159</v>
      </c>
      <c r="U131" s="112"/>
      <c r="V131" s="112">
        <f t="shared" ref="V131" si="945">V135+8</f>
        <v>160</v>
      </c>
      <c r="W131" s="112"/>
      <c r="X131" s="112">
        <f t="shared" ref="X131" si="946">X135+8</f>
        <v>161</v>
      </c>
      <c r="Y131" s="112"/>
      <c r="Z131" s="112">
        <f t="shared" ref="Z131" si="947">Z135+8</f>
        <v>162</v>
      </c>
      <c r="AA131" s="121"/>
      <c r="AB131" s="107"/>
      <c r="AC131" s="107"/>
      <c r="AD131" s="107"/>
      <c r="AE131" s="107"/>
      <c r="AF131" s="107"/>
      <c r="AG131" s="107"/>
      <c r="AH131" s="107"/>
      <c r="AI131" s="107"/>
      <c r="AJ131" s="107"/>
      <c r="AK131" s="107"/>
      <c r="AL131" s="107"/>
      <c r="AM131" s="107"/>
      <c r="AN131" s="137"/>
      <c r="AO131" s="176">
        <f t="shared" ref="AO131:AP131" si="948">AO135+8</f>
        <v>154</v>
      </c>
      <c r="AP131" s="123">
        <f t="shared" si="948"/>
        <v>155</v>
      </c>
      <c r="AQ131" s="115"/>
      <c r="AR131" s="159">
        <f t="shared" ref="AR131:AS131" si="949">AR135+8</f>
        <v>156</v>
      </c>
      <c r="AS131" s="123">
        <f t="shared" si="949"/>
        <v>157</v>
      </c>
      <c r="AT131" s="115"/>
      <c r="AU131" s="123">
        <f t="shared" ref="AU131" si="950">AU135+8</f>
        <v>158</v>
      </c>
      <c r="AV131" s="105"/>
      <c r="AW131" s="115"/>
      <c r="AX131" s="159">
        <f t="shared" ref="AX131:AY131" si="951">AX135+8</f>
        <v>151</v>
      </c>
      <c r="AY131" s="123">
        <f t="shared" si="951"/>
        <v>152</v>
      </c>
      <c r="AZ131" s="105"/>
      <c r="BA131" s="115"/>
      <c r="BB131" s="123">
        <f t="shared" ref="BB131" si="952">BB135+8</f>
        <v>153</v>
      </c>
      <c r="BC131" s="160"/>
      <c r="BD131" s="163"/>
      <c r="BE131" s="116"/>
      <c r="BF131" s="116"/>
      <c r="BG131" s="163"/>
      <c r="BH131" s="1491" t="s">
        <v>1076</v>
      </c>
      <c r="BI131" s="1491" t="s">
        <v>1076</v>
      </c>
      <c r="BJ131" s="1491" t="s">
        <v>1076</v>
      </c>
      <c r="BK131" s="119"/>
      <c r="BL131" s="361" t="s">
        <v>0</v>
      </c>
      <c r="BM131" s="356" t="str">
        <f t="shared" ref="BM131" si="953">_xlfn.CONCAT("קומה ",BM132)</f>
        <v>קומה 19</v>
      </c>
      <c r="BN131" s="1779" t="s">
        <v>59</v>
      </c>
      <c r="BP131" s="111" t="s">
        <v>0</v>
      </c>
    </row>
    <row r="132" spans="1:68" s="52" customFormat="1" ht="9.9499999999999993" hidden="1" customHeight="1" x14ac:dyDescent="0.2">
      <c r="A132" s="1766"/>
      <c r="B132" s="329">
        <f t="shared" ref="B132" si="954">B136+1</f>
        <v>19</v>
      </c>
      <c r="C132" s="278" t="s">
        <v>89</v>
      </c>
      <c r="D132" s="56"/>
      <c r="E132" s="1492"/>
      <c r="F132" s="1492"/>
      <c r="G132" s="1492"/>
      <c r="H132" s="55"/>
      <c r="I132" s="55"/>
      <c r="J132" s="55"/>
      <c r="K132" s="55"/>
      <c r="L132" s="66" t="str">
        <f>VLOOKUP("*"&amp;L$5&amp;".Ap."&amp;L131,Check[],1,FALSE)</f>
        <v>V.GMS.S.3B.TS.Ap.155</v>
      </c>
      <c r="M132" s="64" t="str">
        <f t="shared" si="901"/>
        <v>V.GMS.S.3B.TS.Ap.155</v>
      </c>
      <c r="N132" s="64" t="str">
        <f>VLOOKUP("*"&amp;N$5&amp;".Ap."&amp;N131,Check[],1,FALSE)</f>
        <v>S.S.3C.TS.Ap.156</v>
      </c>
      <c r="O132" s="64" t="str">
        <f t="shared" si="902"/>
        <v>S.S.3C.TS.Ap.156</v>
      </c>
      <c r="P132" s="64" t="str">
        <f>VLOOKUP("*"&amp;P$5&amp;".Ap."&amp;P131,Check[],1,FALSE)</f>
        <v>S.S.3A.TS.Ap.157</v>
      </c>
      <c r="Q132" s="64" t="str">
        <f>VLOOKUP("*"&amp;Q$5&amp;".Ap."&amp;Q131,Check[],1,FALSE)</f>
        <v>S.S.3D.TS.Ap.158</v>
      </c>
      <c r="R132" s="64" t="str">
        <f t="shared" ref="R132:S132" si="955">Q132</f>
        <v>S.S.3D.TS.Ap.158</v>
      </c>
      <c r="S132" s="68" t="str">
        <f t="shared" si="955"/>
        <v>S.S.3D.TS.Ap.158</v>
      </c>
      <c r="T132" s="64" t="str">
        <f>VLOOKUP("*"&amp;T$5&amp;".Ap."&amp;T131,Check[],1,FALSE)</f>
        <v>S.S.3E.TS.Ap.159</v>
      </c>
      <c r="U132" s="64" t="str">
        <f t="shared" si="904"/>
        <v>S.S.3E.TS.Ap.159</v>
      </c>
      <c r="V132" s="64" t="str">
        <f>VLOOKUP("*"&amp;V$5&amp;".Ap."&amp;V131,Check[],1,FALSE)</f>
        <v>O.S.4A.TS.Ap.160</v>
      </c>
      <c r="W132" s="64" t="str">
        <f t="shared" ref="W132" si="956">V132</f>
        <v>O.S.4A.TS.Ap.160</v>
      </c>
      <c r="X132" s="64" t="str">
        <f>VLOOKUP("*"&amp;X$5&amp;".Ap."&amp;X131,Check[],1,FALSE)</f>
        <v>S.S.2G.TS.Ap.161</v>
      </c>
      <c r="Y132" s="64" t="str">
        <f t="shared" si="906"/>
        <v>S.S.2G.TS.Ap.161</v>
      </c>
      <c r="Z132" s="64" t="str">
        <f>VLOOKUP("*"&amp;Z$5&amp;".Ap."&amp;Z131,Check[],1,FALSE)</f>
        <v>V.GMS.S.4B.TS.Ap.162</v>
      </c>
      <c r="AA132" s="65" t="str">
        <f t="shared" si="907"/>
        <v>V.GMS.S.4B.TS.Ap.162</v>
      </c>
      <c r="AB132" s="50"/>
      <c r="AC132" s="50"/>
      <c r="AD132" s="50"/>
      <c r="AE132" s="50"/>
      <c r="AF132" s="50"/>
      <c r="AG132" s="50"/>
      <c r="AH132" s="50"/>
      <c r="AI132" s="50"/>
      <c r="AJ132" s="50"/>
      <c r="AK132" s="50"/>
      <c r="AL132" s="50"/>
      <c r="AM132" s="50"/>
      <c r="AN132" s="61"/>
      <c r="AO132" s="66" t="str">
        <f>VLOOKUP("*"&amp;AO$5&amp;".Ap."&amp;AO131,Check[],1,FALSE)</f>
        <v>S.S.4B.TN.Ap.154</v>
      </c>
      <c r="AP132" s="72" t="str">
        <f>VLOOKUP("*"&amp;AP$5&amp;".Ap."&amp;AP131,Check[],1,FALSE)</f>
        <v>S.S.2G.TN.Ap.155</v>
      </c>
      <c r="AQ132" s="68" t="str">
        <f t="shared" ref="AQ132" si="957">AP132</f>
        <v>S.S.2G.TN.Ap.155</v>
      </c>
      <c r="AR132" s="64" t="str">
        <f>VLOOKUP("*"&amp;AR$5&amp;".Ap."&amp;AR131,Check[],1,FALSE)</f>
        <v>S.S.4A.TN.Ap.156</v>
      </c>
      <c r="AS132" s="72" t="str">
        <f>VLOOKUP("*"&amp;AS$5&amp;".Ap."&amp;AS131,Check[],1,FALSE)</f>
        <v>S.S.3E.TN.Ap.157</v>
      </c>
      <c r="AT132" s="68" t="str">
        <f t="shared" ref="AT132" si="958">AS132</f>
        <v>S.S.3E.TN.Ap.157</v>
      </c>
      <c r="AU132" s="72" t="str">
        <f>VLOOKUP("*"&amp;AU$5&amp;".Ap."&amp;AU131,Check[],1,FALSE)</f>
        <v>S.S.3D.TN.Ap.158</v>
      </c>
      <c r="AV132" s="67" t="str">
        <f t="shared" ref="AV132:AW132" si="959">AU132</f>
        <v>S.S.3D.TN.Ap.158</v>
      </c>
      <c r="AW132" s="68" t="str">
        <f t="shared" si="959"/>
        <v>S.S.3D.TN.Ap.158</v>
      </c>
      <c r="AX132" s="64" t="str">
        <f>VLOOKUP("*"&amp;AX$5&amp;".Ap."&amp;AX131,Check[],1,FALSE)</f>
        <v>V.GMS.S.3A.TN.Ap.151</v>
      </c>
      <c r="AY132" s="72" t="str">
        <f>VLOOKUP("*"&amp;AY$5&amp;".Ap."&amp;AY131,Check[],1,FALSE)</f>
        <v>S.S.3C.TN.Ap.152</v>
      </c>
      <c r="AZ132" s="67" t="str">
        <f t="shared" ref="AZ132:BA132" si="960">AY132</f>
        <v>S.S.3C.TN.Ap.152</v>
      </c>
      <c r="BA132" s="68" t="str">
        <f t="shared" si="960"/>
        <v>S.S.3C.TN.Ap.152</v>
      </c>
      <c r="BB132" s="72" t="str">
        <f>VLOOKUP("*"&amp;BB$5&amp;".Ap."&amp;BB131,Check[],1,FALSE)</f>
        <v>S.S.3B.TN.Ap.153</v>
      </c>
      <c r="BC132" s="73" t="str">
        <f t="shared" ref="BC132" si="961">BB132</f>
        <v>S.S.3B.TN.Ap.153</v>
      </c>
      <c r="BD132" s="62"/>
      <c r="BE132" s="55"/>
      <c r="BF132" s="55"/>
      <c r="BG132" s="62"/>
      <c r="BH132" s="1492"/>
      <c r="BI132" s="1492"/>
      <c r="BJ132" s="1492"/>
      <c r="BK132" s="57"/>
      <c r="BL132" s="361" t="s">
        <v>89</v>
      </c>
      <c r="BM132" s="357">
        <f t="shared" ref="BM132" si="962">BM136+1</f>
        <v>19</v>
      </c>
      <c r="BN132" s="1779"/>
      <c r="BP132" s="53" t="s">
        <v>89</v>
      </c>
    </row>
    <row r="133" spans="1:68" s="8" customFormat="1" ht="12" customHeight="1" x14ac:dyDescent="0.3">
      <c r="A133" s="1766"/>
      <c r="B133" s="330"/>
      <c r="C133" s="279" t="s">
        <v>65</v>
      </c>
      <c r="D133" s="25"/>
      <c r="E133" s="1492"/>
      <c r="F133" s="1492"/>
      <c r="G133" s="1492"/>
      <c r="H133" s="21"/>
      <c r="I133" s="21"/>
      <c r="J133" s="21"/>
      <c r="K133" s="21"/>
      <c r="L133" s="230">
        <f>VLOOKUP(L132,Check[],5,FALSE)</f>
        <v>155</v>
      </c>
      <c r="M133" s="237"/>
      <c r="N133" s="237">
        <f>VLOOKUP(N132,Check[],5,FALSE)</f>
        <v>156</v>
      </c>
      <c r="O133" s="237"/>
      <c r="P133" s="248">
        <f>VLOOKUP(P132,Check[],5,FALSE)</f>
        <v>157</v>
      </c>
      <c r="Q133" s="237">
        <f>VLOOKUP(Q132,Check[],5,FALSE)</f>
        <v>158</v>
      </c>
      <c r="R133" s="237"/>
      <c r="S133" s="232"/>
      <c r="T133" s="237">
        <f>VLOOKUP(T132,Check[],5,FALSE)</f>
        <v>159</v>
      </c>
      <c r="U133" s="237"/>
      <c r="V133" s="237">
        <f>VLOOKUP(V132,Check[],5,FALSE)</f>
        <v>160</v>
      </c>
      <c r="W133" s="237"/>
      <c r="X133" s="237">
        <f>VLOOKUP(X132,Check[],5,FALSE)</f>
        <v>161</v>
      </c>
      <c r="Y133" s="237"/>
      <c r="Z133" s="237">
        <f>VLOOKUP(Z132,Check[],5,FALSE)</f>
        <v>162</v>
      </c>
      <c r="AA133" s="233"/>
      <c r="AB133" s="19"/>
      <c r="AC133" s="19"/>
      <c r="AD133" s="19"/>
      <c r="AE133" s="19"/>
      <c r="AF133" s="19"/>
      <c r="AG133" s="19"/>
      <c r="AH133" s="19"/>
      <c r="AI133" s="19"/>
      <c r="AJ133" s="19"/>
      <c r="AK133" s="19"/>
      <c r="AL133" s="19"/>
      <c r="AM133" s="19"/>
      <c r="AN133" s="247"/>
      <c r="AO133" s="257">
        <f>VLOOKUP(AO132,Check[],5,FALSE)</f>
        <v>154</v>
      </c>
      <c r="AP133" s="243">
        <f>VLOOKUP(AP132,Check[],5,FALSE)</f>
        <v>155</v>
      </c>
      <c r="AQ133" s="240"/>
      <c r="AR133" s="248">
        <f>VLOOKUP(AR132,Check[],5,FALSE)</f>
        <v>156</v>
      </c>
      <c r="AS133" s="243">
        <f>VLOOKUP(AS132,Check[],5,FALSE)</f>
        <v>157</v>
      </c>
      <c r="AT133" s="240"/>
      <c r="AU133" s="243">
        <f>VLOOKUP(AU132,Check[],5,FALSE)</f>
        <v>158</v>
      </c>
      <c r="AV133" s="244"/>
      <c r="AW133" s="242"/>
      <c r="AX133" s="248">
        <f>VLOOKUP(AX132,Check[],5,FALSE)</f>
        <v>151</v>
      </c>
      <c r="AY133" s="243">
        <f>VLOOKUP(AY132,Check[],5,FALSE)</f>
        <v>152</v>
      </c>
      <c r="AZ133" s="244"/>
      <c r="BA133" s="242"/>
      <c r="BB133" s="243">
        <f>VLOOKUP(BB132,Check[],5,FALSE)</f>
        <v>153</v>
      </c>
      <c r="BC133" s="249"/>
      <c r="BD133" s="37"/>
      <c r="BE133" s="21"/>
      <c r="BF133" s="21"/>
      <c r="BG133" s="37"/>
      <c r="BH133" s="1492"/>
      <c r="BI133" s="1492"/>
      <c r="BJ133" s="1492"/>
      <c r="BK133" s="31"/>
      <c r="BL133" s="362" t="s">
        <v>65</v>
      </c>
      <c r="BM133" s="358"/>
      <c r="BN133" s="1779"/>
      <c r="BP133" s="236" t="s">
        <v>1078</v>
      </c>
    </row>
    <row r="134" spans="1:68" s="196" customFormat="1" ht="15" customHeight="1" thickBot="1" x14ac:dyDescent="0.4">
      <c r="A134" s="1767"/>
      <c r="B134" s="187">
        <f t="shared" ref="B134" si="963">B138+3.48</f>
        <v>72.639999999999986</v>
      </c>
      <c r="C134" s="280" t="s">
        <v>1</v>
      </c>
      <c r="D134" s="204"/>
      <c r="E134" s="1493"/>
      <c r="F134" s="1493"/>
      <c r="G134" s="1493"/>
      <c r="H134" s="203"/>
      <c r="I134" s="203"/>
      <c r="J134" s="203"/>
      <c r="K134" s="203"/>
      <c r="L134" s="188">
        <f>VLOOKUP(L132,Check[],6,FALSE)</f>
        <v>1901</v>
      </c>
      <c r="M134" s="199"/>
      <c r="N134" s="199">
        <f>VLOOKUP(N132,Check[],6,FALSE)</f>
        <v>1902</v>
      </c>
      <c r="O134" s="199"/>
      <c r="P134" s="193">
        <f>VLOOKUP(P132,Check[],6,FALSE)</f>
        <v>1903</v>
      </c>
      <c r="Q134" s="199">
        <f>VLOOKUP(Q132,Check[],6,FALSE)</f>
        <v>1904</v>
      </c>
      <c r="R134" s="199"/>
      <c r="S134" s="190"/>
      <c r="T134" s="199">
        <f>VLOOKUP(T132,Check[],6,FALSE)</f>
        <v>1905</v>
      </c>
      <c r="U134" s="199"/>
      <c r="V134" s="199">
        <f>VLOOKUP(V132,Check[],6,FALSE)</f>
        <v>1906</v>
      </c>
      <c r="W134" s="199"/>
      <c r="X134" s="199">
        <f>VLOOKUP(X132,Check[],6,FALSE)</f>
        <v>1907</v>
      </c>
      <c r="Y134" s="199"/>
      <c r="Z134" s="199">
        <f>VLOOKUP(Z132,Check[],6,FALSE)</f>
        <v>1908</v>
      </c>
      <c r="AA134" s="191"/>
      <c r="AB134" s="192"/>
      <c r="AC134" s="192"/>
      <c r="AD134" s="192"/>
      <c r="AE134" s="192"/>
      <c r="AF134" s="192"/>
      <c r="AG134" s="192"/>
      <c r="AH134" s="192"/>
      <c r="AI134" s="192"/>
      <c r="AJ134" s="192"/>
      <c r="AK134" s="192"/>
      <c r="AL134" s="192"/>
      <c r="AM134" s="192"/>
      <c r="AN134" s="215"/>
      <c r="AO134" s="220">
        <f>VLOOKUP(AO132,Check[],6,FALSE)</f>
        <v>1902</v>
      </c>
      <c r="AP134" s="211">
        <f>VLOOKUP(AP132,Check[],6,FALSE)</f>
        <v>1903</v>
      </c>
      <c r="AQ134" s="202"/>
      <c r="AR134" s="193">
        <f>VLOOKUP(AR132,Check[],6,FALSE)</f>
        <v>1904</v>
      </c>
      <c r="AS134" s="211">
        <f>VLOOKUP(AS132,Check[],6,FALSE)</f>
        <v>1905</v>
      </c>
      <c r="AT134" s="202"/>
      <c r="AU134" s="211">
        <f>VLOOKUP(AU132,Check[],6,FALSE)</f>
        <v>1906</v>
      </c>
      <c r="AV134" s="212"/>
      <c r="AW134" s="207"/>
      <c r="AX134" s="193">
        <f>VLOOKUP(AX132,Check[],6,FALSE)</f>
        <v>1907</v>
      </c>
      <c r="AY134" s="211">
        <f>VLOOKUP(AY132,Check[],6,FALSE)</f>
        <v>1908</v>
      </c>
      <c r="AZ134" s="212"/>
      <c r="BA134" s="207"/>
      <c r="BB134" s="211">
        <f>VLOOKUP(BB132,Check[],6,FALSE)</f>
        <v>1901</v>
      </c>
      <c r="BC134" s="216"/>
      <c r="BD134" s="218"/>
      <c r="BE134" s="203"/>
      <c r="BF134" s="203"/>
      <c r="BG134" s="218"/>
      <c r="BH134" s="1493"/>
      <c r="BI134" s="1493"/>
      <c r="BJ134" s="1493"/>
      <c r="BK134" s="205"/>
      <c r="BL134" s="363" t="s">
        <v>1</v>
      </c>
      <c r="BM134" s="359">
        <f t="shared" ref="BM134" si="964">BM138+3.48</f>
        <v>72.639999999999986</v>
      </c>
      <c r="BN134" s="1780"/>
      <c r="BP134" s="197" t="s">
        <v>1</v>
      </c>
    </row>
    <row r="135" spans="1:68" s="110" customFormat="1" ht="21.95" customHeight="1" x14ac:dyDescent="0.45">
      <c r="A135" s="1766"/>
      <c r="B135" s="326" t="str">
        <f t="shared" ref="B135" si="965">_xlfn.CONCAT("קומה ",B136)</f>
        <v>קומה 18</v>
      </c>
      <c r="C135" s="278" t="s">
        <v>0</v>
      </c>
      <c r="D135" s="117"/>
      <c r="E135" s="1494"/>
      <c r="F135" s="1494"/>
      <c r="G135" s="1494"/>
      <c r="H135" s="116"/>
      <c r="I135" s="116"/>
      <c r="J135" s="116"/>
      <c r="K135" s="116"/>
      <c r="L135" s="104">
        <f t="shared" ref="L135" si="966">L139+8</f>
        <v>147</v>
      </c>
      <c r="M135" s="112"/>
      <c r="N135" s="112">
        <f t="shared" ref="N135" si="967">N139+8</f>
        <v>148</v>
      </c>
      <c r="O135" s="112"/>
      <c r="P135" s="159">
        <f t="shared" ref="P135:Q135" si="968">P139+8</f>
        <v>149</v>
      </c>
      <c r="Q135" s="112">
        <f t="shared" si="968"/>
        <v>150</v>
      </c>
      <c r="R135" s="112"/>
      <c r="S135" s="106"/>
      <c r="T135" s="112">
        <f t="shared" ref="T135" si="969">T139+8</f>
        <v>151</v>
      </c>
      <c r="U135" s="112"/>
      <c r="V135" s="112">
        <f t="shared" ref="V135" si="970">V139+8</f>
        <v>152</v>
      </c>
      <c r="W135" s="112"/>
      <c r="X135" s="112">
        <f t="shared" ref="X135" si="971">X139+8</f>
        <v>153</v>
      </c>
      <c r="Y135" s="112"/>
      <c r="Z135" s="112">
        <f t="shared" ref="Z135" si="972">Z139+8</f>
        <v>154</v>
      </c>
      <c r="AA135" s="121"/>
      <c r="AB135" s="107"/>
      <c r="AC135" s="107"/>
      <c r="AD135" s="107"/>
      <c r="AE135" s="107"/>
      <c r="AF135" s="107"/>
      <c r="AG135" s="107"/>
      <c r="AH135" s="107"/>
      <c r="AI135" s="107"/>
      <c r="AJ135" s="107"/>
      <c r="AK135" s="107"/>
      <c r="AL135" s="107"/>
      <c r="AM135" s="107"/>
      <c r="AN135" s="137"/>
      <c r="AO135" s="176">
        <f t="shared" ref="AO135:AP135" si="973">AO139+8</f>
        <v>146</v>
      </c>
      <c r="AP135" s="123">
        <f t="shared" si="973"/>
        <v>147</v>
      </c>
      <c r="AQ135" s="115"/>
      <c r="AR135" s="159">
        <f t="shared" ref="AR135:AS135" si="974">AR139+8</f>
        <v>148</v>
      </c>
      <c r="AS135" s="123">
        <f t="shared" si="974"/>
        <v>149</v>
      </c>
      <c r="AT135" s="115"/>
      <c r="AU135" s="123">
        <f t="shared" ref="AU135" si="975">AU139+8</f>
        <v>150</v>
      </c>
      <c r="AV135" s="105"/>
      <c r="AW135" s="115"/>
      <c r="AX135" s="159">
        <f t="shared" ref="AX135:AY135" si="976">AX139+8</f>
        <v>143</v>
      </c>
      <c r="AY135" s="123">
        <f t="shared" si="976"/>
        <v>144</v>
      </c>
      <c r="AZ135" s="105"/>
      <c r="BA135" s="115"/>
      <c r="BB135" s="123">
        <f t="shared" ref="BB135" si="977">BB139+8</f>
        <v>145</v>
      </c>
      <c r="BC135" s="160"/>
      <c r="BD135" s="163"/>
      <c r="BE135" s="116"/>
      <c r="BF135" s="116"/>
      <c r="BG135" s="163"/>
      <c r="BH135" s="1494"/>
      <c r="BI135" s="1494"/>
      <c r="BJ135" s="1494"/>
      <c r="BK135" s="119"/>
      <c r="BL135" s="361" t="s">
        <v>0</v>
      </c>
      <c r="BM135" s="356" t="str">
        <f t="shared" ref="BM135" si="978">_xlfn.CONCAT("קומה ",BM136)</f>
        <v>קומה 18</v>
      </c>
      <c r="BN135" s="1779"/>
      <c r="BP135" s="111" t="s">
        <v>0</v>
      </c>
    </row>
    <row r="136" spans="1:68" s="52" customFormat="1" ht="9.9499999999999993" hidden="1" customHeight="1" x14ac:dyDescent="0.2">
      <c r="A136" s="1766"/>
      <c r="B136" s="329">
        <f t="shared" ref="B136" si="979">B140+1</f>
        <v>18</v>
      </c>
      <c r="C136" s="278" t="s">
        <v>89</v>
      </c>
      <c r="D136" s="56"/>
      <c r="E136" s="1495"/>
      <c r="F136" s="1495"/>
      <c r="G136" s="1495"/>
      <c r="H136" s="55"/>
      <c r="I136" s="55"/>
      <c r="J136" s="55"/>
      <c r="K136" s="55"/>
      <c r="L136" s="66" t="str">
        <f>VLOOKUP("*"&amp;L$5&amp;".Ap."&amp;L135,Check[],1,FALSE)</f>
        <v>V.GMS.S.3B.TS.Ap.147</v>
      </c>
      <c r="M136" s="64" t="str">
        <f t="shared" ref="M136" si="980">L136</f>
        <v>V.GMS.S.3B.TS.Ap.147</v>
      </c>
      <c r="N136" s="64" t="str">
        <f>VLOOKUP("*"&amp;N$5&amp;".Ap."&amp;N135,Check[],1,FALSE)</f>
        <v>S.S.3C.TS.Ap.148</v>
      </c>
      <c r="O136" s="64" t="str">
        <f t="shared" ref="O136" si="981">N136</f>
        <v>S.S.3C.TS.Ap.148</v>
      </c>
      <c r="P136" s="64" t="str">
        <f>VLOOKUP("*"&amp;P$5&amp;".Ap."&amp;P135,Check[],1,FALSE)</f>
        <v>S.S.3A.TS.Ap.149</v>
      </c>
      <c r="Q136" s="64" t="str">
        <f>VLOOKUP("*"&amp;Q$5&amp;".Ap."&amp;Q135,Check[],1,FALSE)</f>
        <v>S.S.3D.TS.Ap.150</v>
      </c>
      <c r="R136" s="64" t="str">
        <f t="shared" ref="R136:S136" si="982">Q136</f>
        <v>S.S.3D.TS.Ap.150</v>
      </c>
      <c r="S136" s="68" t="str">
        <f t="shared" si="982"/>
        <v>S.S.3D.TS.Ap.150</v>
      </c>
      <c r="T136" s="64" t="str">
        <f>VLOOKUP("*"&amp;T$5&amp;".Ap."&amp;T135,Check[],1,FALSE)</f>
        <v>S.S.3E.TS.Ap.151</v>
      </c>
      <c r="U136" s="64" t="str">
        <f t="shared" ref="U136" si="983">T136</f>
        <v>S.S.3E.TS.Ap.151</v>
      </c>
      <c r="V136" s="64" t="str">
        <f>VLOOKUP("*"&amp;V$5&amp;".Ap."&amp;V135,Check[],1,FALSE)</f>
        <v>O.S.4A.TS.Ap.152</v>
      </c>
      <c r="W136" s="64" t="str">
        <f t="shared" ref="W136" si="984">V136</f>
        <v>O.S.4A.TS.Ap.152</v>
      </c>
      <c r="X136" s="64" t="str">
        <f>VLOOKUP("*"&amp;X$5&amp;".Ap."&amp;X135,Check[],1,FALSE)</f>
        <v>V.GMC.S.2G.TS.Ap.153</v>
      </c>
      <c r="Y136" s="64" t="str">
        <f t="shared" ref="Y136" si="985">X136</f>
        <v>V.GMC.S.2G.TS.Ap.153</v>
      </c>
      <c r="Z136" s="64" t="str">
        <f>VLOOKUP("*"&amp;Z$5&amp;".Ap."&amp;Z135,Check[],1,FALSE)</f>
        <v>V.GMC.S.4B.TS.Ap.154</v>
      </c>
      <c r="AA136" s="65" t="str">
        <f t="shared" si="907"/>
        <v>V.GMC.S.4B.TS.Ap.154</v>
      </c>
      <c r="AB136" s="50"/>
      <c r="AC136" s="50"/>
      <c r="AD136" s="50"/>
      <c r="AE136" s="50"/>
      <c r="AF136" s="50"/>
      <c r="AG136" s="50"/>
      <c r="AH136" s="50"/>
      <c r="AI136" s="50"/>
      <c r="AJ136" s="50"/>
      <c r="AK136" s="50"/>
      <c r="AL136" s="50"/>
      <c r="AM136" s="50"/>
      <c r="AN136" s="61"/>
      <c r="AO136" s="66" t="str">
        <f>VLOOKUP("*"&amp;AO$5&amp;".Ap."&amp;AO135,Check[],1,FALSE)</f>
        <v>S.S.4B.TN.Ap.146</v>
      </c>
      <c r="AP136" s="72" t="str">
        <f>VLOOKUP("*"&amp;AP$5&amp;".Ap."&amp;AP135,Check[],1,FALSE)</f>
        <v>S.S.2G.TN.Ap.147</v>
      </c>
      <c r="AQ136" s="68" t="str">
        <f t="shared" ref="AQ136" si="986">AP136</f>
        <v>S.S.2G.TN.Ap.147</v>
      </c>
      <c r="AR136" s="64" t="str">
        <f>VLOOKUP("*"&amp;AR$5&amp;".Ap."&amp;AR135,Check[],1,FALSE)</f>
        <v>S.S.4A.TN.Ap.148</v>
      </c>
      <c r="AS136" s="72" t="str">
        <f>VLOOKUP("*"&amp;AS$5&amp;".Ap."&amp;AS135,Check[],1,FALSE)</f>
        <v>S.S.3E.TN.Ap.149</v>
      </c>
      <c r="AT136" s="68" t="str">
        <f t="shared" ref="AT136" si="987">AS136</f>
        <v>S.S.3E.TN.Ap.149</v>
      </c>
      <c r="AU136" s="72" t="str">
        <f>VLOOKUP("*"&amp;AU$5&amp;".Ap."&amp;AU135,Check[],1,FALSE)</f>
        <v>S.S.3D.TN.Ap.150</v>
      </c>
      <c r="AV136" s="67" t="str">
        <f t="shared" ref="AV136:AW136" si="988">AU136</f>
        <v>S.S.3D.TN.Ap.150</v>
      </c>
      <c r="AW136" s="68" t="str">
        <f t="shared" si="988"/>
        <v>S.S.3D.TN.Ap.150</v>
      </c>
      <c r="AX136" s="64" t="str">
        <f>VLOOKUP("*"&amp;AX$5&amp;".Ap."&amp;AX135,Check[],1,FALSE)</f>
        <v>V.GMS.S.3A.TN.Ap.143</v>
      </c>
      <c r="AY136" s="72" t="str">
        <f>VLOOKUP("*"&amp;AY$5&amp;".Ap."&amp;AY135,Check[],1,FALSE)</f>
        <v>S.S.3C.TN.Ap.144</v>
      </c>
      <c r="AZ136" s="67" t="str">
        <f t="shared" ref="AZ136:BA136" si="989">AY136</f>
        <v>S.S.3C.TN.Ap.144</v>
      </c>
      <c r="BA136" s="68" t="str">
        <f t="shared" si="989"/>
        <v>S.S.3C.TN.Ap.144</v>
      </c>
      <c r="BB136" s="72" t="str">
        <f>VLOOKUP("*"&amp;BB$5&amp;".Ap."&amp;BB135,Check[],1,FALSE)</f>
        <v>S.S.3B.TN.Ap.145</v>
      </c>
      <c r="BC136" s="73" t="str">
        <f t="shared" ref="BC136" si="990">BB136</f>
        <v>S.S.3B.TN.Ap.145</v>
      </c>
      <c r="BD136" s="62"/>
      <c r="BE136" s="55"/>
      <c r="BF136" s="55"/>
      <c r="BG136" s="62"/>
      <c r="BH136" s="1495"/>
      <c r="BI136" s="1495"/>
      <c r="BJ136" s="1495"/>
      <c r="BK136" s="57"/>
      <c r="BL136" s="361" t="s">
        <v>89</v>
      </c>
      <c r="BM136" s="357">
        <f t="shared" ref="BM136" si="991">BM140+1</f>
        <v>18</v>
      </c>
      <c r="BN136" s="1779"/>
      <c r="BP136" s="53" t="s">
        <v>89</v>
      </c>
    </row>
    <row r="137" spans="1:68" s="8" customFormat="1" ht="12" customHeight="1" x14ac:dyDescent="0.3">
      <c r="A137" s="1766"/>
      <c r="B137" s="330"/>
      <c r="C137" s="279" t="s">
        <v>65</v>
      </c>
      <c r="D137" s="25"/>
      <c r="E137" s="1495"/>
      <c r="F137" s="1495"/>
      <c r="G137" s="1495"/>
      <c r="H137" s="21"/>
      <c r="I137" s="21"/>
      <c r="J137" s="21"/>
      <c r="K137" s="21"/>
      <c r="L137" s="230">
        <f>VLOOKUP(L136,Check[],5,FALSE)</f>
        <v>147</v>
      </c>
      <c r="M137" s="237"/>
      <c r="N137" s="237">
        <f>VLOOKUP(N136,Check[],5,FALSE)</f>
        <v>148</v>
      </c>
      <c r="O137" s="237"/>
      <c r="P137" s="248">
        <f>VLOOKUP(P136,Check[],5,FALSE)</f>
        <v>149</v>
      </c>
      <c r="Q137" s="237">
        <f>VLOOKUP(Q136,Check[],5,FALSE)</f>
        <v>150</v>
      </c>
      <c r="R137" s="237"/>
      <c r="S137" s="232"/>
      <c r="T137" s="237">
        <f>VLOOKUP(T136,Check[],5,FALSE)</f>
        <v>151</v>
      </c>
      <c r="U137" s="237"/>
      <c r="V137" s="237">
        <f>VLOOKUP(V136,Check[],5,FALSE)</f>
        <v>152</v>
      </c>
      <c r="W137" s="237"/>
      <c r="X137" s="237">
        <f>VLOOKUP(X136,Check[],5,FALSE)</f>
        <v>153</v>
      </c>
      <c r="Y137" s="237"/>
      <c r="Z137" s="237">
        <f>VLOOKUP(Z136,Check[],5,FALSE)</f>
        <v>154</v>
      </c>
      <c r="AA137" s="233"/>
      <c r="AB137" s="19"/>
      <c r="AC137" s="19"/>
      <c r="AD137" s="19"/>
      <c r="AE137" s="19"/>
      <c r="AF137" s="19"/>
      <c r="AG137" s="19"/>
      <c r="AH137" s="19"/>
      <c r="AI137" s="19"/>
      <c r="AJ137" s="19"/>
      <c r="AK137" s="19"/>
      <c r="AL137" s="19"/>
      <c r="AM137" s="19"/>
      <c r="AN137" s="247"/>
      <c r="AO137" s="257">
        <f>VLOOKUP(AO136,Check[],5,FALSE)</f>
        <v>146</v>
      </c>
      <c r="AP137" s="243">
        <f>VLOOKUP(AP136,Check[],5,FALSE)</f>
        <v>147</v>
      </c>
      <c r="AQ137" s="240"/>
      <c r="AR137" s="248">
        <f>VLOOKUP(AR136,Check[],5,FALSE)</f>
        <v>148</v>
      </c>
      <c r="AS137" s="243">
        <f>VLOOKUP(AS136,Check[],5,FALSE)</f>
        <v>149</v>
      </c>
      <c r="AT137" s="240"/>
      <c r="AU137" s="243">
        <f>VLOOKUP(AU136,Check[],5,FALSE)</f>
        <v>150</v>
      </c>
      <c r="AV137" s="244"/>
      <c r="AW137" s="242"/>
      <c r="AX137" s="248">
        <f>VLOOKUP(AX136,Check[],5,FALSE)</f>
        <v>143</v>
      </c>
      <c r="AY137" s="243">
        <f>VLOOKUP(AY136,Check[],5,FALSE)</f>
        <v>144</v>
      </c>
      <c r="AZ137" s="244"/>
      <c r="BA137" s="242"/>
      <c r="BB137" s="243">
        <f>VLOOKUP(BB136,Check[],5,FALSE)</f>
        <v>145</v>
      </c>
      <c r="BC137" s="249"/>
      <c r="BD137" s="37"/>
      <c r="BE137" s="21"/>
      <c r="BF137" s="21"/>
      <c r="BG137" s="37"/>
      <c r="BH137" s="1495"/>
      <c r="BI137" s="1495"/>
      <c r="BJ137" s="1495"/>
      <c r="BK137" s="31"/>
      <c r="BL137" s="362" t="s">
        <v>65</v>
      </c>
      <c r="BM137" s="358"/>
      <c r="BN137" s="1779"/>
      <c r="BP137" s="236" t="s">
        <v>1078</v>
      </c>
    </row>
    <row r="138" spans="1:68" s="196" customFormat="1" ht="15" customHeight="1" thickBot="1" x14ac:dyDescent="0.4">
      <c r="A138" s="1767"/>
      <c r="B138" s="187">
        <f t="shared" ref="B138" si="992">B142+3.48</f>
        <v>69.159999999999982</v>
      </c>
      <c r="C138" s="280" t="s">
        <v>1</v>
      </c>
      <c r="D138" s="204"/>
      <c r="E138" s="1496"/>
      <c r="F138" s="1496"/>
      <c r="G138" s="1496"/>
      <c r="H138" s="203"/>
      <c r="I138" s="203"/>
      <c r="J138" s="203"/>
      <c r="K138" s="203"/>
      <c r="L138" s="188">
        <f>VLOOKUP(L136,Check[],6,FALSE)</f>
        <v>1801</v>
      </c>
      <c r="M138" s="199"/>
      <c r="N138" s="199">
        <f>VLOOKUP(N136,Check[],6,FALSE)</f>
        <v>1802</v>
      </c>
      <c r="O138" s="199"/>
      <c r="P138" s="193">
        <f>VLOOKUP(P136,Check[],6,FALSE)</f>
        <v>1803</v>
      </c>
      <c r="Q138" s="199">
        <f>VLOOKUP(Q136,Check[],6,FALSE)</f>
        <v>1804</v>
      </c>
      <c r="R138" s="199"/>
      <c r="S138" s="190"/>
      <c r="T138" s="199">
        <f>VLOOKUP(T136,Check[],6,FALSE)</f>
        <v>1805</v>
      </c>
      <c r="U138" s="199"/>
      <c r="V138" s="199">
        <f>VLOOKUP(V136,Check[],6,FALSE)</f>
        <v>1806</v>
      </c>
      <c r="W138" s="199"/>
      <c r="X138" s="199">
        <f>VLOOKUP(X136,Check[],6,FALSE)</f>
        <v>1807</v>
      </c>
      <c r="Y138" s="199"/>
      <c r="Z138" s="199">
        <f>VLOOKUP(Z136,Check[],6,FALSE)</f>
        <v>1808</v>
      </c>
      <c r="AA138" s="191"/>
      <c r="AB138" s="192"/>
      <c r="AC138" s="192"/>
      <c r="AD138" s="192"/>
      <c r="AE138" s="192"/>
      <c r="AF138" s="192"/>
      <c r="AG138" s="192"/>
      <c r="AH138" s="192"/>
      <c r="AI138" s="192"/>
      <c r="AJ138" s="192"/>
      <c r="AK138" s="192"/>
      <c r="AL138" s="192"/>
      <c r="AM138" s="192"/>
      <c r="AN138" s="215"/>
      <c r="AO138" s="220">
        <f>VLOOKUP(AO136,Check[],6,FALSE)</f>
        <v>1802</v>
      </c>
      <c r="AP138" s="211">
        <f>VLOOKUP(AP136,Check[],6,FALSE)</f>
        <v>1803</v>
      </c>
      <c r="AQ138" s="202"/>
      <c r="AR138" s="193">
        <f>VLOOKUP(AR136,Check[],6,FALSE)</f>
        <v>1804</v>
      </c>
      <c r="AS138" s="211">
        <f>VLOOKUP(AS136,Check[],6,FALSE)</f>
        <v>1805</v>
      </c>
      <c r="AT138" s="202"/>
      <c r="AU138" s="211">
        <f>VLOOKUP(AU136,Check[],6,FALSE)</f>
        <v>1806</v>
      </c>
      <c r="AV138" s="212"/>
      <c r="AW138" s="207"/>
      <c r="AX138" s="193">
        <f>VLOOKUP(AX136,Check[],6,FALSE)</f>
        <v>1807</v>
      </c>
      <c r="AY138" s="211">
        <f>VLOOKUP(AY136,Check[],6,FALSE)</f>
        <v>1808</v>
      </c>
      <c r="AZ138" s="212"/>
      <c r="BA138" s="207"/>
      <c r="BB138" s="211">
        <f>VLOOKUP(BB136,Check[],6,FALSE)</f>
        <v>1801</v>
      </c>
      <c r="BC138" s="216"/>
      <c r="BD138" s="218"/>
      <c r="BE138" s="203"/>
      <c r="BF138" s="203"/>
      <c r="BG138" s="218"/>
      <c r="BH138" s="1496"/>
      <c r="BI138" s="1496"/>
      <c r="BJ138" s="1496"/>
      <c r="BK138" s="205"/>
      <c r="BL138" s="363" t="s">
        <v>1</v>
      </c>
      <c r="BM138" s="359">
        <f t="shared" ref="BM138" si="993">BM142+3.48</f>
        <v>69.159999999999982</v>
      </c>
      <c r="BN138" s="1780"/>
      <c r="BP138" s="197" t="s">
        <v>1</v>
      </c>
    </row>
    <row r="139" spans="1:68" s="110" customFormat="1" ht="21.95" customHeight="1" x14ac:dyDescent="0.45">
      <c r="A139" s="1766"/>
      <c r="B139" s="326" t="str">
        <f t="shared" ref="B139" si="994">_xlfn.CONCAT("קומה ",B140)</f>
        <v>קומה 17</v>
      </c>
      <c r="C139" s="278" t="s">
        <v>0</v>
      </c>
      <c r="D139" s="117"/>
      <c r="E139" s="1494"/>
      <c r="F139" s="1494"/>
      <c r="G139" s="1494"/>
      <c r="H139" s="116"/>
      <c r="I139" s="116"/>
      <c r="J139" s="116"/>
      <c r="K139" s="116"/>
      <c r="L139" s="104">
        <f t="shared" ref="L139" si="995">L143+8</f>
        <v>139</v>
      </c>
      <c r="M139" s="112"/>
      <c r="N139" s="112">
        <f t="shared" ref="N139" si="996">N143+8</f>
        <v>140</v>
      </c>
      <c r="O139" s="112"/>
      <c r="P139" s="159">
        <f t="shared" ref="P139:Q139" si="997">P143+8</f>
        <v>141</v>
      </c>
      <c r="Q139" s="112">
        <f t="shared" si="997"/>
        <v>142</v>
      </c>
      <c r="R139" s="112"/>
      <c r="S139" s="106"/>
      <c r="T139" s="112">
        <f t="shared" ref="T139" si="998">T143+8</f>
        <v>143</v>
      </c>
      <c r="U139" s="112"/>
      <c r="V139" s="112">
        <f t="shared" ref="V139" si="999">V143+8</f>
        <v>144</v>
      </c>
      <c r="W139" s="112"/>
      <c r="X139" s="112">
        <f t="shared" ref="X139" si="1000">X143+8</f>
        <v>145</v>
      </c>
      <c r="Y139" s="112"/>
      <c r="Z139" s="112">
        <f t="shared" ref="Z139" si="1001">Z143+8</f>
        <v>146</v>
      </c>
      <c r="AA139" s="121"/>
      <c r="AB139" s="107"/>
      <c r="AC139" s="107"/>
      <c r="AD139" s="107"/>
      <c r="AE139" s="107"/>
      <c r="AF139" s="107"/>
      <c r="AG139" s="107"/>
      <c r="AH139" s="107"/>
      <c r="AI139" s="107"/>
      <c r="AJ139" s="107"/>
      <c r="AK139" s="107"/>
      <c r="AL139" s="107"/>
      <c r="AM139" s="107"/>
      <c r="AN139" s="137"/>
      <c r="AO139" s="176">
        <f t="shared" ref="AO139:AP139" si="1002">AO143+8</f>
        <v>138</v>
      </c>
      <c r="AP139" s="123">
        <f t="shared" si="1002"/>
        <v>139</v>
      </c>
      <c r="AQ139" s="115"/>
      <c r="AR139" s="159">
        <f t="shared" ref="AR139:AS139" si="1003">AR143+8</f>
        <v>140</v>
      </c>
      <c r="AS139" s="123">
        <f t="shared" si="1003"/>
        <v>141</v>
      </c>
      <c r="AT139" s="115"/>
      <c r="AU139" s="123">
        <f t="shared" ref="AU139" si="1004">AU143+8</f>
        <v>142</v>
      </c>
      <c r="AV139" s="105"/>
      <c r="AW139" s="115"/>
      <c r="AX139" s="159">
        <f t="shared" ref="AX139:AY139" si="1005">AX143+8</f>
        <v>135</v>
      </c>
      <c r="AY139" s="123">
        <f t="shared" si="1005"/>
        <v>136</v>
      </c>
      <c r="AZ139" s="105"/>
      <c r="BA139" s="115"/>
      <c r="BB139" s="123">
        <f t="shared" ref="BB139" si="1006">BB143+8</f>
        <v>137</v>
      </c>
      <c r="BC139" s="160"/>
      <c r="BD139" s="163"/>
      <c r="BE139" s="116"/>
      <c r="BF139" s="116"/>
      <c r="BG139" s="163"/>
      <c r="BH139" s="1494"/>
      <c r="BI139" s="1494"/>
      <c r="BJ139" s="1494"/>
      <c r="BK139" s="119"/>
      <c r="BL139" s="361" t="s">
        <v>0</v>
      </c>
      <c r="BM139" s="356" t="str">
        <f t="shared" ref="BM139" si="1007">_xlfn.CONCAT("קומה ",BM140)</f>
        <v>קומה 17</v>
      </c>
      <c r="BN139" s="1779"/>
      <c r="BP139" s="111" t="s">
        <v>0</v>
      </c>
    </row>
    <row r="140" spans="1:68" s="52" customFormat="1" ht="9.9499999999999993" hidden="1" customHeight="1" x14ac:dyDescent="0.2">
      <c r="A140" s="1766"/>
      <c r="B140" s="329">
        <f t="shared" ref="B140" si="1008">B144+1</f>
        <v>17</v>
      </c>
      <c r="C140" s="278" t="s">
        <v>89</v>
      </c>
      <c r="D140" s="56"/>
      <c r="E140" s="1495"/>
      <c r="F140" s="1495"/>
      <c r="G140" s="1495"/>
      <c r="H140" s="55"/>
      <c r="I140" s="55"/>
      <c r="J140" s="55"/>
      <c r="K140" s="55"/>
      <c r="L140" s="66" t="str">
        <f>VLOOKUP("*"&amp;L$5&amp;".Ap."&amp;L139,Check[],1,FALSE)</f>
        <v>O.S.3B.TS.Ap.139</v>
      </c>
      <c r="M140" s="64" t="str">
        <f t="shared" ref="M140" si="1009">L140</f>
        <v>O.S.3B.TS.Ap.139</v>
      </c>
      <c r="N140" s="64" t="str">
        <f>VLOOKUP("*"&amp;N$5&amp;".Ap."&amp;N139,Check[],1,FALSE)</f>
        <v>S.S.3C.TS.Ap.140</v>
      </c>
      <c r="O140" s="64" t="str">
        <f t="shared" ref="O140" si="1010">N140</f>
        <v>S.S.3C.TS.Ap.140</v>
      </c>
      <c r="P140" s="64" t="str">
        <f>VLOOKUP("*"&amp;P$5&amp;".Ap."&amp;P139,Check[],1,FALSE)</f>
        <v>S.S.3A.TS.Ap.141</v>
      </c>
      <c r="Q140" s="64" t="str">
        <f>VLOOKUP("*"&amp;Q$5&amp;".Ap."&amp;Q139,Check[],1,FALSE)</f>
        <v>S.S.3D.TS.Ap.142</v>
      </c>
      <c r="R140" s="64" t="str">
        <f t="shared" ref="R140:S140" si="1011">Q140</f>
        <v>S.S.3D.TS.Ap.142</v>
      </c>
      <c r="S140" s="68" t="str">
        <f t="shared" si="1011"/>
        <v>S.S.3D.TS.Ap.142</v>
      </c>
      <c r="T140" s="64" t="str">
        <f>VLOOKUP("*"&amp;T$5&amp;".Ap."&amp;T139,Check[],1,FALSE)</f>
        <v>S.S.3E.TS.Ap.143</v>
      </c>
      <c r="U140" s="64" t="str">
        <f t="shared" ref="U140" si="1012">T140</f>
        <v>S.S.3E.TS.Ap.143</v>
      </c>
      <c r="V140" s="64" t="str">
        <f>VLOOKUP("*"&amp;V$5&amp;".Ap."&amp;V139,Check[],1,FALSE)</f>
        <v>S.S.4A.TS.Ap.144</v>
      </c>
      <c r="W140" s="64" t="str">
        <f t="shared" ref="W140" si="1013">V140</f>
        <v>S.S.4A.TS.Ap.144</v>
      </c>
      <c r="X140" s="64" t="str">
        <f>VLOOKUP("*"&amp;X$5&amp;".Ap."&amp;X139,Check[],1,FALSE)</f>
        <v>V.GMC.S.2G.TS.Ap.145</v>
      </c>
      <c r="Y140" s="64" t="str">
        <f t="shared" ref="Y140" si="1014">X140</f>
        <v>V.GMC.S.2G.TS.Ap.145</v>
      </c>
      <c r="Z140" s="64" t="str">
        <f>VLOOKUP("*"&amp;Z$5&amp;".Ap."&amp;Z139,Check[],1,FALSE)</f>
        <v>V.GMC.S.4B.TS.Ap.146</v>
      </c>
      <c r="AA140" s="65" t="str">
        <f t="shared" si="907"/>
        <v>V.GMC.S.4B.TS.Ap.146</v>
      </c>
      <c r="AB140" s="50"/>
      <c r="AC140" s="50"/>
      <c r="AD140" s="50"/>
      <c r="AE140" s="50"/>
      <c r="AF140" s="50"/>
      <c r="AG140" s="50"/>
      <c r="AH140" s="50"/>
      <c r="AI140" s="50"/>
      <c r="AJ140" s="50"/>
      <c r="AK140" s="50"/>
      <c r="AL140" s="50"/>
      <c r="AM140" s="50"/>
      <c r="AN140" s="61"/>
      <c r="AO140" s="66" t="str">
        <f>VLOOKUP("*"&amp;AO$5&amp;".Ap."&amp;AO139,Check[],1,FALSE)</f>
        <v>S.S.4B.TN.Ap.138</v>
      </c>
      <c r="AP140" s="72" t="str">
        <f>VLOOKUP("*"&amp;AP$5&amp;".Ap."&amp;AP139,Check[],1,FALSE)</f>
        <v>S.S.2G.TN.Ap.139</v>
      </c>
      <c r="AQ140" s="68" t="str">
        <f t="shared" ref="AQ140" si="1015">AP140</f>
        <v>S.S.2G.TN.Ap.139</v>
      </c>
      <c r="AR140" s="64" t="str">
        <f>VLOOKUP("*"&amp;AR$5&amp;".Ap."&amp;AR139,Check[],1,FALSE)</f>
        <v>O.S.4A.TN.Ap.140</v>
      </c>
      <c r="AS140" s="72" t="str">
        <f>VLOOKUP("*"&amp;AS$5&amp;".Ap."&amp;AS139,Check[],1,FALSE)</f>
        <v>S.S.3E.TN.Ap.141</v>
      </c>
      <c r="AT140" s="68" t="str">
        <f t="shared" ref="AT140" si="1016">AS140</f>
        <v>S.S.3E.TN.Ap.141</v>
      </c>
      <c r="AU140" s="72" t="str">
        <f>VLOOKUP("*"&amp;AU$5&amp;".Ap."&amp;AU139,Check[],1,FALSE)</f>
        <v>S.S.3D.TN.Ap.142</v>
      </c>
      <c r="AV140" s="67" t="str">
        <f t="shared" ref="AV140:AW140" si="1017">AU140</f>
        <v>S.S.3D.TN.Ap.142</v>
      </c>
      <c r="AW140" s="68" t="str">
        <f t="shared" si="1017"/>
        <v>S.S.3D.TN.Ap.142</v>
      </c>
      <c r="AX140" s="64" t="str">
        <f>VLOOKUP("*"&amp;AX$5&amp;".Ap."&amp;AX139,Check[],1,FALSE)</f>
        <v>S.S.3A.TN.Ap.135</v>
      </c>
      <c r="AY140" s="72" t="str">
        <f>VLOOKUP("*"&amp;AY$5&amp;".Ap."&amp;AY139,Check[],1,FALSE)</f>
        <v>S.S.3C.TN.Ap.136</v>
      </c>
      <c r="AZ140" s="67" t="str">
        <f t="shared" ref="AZ140:BA140" si="1018">AY140</f>
        <v>S.S.3C.TN.Ap.136</v>
      </c>
      <c r="BA140" s="68" t="str">
        <f t="shared" si="1018"/>
        <v>S.S.3C.TN.Ap.136</v>
      </c>
      <c r="BB140" s="72" t="str">
        <f>VLOOKUP("*"&amp;BB$5&amp;".Ap."&amp;BB139,Check[],1,FALSE)</f>
        <v>S.S.3B.TN.Ap.137</v>
      </c>
      <c r="BC140" s="73" t="str">
        <f t="shared" ref="BC140" si="1019">BB140</f>
        <v>S.S.3B.TN.Ap.137</v>
      </c>
      <c r="BD140" s="62"/>
      <c r="BE140" s="55"/>
      <c r="BF140" s="55"/>
      <c r="BG140" s="62"/>
      <c r="BH140" s="1495"/>
      <c r="BI140" s="1495"/>
      <c r="BJ140" s="1495"/>
      <c r="BK140" s="57"/>
      <c r="BL140" s="361" t="s">
        <v>89</v>
      </c>
      <c r="BM140" s="357">
        <f t="shared" ref="BM140" si="1020">BM144+1</f>
        <v>17</v>
      </c>
      <c r="BN140" s="1779"/>
      <c r="BP140" s="53" t="s">
        <v>89</v>
      </c>
    </row>
    <row r="141" spans="1:68" s="8" customFormat="1" ht="12" customHeight="1" x14ac:dyDescent="0.3">
      <c r="A141" s="1766"/>
      <c r="B141" s="330"/>
      <c r="C141" s="279" t="s">
        <v>65</v>
      </c>
      <c r="D141" s="25"/>
      <c r="E141" s="1495"/>
      <c r="F141" s="1495"/>
      <c r="G141" s="1495"/>
      <c r="H141" s="21"/>
      <c r="I141" s="21"/>
      <c r="J141" s="21"/>
      <c r="K141" s="21"/>
      <c r="L141" s="230">
        <f>VLOOKUP(L140,Check[],5,FALSE)</f>
        <v>139</v>
      </c>
      <c r="M141" s="237"/>
      <c r="N141" s="237">
        <f>VLOOKUP(N140,Check[],5,FALSE)</f>
        <v>140</v>
      </c>
      <c r="O141" s="237"/>
      <c r="P141" s="248">
        <f>VLOOKUP(P140,Check[],5,FALSE)</f>
        <v>141</v>
      </c>
      <c r="Q141" s="237">
        <f>VLOOKUP(Q140,Check[],5,FALSE)</f>
        <v>142</v>
      </c>
      <c r="R141" s="237"/>
      <c r="S141" s="232"/>
      <c r="T141" s="237">
        <f>VLOOKUP(T140,Check[],5,FALSE)</f>
        <v>143</v>
      </c>
      <c r="U141" s="237"/>
      <c r="V141" s="237">
        <f>VLOOKUP(V140,Check[],5,FALSE)</f>
        <v>144</v>
      </c>
      <c r="W141" s="237"/>
      <c r="X141" s="237">
        <f>VLOOKUP(X140,Check[],5,FALSE)</f>
        <v>145</v>
      </c>
      <c r="Y141" s="237"/>
      <c r="Z141" s="237">
        <f>VLOOKUP(Z140,Check[],5,FALSE)</f>
        <v>146</v>
      </c>
      <c r="AA141" s="233"/>
      <c r="AB141" s="19"/>
      <c r="AC141" s="19"/>
      <c r="AD141" s="19"/>
      <c r="AE141" s="19"/>
      <c r="AF141" s="19"/>
      <c r="AG141" s="19"/>
      <c r="AH141" s="19"/>
      <c r="AI141" s="19"/>
      <c r="AJ141" s="19"/>
      <c r="AK141" s="19"/>
      <c r="AL141" s="19"/>
      <c r="AM141" s="19"/>
      <c r="AN141" s="247"/>
      <c r="AO141" s="257">
        <f>VLOOKUP(AO140,Check[],5,FALSE)</f>
        <v>138</v>
      </c>
      <c r="AP141" s="243">
        <f>VLOOKUP(AP140,Check[],5,FALSE)</f>
        <v>139</v>
      </c>
      <c r="AQ141" s="240"/>
      <c r="AR141" s="248">
        <f>VLOOKUP(AR140,Check[],5,FALSE)</f>
        <v>140</v>
      </c>
      <c r="AS141" s="243">
        <f>VLOOKUP(AS140,Check[],5,FALSE)</f>
        <v>141</v>
      </c>
      <c r="AT141" s="240"/>
      <c r="AU141" s="243">
        <f>VLOOKUP(AU140,Check[],5,FALSE)</f>
        <v>142</v>
      </c>
      <c r="AV141" s="244"/>
      <c r="AW141" s="242"/>
      <c r="AX141" s="248">
        <f>VLOOKUP(AX140,Check[],5,FALSE)</f>
        <v>135</v>
      </c>
      <c r="AY141" s="243">
        <f>VLOOKUP(AY140,Check[],5,FALSE)</f>
        <v>136</v>
      </c>
      <c r="AZ141" s="244"/>
      <c r="BA141" s="242"/>
      <c r="BB141" s="243">
        <f>VLOOKUP(BB140,Check[],5,FALSE)</f>
        <v>137</v>
      </c>
      <c r="BC141" s="249"/>
      <c r="BD141" s="37"/>
      <c r="BE141" s="21"/>
      <c r="BF141" s="21"/>
      <c r="BG141" s="37"/>
      <c r="BH141" s="1495"/>
      <c r="BI141" s="1495"/>
      <c r="BJ141" s="1495"/>
      <c r="BK141" s="31"/>
      <c r="BL141" s="362" t="s">
        <v>65</v>
      </c>
      <c r="BM141" s="358"/>
      <c r="BN141" s="1779"/>
      <c r="BP141" s="236" t="s">
        <v>1078</v>
      </c>
    </row>
    <row r="142" spans="1:68" s="196" customFormat="1" ht="15" customHeight="1" thickBot="1" x14ac:dyDescent="0.4">
      <c r="A142" s="1767"/>
      <c r="B142" s="187">
        <f t="shared" ref="B142" si="1021">B146+3.48</f>
        <v>65.679999999999978</v>
      </c>
      <c r="C142" s="280" t="s">
        <v>1</v>
      </c>
      <c r="D142" s="204"/>
      <c r="E142" s="1496"/>
      <c r="F142" s="1496"/>
      <c r="G142" s="1496"/>
      <c r="H142" s="203"/>
      <c r="I142" s="203"/>
      <c r="J142" s="203"/>
      <c r="K142" s="203"/>
      <c r="L142" s="188">
        <f>VLOOKUP(L140,Check[],6,FALSE)</f>
        <v>1701</v>
      </c>
      <c r="M142" s="199"/>
      <c r="N142" s="199">
        <f>VLOOKUP(N140,Check[],6,FALSE)</f>
        <v>1702</v>
      </c>
      <c r="O142" s="199"/>
      <c r="P142" s="193">
        <f>VLOOKUP(P140,Check[],6,FALSE)</f>
        <v>1703</v>
      </c>
      <c r="Q142" s="199">
        <f>VLOOKUP(Q140,Check[],6,FALSE)</f>
        <v>1704</v>
      </c>
      <c r="R142" s="199"/>
      <c r="S142" s="190"/>
      <c r="T142" s="199">
        <f>VLOOKUP(T140,Check[],6,FALSE)</f>
        <v>1705</v>
      </c>
      <c r="U142" s="199"/>
      <c r="V142" s="199">
        <f>VLOOKUP(V140,Check[],6,FALSE)</f>
        <v>1706</v>
      </c>
      <c r="W142" s="199"/>
      <c r="X142" s="199">
        <f>VLOOKUP(X140,Check[],6,FALSE)</f>
        <v>1707</v>
      </c>
      <c r="Y142" s="199"/>
      <c r="Z142" s="199">
        <f>VLOOKUP(Z140,Check[],6,FALSE)</f>
        <v>1708</v>
      </c>
      <c r="AA142" s="191"/>
      <c r="AB142" s="192"/>
      <c r="AC142" s="192"/>
      <c r="AD142" s="192"/>
      <c r="AE142" s="192"/>
      <c r="AF142" s="192"/>
      <c r="AG142" s="192"/>
      <c r="AH142" s="192"/>
      <c r="AI142" s="192"/>
      <c r="AJ142" s="192"/>
      <c r="AK142" s="192"/>
      <c r="AL142" s="192"/>
      <c r="AM142" s="192"/>
      <c r="AN142" s="215"/>
      <c r="AO142" s="220">
        <f>VLOOKUP(AO140,Check[],6,FALSE)</f>
        <v>1702</v>
      </c>
      <c r="AP142" s="211">
        <f>VLOOKUP(AP140,Check[],6,FALSE)</f>
        <v>1703</v>
      </c>
      <c r="AQ142" s="202"/>
      <c r="AR142" s="193">
        <f>VLOOKUP(AR140,Check[],6,FALSE)</f>
        <v>1704</v>
      </c>
      <c r="AS142" s="211">
        <f>VLOOKUP(AS140,Check[],6,FALSE)</f>
        <v>1705</v>
      </c>
      <c r="AT142" s="202"/>
      <c r="AU142" s="211">
        <f>VLOOKUP(AU140,Check[],6,FALSE)</f>
        <v>1706</v>
      </c>
      <c r="AV142" s="212"/>
      <c r="AW142" s="207"/>
      <c r="AX142" s="193">
        <f>VLOOKUP(AX140,Check[],6,FALSE)</f>
        <v>1707</v>
      </c>
      <c r="AY142" s="211">
        <f>VLOOKUP(AY140,Check[],6,FALSE)</f>
        <v>1708</v>
      </c>
      <c r="AZ142" s="212"/>
      <c r="BA142" s="207"/>
      <c r="BB142" s="211">
        <f>VLOOKUP(BB140,Check[],6,FALSE)</f>
        <v>1701</v>
      </c>
      <c r="BC142" s="216"/>
      <c r="BD142" s="218"/>
      <c r="BE142" s="203"/>
      <c r="BF142" s="203"/>
      <c r="BG142" s="218"/>
      <c r="BH142" s="1496"/>
      <c r="BI142" s="1496"/>
      <c r="BJ142" s="1496"/>
      <c r="BK142" s="205"/>
      <c r="BL142" s="363" t="s">
        <v>1</v>
      </c>
      <c r="BM142" s="359">
        <f t="shared" ref="BM142" si="1022">BM146+3.48</f>
        <v>65.679999999999978</v>
      </c>
      <c r="BN142" s="1780"/>
      <c r="BP142" s="197" t="s">
        <v>1</v>
      </c>
    </row>
    <row r="143" spans="1:68" s="110" customFormat="1" ht="21.95" customHeight="1" x14ac:dyDescent="0.45">
      <c r="A143" s="1766"/>
      <c r="B143" s="326" t="str">
        <f t="shared" ref="B143" si="1023">_xlfn.CONCAT("קומה ",B144)</f>
        <v>קומה 16</v>
      </c>
      <c r="C143" s="278" t="s">
        <v>0</v>
      </c>
      <c r="D143" s="117"/>
      <c r="E143" s="1491" t="s">
        <v>1076</v>
      </c>
      <c r="F143" s="1491" t="s">
        <v>1076</v>
      </c>
      <c r="G143" s="1491" t="s">
        <v>1076</v>
      </c>
      <c r="H143" s="116"/>
      <c r="I143" s="116"/>
      <c r="J143" s="116"/>
      <c r="K143" s="116"/>
      <c r="L143" s="104">
        <f t="shared" ref="L143" si="1024">L147+8</f>
        <v>131</v>
      </c>
      <c r="M143" s="112"/>
      <c r="N143" s="112">
        <f t="shared" ref="N143" si="1025">N147+8</f>
        <v>132</v>
      </c>
      <c r="O143" s="112"/>
      <c r="P143" s="159">
        <f t="shared" ref="P143:Q143" si="1026">P147+8</f>
        <v>133</v>
      </c>
      <c r="Q143" s="112">
        <f t="shared" si="1026"/>
        <v>134</v>
      </c>
      <c r="R143" s="112"/>
      <c r="S143" s="106"/>
      <c r="T143" s="112">
        <f t="shared" ref="T143" si="1027">T147+8</f>
        <v>135</v>
      </c>
      <c r="U143" s="112"/>
      <c r="V143" s="112">
        <f t="shared" ref="V143" si="1028">V147+8</f>
        <v>136</v>
      </c>
      <c r="W143" s="112"/>
      <c r="X143" s="112">
        <f t="shared" ref="X143" si="1029">X147+8</f>
        <v>137</v>
      </c>
      <c r="Y143" s="112"/>
      <c r="Z143" s="112">
        <f t="shared" ref="Z143" si="1030">Z147+8</f>
        <v>138</v>
      </c>
      <c r="AA143" s="121"/>
      <c r="AB143" s="107"/>
      <c r="AC143" s="107"/>
      <c r="AD143" s="107"/>
      <c r="AE143" s="107"/>
      <c r="AF143" s="107"/>
      <c r="AG143" s="107"/>
      <c r="AH143" s="107"/>
      <c r="AI143" s="107"/>
      <c r="AJ143" s="107"/>
      <c r="AK143" s="107"/>
      <c r="AL143" s="107"/>
      <c r="AM143" s="107"/>
      <c r="AN143" s="137"/>
      <c r="AO143" s="176">
        <f t="shared" ref="AO143:AP143" si="1031">AO147+8</f>
        <v>130</v>
      </c>
      <c r="AP143" s="123">
        <f t="shared" si="1031"/>
        <v>131</v>
      </c>
      <c r="AQ143" s="115"/>
      <c r="AR143" s="159">
        <f t="shared" ref="AR143:AS143" si="1032">AR147+8</f>
        <v>132</v>
      </c>
      <c r="AS143" s="123">
        <f t="shared" si="1032"/>
        <v>133</v>
      </c>
      <c r="AT143" s="115"/>
      <c r="AU143" s="123">
        <f t="shared" ref="AU143" si="1033">AU147+8</f>
        <v>134</v>
      </c>
      <c r="AV143" s="105"/>
      <c r="AW143" s="115"/>
      <c r="AX143" s="159">
        <f t="shared" ref="AX143:AY143" si="1034">AX147+8</f>
        <v>127</v>
      </c>
      <c r="AY143" s="123">
        <f t="shared" si="1034"/>
        <v>128</v>
      </c>
      <c r="AZ143" s="105"/>
      <c r="BA143" s="115"/>
      <c r="BB143" s="123">
        <f t="shared" ref="BB143" si="1035">BB147+8</f>
        <v>129</v>
      </c>
      <c r="BC143" s="160"/>
      <c r="BD143" s="163"/>
      <c r="BE143" s="116"/>
      <c r="BF143" s="116"/>
      <c r="BG143" s="163"/>
      <c r="BH143" s="1491" t="s">
        <v>1076</v>
      </c>
      <c r="BI143" s="1491" t="s">
        <v>1076</v>
      </c>
      <c r="BJ143" s="1491" t="s">
        <v>1076</v>
      </c>
      <c r="BK143" s="119"/>
      <c r="BL143" s="361" t="s">
        <v>0</v>
      </c>
      <c r="BM143" s="356" t="str">
        <f t="shared" ref="BM143" si="1036">_xlfn.CONCAT("קומה ",BM144)</f>
        <v>קומה 16</v>
      </c>
      <c r="BN143" s="1779"/>
      <c r="BP143" s="111" t="s">
        <v>0</v>
      </c>
    </row>
    <row r="144" spans="1:68" s="52" customFormat="1" ht="9.9499999999999993" hidden="1" customHeight="1" x14ac:dyDescent="0.2">
      <c r="A144" s="1766"/>
      <c r="B144" s="329">
        <f t="shared" ref="B144" si="1037">B148+1</f>
        <v>16</v>
      </c>
      <c r="C144" s="278" t="s">
        <v>89</v>
      </c>
      <c r="D144" s="56"/>
      <c r="E144" s="1492"/>
      <c r="F144" s="1492"/>
      <c r="G144" s="1492"/>
      <c r="H144" s="55"/>
      <c r="I144" s="55"/>
      <c r="J144" s="55"/>
      <c r="K144" s="55"/>
      <c r="L144" s="66" t="str">
        <f>VLOOKUP("*"&amp;L$5&amp;".Ap."&amp;L143,Check[],1,FALSE)</f>
        <v>V.GMS.S.3B.TS.Ap.131</v>
      </c>
      <c r="M144" s="64" t="str">
        <f t="shared" ref="M144" si="1038">L144</f>
        <v>V.GMS.S.3B.TS.Ap.131</v>
      </c>
      <c r="N144" s="64" t="str">
        <f>VLOOKUP("*"&amp;N$5&amp;".Ap."&amp;N143,Check[],1,FALSE)</f>
        <v>S.S.3C.TS.Ap.132</v>
      </c>
      <c r="O144" s="64" t="str">
        <f t="shared" ref="O144" si="1039">N144</f>
        <v>S.S.3C.TS.Ap.132</v>
      </c>
      <c r="P144" s="64" t="str">
        <f>VLOOKUP("*"&amp;P$5&amp;".Ap."&amp;P143,Check[],1,FALSE)</f>
        <v>S.S.3A.TS.Ap.133</v>
      </c>
      <c r="Q144" s="64" t="str">
        <f>VLOOKUP("*"&amp;Q$5&amp;".Ap."&amp;Q143,Check[],1,FALSE)</f>
        <v>O.S.3D.TS.Ap.134</v>
      </c>
      <c r="R144" s="64" t="str">
        <f t="shared" ref="R144:S144" si="1040">Q144</f>
        <v>O.S.3D.TS.Ap.134</v>
      </c>
      <c r="S144" s="68" t="str">
        <f t="shared" si="1040"/>
        <v>O.S.3D.TS.Ap.134</v>
      </c>
      <c r="T144" s="64" t="str">
        <f>VLOOKUP("*"&amp;T$5&amp;".Ap."&amp;T143,Check[],1,FALSE)</f>
        <v>S.S.3E.TS.Ap.135</v>
      </c>
      <c r="U144" s="64" t="str">
        <f t="shared" ref="U144" si="1041">T144</f>
        <v>S.S.3E.TS.Ap.135</v>
      </c>
      <c r="V144" s="64" t="str">
        <f>VLOOKUP("*"&amp;V$5&amp;".Ap."&amp;V143,Check[],1,FALSE)</f>
        <v>S.S.4A.TS.Ap.136</v>
      </c>
      <c r="W144" s="64" t="str">
        <f t="shared" ref="W144" si="1042">V144</f>
        <v>S.S.4A.TS.Ap.136</v>
      </c>
      <c r="X144" s="64" t="str">
        <f>VLOOKUP("*"&amp;X$5&amp;".Ap."&amp;X143,Check[],1,FALSE)</f>
        <v>S.S.2G.TS.Ap.137</v>
      </c>
      <c r="Y144" s="64" t="str">
        <f t="shared" ref="Y144" si="1043">X144</f>
        <v>S.S.2G.TS.Ap.137</v>
      </c>
      <c r="Z144" s="64" t="str">
        <f>VLOOKUP("*"&amp;Z$5&amp;".Ap."&amp;Z143,Check[],1,FALSE)</f>
        <v>S.S.4B.TS.Ap.138</v>
      </c>
      <c r="AA144" s="65" t="str">
        <f t="shared" si="907"/>
        <v>S.S.4B.TS.Ap.138</v>
      </c>
      <c r="AB144" s="50"/>
      <c r="AC144" s="50"/>
      <c r="AD144" s="50"/>
      <c r="AE144" s="50"/>
      <c r="AF144" s="50"/>
      <c r="AG144" s="50"/>
      <c r="AH144" s="50"/>
      <c r="AI144" s="50"/>
      <c r="AJ144" s="50"/>
      <c r="AK144" s="50"/>
      <c r="AL144" s="50"/>
      <c r="AM144" s="50"/>
      <c r="AN144" s="61"/>
      <c r="AO144" s="66" t="str">
        <f>VLOOKUP("*"&amp;AO$5&amp;".Ap."&amp;AO143,Check[],1,FALSE)</f>
        <v>S.S.4B.TN.Ap.130</v>
      </c>
      <c r="AP144" s="72" t="str">
        <f>VLOOKUP("*"&amp;AP$5&amp;".Ap."&amp;AP143,Check[],1,FALSE)</f>
        <v>S.S.2G.TN.Ap.131</v>
      </c>
      <c r="AQ144" s="68" t="str">
        <f t="shared" ref="AQ144" si="1044">AP144</f>
        <v>S.S.2G.TN.Ap.131</v>
      </c>
      <c r="AR144" s="64" t="str">
        <f>VLOOKUP("*"&amp;AR$5&amp;".Ap."&amp;AR143,Check[],1,FALSE)</f>
        <v>S.S.4A.TN.Ap.132</v>
      </c>
      <c r="AS144" s="72" t="str">
        <f>VLOOKUP("*"&amp;AS$5&amp;".Ap."&amp;AS143,Check[],1,FALSE)</f>
        <v>S.S.3E.TN.Ap.133</v>
      </c>
      <c r="AT144" s="68" t="str">
        <f t="shared" ref="AT144" si="1045">AS144</f>
        <v>S.S.3E.TN.Ap.133</v>
      </c>
      <c r="AU144" s="72" t="str">
        <f>VLOOKUP("*"&amp;AU$5&amp;".Ap."&amp;AU143,Check[],1,FALSE)</f>
        <v>S.S.3D.TN.Ap.134</v>
      </c>
      <c r="AV144" s="67" t="str">
        <f t="shared" ref="AV144:AW144" si="1046">AU144</f>
        <v>S.S.3D.TN.Ap.134</v>
      </c>
      <c r="AW144" s="68" t="str">
        <f t="shared" si="1046"/>
        <v>S.S.3D.TN.Ap.134</v>
      </c>
      <c r="AX144" s="64" t="str">
        <f>VLOOKUP("*"&amp;AX$5&amp;".Ap."&amp;AX143,Check[],1,FALSE)</f>
        <v>V.GMS.S.3A.TN.Ap.127</v>
      </c>
      <c r="AY144" s="72" t="str">
        <f>VLOOKUP("*"&amp;AY$5&amp;".Ap."&amp;AY143,Check[],1,FALSE)</f>
        <v>S.S.3C.TN.Ap.128</v>
      </c>
      <c r="AZ144" s="67" t="str">
        <f t="shared" ref="AZ144:BA144" si="1047">AY144</f>
        <v>S.S.3C.TN.Ap.128</v>
      </c>
      <c r="BA144" s="68" t="str">
        <f t="shared" si="1047"/>
        <v>S.S.3C.TN.Ap.128</v>
      </c>
      <c r="BB144" s="72" t="str">
        <f>VLOOKUP("*"&amp;BB$5&amp;".Ap."&amp;BB143,Check[],1,FALSE)</f>
        <v>S.S.3B.TN.Ap.129</v>
      </c>
      <c r="BC144" s="73" t="str">
        <f t="shared" ref="BC144" si="1048">BB144</f>
        <v>S.S.3B.TN.Ap.129</v>
      </c>
      <c r="BD144" s="62"/>
      <c r="BE144" s="55"/>
      <c r="BF144" s="55"/>
      <c r="BG144" s="62"/>
      <c r="BH144" s="1492"/>
      <c r="BI144" s="1492"/>
      <c r="BJ144" s="1492"/>
      <c r="BK144" s="57"/>
      <c r="BL144" s="361" t="s">
        <v>89</v>
      </c>
      <c r="BM144" s="357">
        <f t="shared" ref="BM144" si="1049">BM148+1</f>
        <v>16</v>
      </c>
      <c r="BN144" s="1779"/>
      <c r="BP144" s="53" t="s">
        <v>89</v>
      </c>
    </row>
    <row r="145" spans="1:68" s="8" customFormat="1" ht="12" customHeight="1" x14ac:dyDescent="0.3">
      <c r="A145" s="1766"/>
      <c r="B145" s="330"/>
      <c r="C145" s="279" t="s">
        <v>65</v>
      </c>
      <c r="D145" s="25"/>
      <c r="E145" s="1492"/>
      <c r="F145" s="1492"/>
      <c r="G145" s="1492"/>
      <c r="H145" s="21"/>
      <c r="I145" s="21"/>
      <c r="J145" s="21"/>
      <c r="K145" s="21"/>
      <c r="L145" s="230">
        <f>VLOOKUP(L144,Check[],5,FALSE)</f>
        <v>131</v>
      </c>
      <c r="M145" s="237"/>
      <c r="N145" s="237">
        <f>VLOOKUP(N144,Check[],5,FALSE)</f>
        <v>132</v>
      </c>
      <c r="O145" s="237"/>
      <c r="P145" s="248">
        <f>VLOOKUP(P144,Check[],5,FALSE)</f>
        <v>133</v>
      </c>
      <c r="Q145" s="237">
        <f>VLOOKUP(Q144,Check[],5,FALSE)</f>
        <v>134</v>
      </c>
      <c r="R145" s="237"/>
      <c r="S145" s="232"/>
      <c r="T145" s="237">
        <f>VLOOKUP(T144,Check[],5,FALSE)</f>
        <v>135</v>
      </c>
      <c r="U145" s="237"/>
      <c r="V145" s="237">
        <f>VLOOKUP(V144,Check[],5,FALSE)</f>
        <v>136</v>
      </c>
      <c r="W145" s="237"/>
      <c r="X145" s="237">
        <f>VLOOKUP(X144,Check[],5,FALSE)</f>
        <v>137</v>
      </c>
      <c r="Y145" s="237"/>
      <c r="Z145" s="237">
        <f>VLOOKUP(Z144,Check[],5,FALSE)</f>
        <v>138</v>
      </c>
      <c r="AA145" s="233"/>
      <c r="AB145" s="19"/>
      <c r="AC145" s="19"/>
      <c r="AD145" s="19"/>
      <c r="AE145" s="19"/>
      <c r="AF145" s="19"/>
      <c r="AG145" s="19"/>
      <c r="AH145" s="19"/>
      <c r="AI145" s="19"/>
      <c r="AJ145" s="19"/>
      <c r="AK145" s="19"/>
      <c r="AL145" s="19"/>
      <c r="AM145" s="19"/>
      <c r="AN145" s="247"/>
      <c r="AO145" s="257">
        <f>VLOOKUP(AO144,Check[],5,FALSE)</f>
        <v>130</v>
      </c>
      <c r="AP145" s="243">
        <f>VLOOKUP(AP144,Check[],5,FALSE)</f>
        <v>131</v>
      </c>
      <c r="AQ145" s="240"/>
      <c r="AR145" s="248">
        <f>VLOOKUP(AR144,Check[],5,FALSE)</f>
        <v>132</v>
      </c>
      <c r="AS145" s="243">
        <f>VLOOKUP(AS144,Check[],5,FALSE)</f>
        <v>133</v>
      </c>
      <c r="AT145" s="240"/>
      <c r="AU145" s="243">
        <f>VLOOKUP(AU144,Check[],5,FALSE)</f>
        <v>134</v>
      </c>
      <c r="AV145" s="244"/>
      <c r="AW145" s="242"/>
      <c r="AX145" s="248">
        <f>VLOOKUP(AX144,Check[],5,FALSE)</f>
        <v>127</v>
      </c>
      <c r="AY145" s="243">
        <f>VLOOKUP(AY144,Check[],5,FALSE)</f>
        <v>128</v>
      </c>
      <c r="AZ145" s="244"/>
      <c r="BA145" s="242"/>
      <c r="BB145" s="243">
        <f>VLOOKUP(BB144,Check[],5,FALSE)</f>
        <v>129</v>
      </c>
      <c r="BC145" s="249"/>
      <c r="BD145" s="37"/>
      <c r="BE145" s="21"/>
      <c r="BF145" s="21"/>
      <c r="BG145" s="37"/>
      <c r="BH145" s="1492"/>
      <c r="BI145" s="1492"/>
      <c r="BJ145" s="1492"/>
      <c r="BK145" s="31"/>
      <c r="BL145" s="362" t="s">
        <v>65</v>
      </c>
      <c r="BM145" s="358"/>
      <c r="BN145" s="1779"/>
      <c r="BP145" s="236" t="s">
        <v>1078</v>
      </c>
    </row>
    <row r="146" spans="1:68" s="196" customFormat="1" ht="15" customHeight="1" thickBot="1" x14ac:dyDescent="0.4">
      <c r="A146" s="1767"/>
      <c r="B146" s="187">
        <f t="shared" ref="B146" si="1050">B150+3.48</f>
        <v>62.199999999999974</v>
      </c>
      <c r="C146" s="280" t="s">
        <v>1</v>
      </c>
      <c r="D146" s="204"/>
      <c r="E146" s="1493"/>
      <c r="F146" s="1493"/>
      <c r="G146" s="1493"/>
      <c r="H146" s="203"/>
      <c r="I146" s="203"/>
      <c r="J146" s="203"/>
      <c r="K146" s="203"/>
      <c r="L146" s="188">
        <f>VLOOKUP(L144,Check[],6,FALSE)</f>
        <v>1601</v>
      </c>
      <c r="M146" s="199"/>
      <c r="N146" s="199">
        <f>VLOOKUP(N144,Check[],6,FALSE)</f>
        <v>1602</v>
      </c>
      <c r="O146" s="199"/>
      <c r="P146" s="193">
        <f>VLOOKUP(P144,Check[],6,FALSE)</f>
        <v>1603</v>
      </c>
      <c r="Q146" s="199">
        <f>VLOOKUP(Q144,Check[],6,FALSE)</f>
        <v>1604</v>
      </c>
      <c r="R146" s="199"/>
      <c r="S146" s="190"/>
      <c r="T146" s="199">
        <f>VLOOKUP(T144,Check[],6,FALSE)</f>
        <v>1605</v>
      </c>
      <c r="U146" s="199"/>
      <c r="V146" s="199">
        <f>VLOOKUP(V144,Check[],6,FALSE)</f>
        <v>1606</v>
      </c>
      <c r="W146" s="199"/>
      <c r="X146" s="199">
        <f>VLOOKUP(X144,Check[],6,FALSE)</f>
        <v>1607</v>
      </c>
      <c r="Y146" s="199"/>
      <c r="Z146" s="199">
        <f>VLOOKUP(Z144,Check[],6,FALSE)</f>
        <v>1608</v>
      </c>
      <c r="AA146" s="191"/>
      <c r="AB146" s="192"/>
      <c r="AC146" s="192"/>
      <c r="AD146" s="192"/>
      <c r="AE146" s="192"/>
      <c r="AF146" s="192"/>
      <c r="AG146" s="192"/>
      <c r="AH146" s="192"/>
      <c r="AI146" s="192"/>
      <c r="AJ146" s="192"/>
      <c r="AK146" s="192"/>
      <c r="AL146" s="192"/>
      <c r="AM146" s="192"/>
      <c r="AN146" s="215"/>
      <c r="AO146" s="220">
        <f>VLOOKUP(AO144,Check[],6,FALSE)</f>
        <v>1602</v>
      </c>
      <c r="AP146" s="211">
        <f>VLOOKUP(AP144,Check[],6,FALSE)</f>
        <v>1603</v>
      </c>
      <c r="AQ146" s="202"/>
      <c r="AR146" s="193">
        <f>VLOOKUP(AR144,Check[],6,FALSE)</f>
        <v>1604</v>
      </c>
      <c r="AS146" s="211">
        <f>VLOOKUP(AS144,Check[],6,FALSE)</f>
        <v>1605</v>
      </c>
      <c r="AT146" s="202"/>
      <c r="AU146" s="211">
        <f>VLOOKUP(AU144,Check[],6,FALSE)</f>
        <v>1606</v>
      </c>
      <c r="AV146" s="212"/>
      <c r="AW146" s="207"/>
      <c r="AX146" s="193">
        <f>VLOOKUP(AX144,Check[],6,FALSE)</f>
        <v>1607</v>
      </c>
      <c r="AY146" s="211">
        <f>VLOOKUP(AY144,Check[],6,FALSE)</f>
        <v>1608</v>
      </c>
      <c r="AZ146" s="212"/>
      <c r="BA146" s="207"/>
      <c r="BB146" s="211">
        <f>VLOOKUP(BB144,Check[],6,FALSE)</f>
        <v>1601</v>
      </c>
      <c r="BC146" s="216"/>
      <c r="BD146" s="218"/>
      <c r="BE146" s="203"/>
      <c r="BF146" s="203"/>
      <c r="BG146" s="218"/>
      <c r="BH146" s="1493"/>
      <c r="BI146" s="1493"/>
      <c r="BJ146" s="1493"/>
      <c r="BK146" s="205"/>
      <c r="BL146" s="363" t="s">
        <v>1</v>
      </c>
      <c r="BM146" s="359">
        <f t="shared" ref="BM146" si="1051">BM150+3.48</f>
        <v>62.199999999999974</v>
      </c>
      <c r="BN146" s="1780"/>
      <c r="BP146" s="197" t="s">
        <v>1</v>
      </c>
    </row>
    <row r="147" spans="1:68" s="110" customFormat="1" ht="21.95" customHeight="1" x14ac:dyDescent="0.45">
      <c r="A147" s="1766"/>
      <c r="B147" s="326" t="str">
        <f t="shared" ref="B147" si="1052">_xlfn.CONCAT("קומה ",B148)</f>
        <v>קומה 15</v>
      </c>
      <c r="C147" s="278" t="s">
        <v>0</v>
      </c>
      <c r="D147" s="117"/>
      <c r="E147" s="1494"/>
      <c r="F147" s="1494"/>
      <c r="G147" s="1494"/>
      <c r="H147" s="116"/>
      <c r="I147" s="116"/>
      <c r="J147" s="116"/>
      <c r="K147" s="116"/>
      <c r="L147" s="104">
        <f t="shared" ref="L147" si="1053">L151+8</f>
        <v>123</v>
      </c>
      <c r="M147" s="112"/>
      <c r="N147" s="112">
        <f t="shared" ref="N147" si="1054">N151+8</f>
        <v>124</v>
      </c>
      <c r="O147" s="112"/>
      <c r="P147" s="159">
        <f t="shared" ref="P147:Q147" si="1055">P151+8</f>
        <v>125</v>
      </c>
      <c r="Q147" s="112">
        <f t="shared" si="1055"/>
        <v>126</v>
      </c>
      <c r="R147" s="112"/>
      <c r="S147" s="106"/>
      <c r="T147" s="112">
        <f t="shared" ref="T147" si="1056">T151+8</f>
        <v>127</v>
      </c>
      <c r="U147" s="112"/>
      <c r="V147" s="112">
        <f t="shared" ref="V147" si="1057">V151+8</f>
        <v>128</v>
      </c>
      <c r="W147" s="112"/>
      <c r="X147" s="112">
        <f t="shared" ref="X147" si="1058">X151+8</f>
        <v>129</v>
      </c>
      <c r="Y147" s="112"/>
      <c r="Z147" s="112">
        <f t="shared" ref="Z147" si="1059">Z151+8</f>
        <v>130</v>
      </c>
      <c r="AA147" s="121"/>
      <c r="AB147" s="107"/>
      <c r="AC147" s="107"/>
      <c r="AD147" s="107"/>
      <c r="AE147" s="107"/>
      <c r="AF147" s="107"/>
      <c r="AG147" s="107"/>
      <c r="AH147" s="107"/>
      <c r="AI147" s="107"/>
      <c r="AJ147" s="107"/>
      <c r="AK147" s="107"/>
      <c r="AL147" s="107"/>
      <c r="AM147" s="107"/>
      <c r="AN147" s="137"/>
      <c r="AO147" s="176">
        <f t="shared" ref="AO147:AP147" si="1060">AO151+8</f>
        <v>122</v>
      </c>
      <c r="AP147" s="123">
        <f t="shared" si="1060"/>
        <v>123</v>
      </c>
      <c r="AQ147" s="115"/>
      <c r="AR147" s="159">
        <f t="shared" ref="AR147:AS147" si="1061">AR151+8</f>
        <v>124</v>
      </c>
      <c r="AS147" s="123">
        <f t="shared" si="1061"/>
        <v>125</v>
      </c>
      <c r="AT147" s="115"/>
      <c r="AU147" s="123">
        <f t="shared" ref="AU147" si="1062">AU151+8</f>
        <v>126</v>
      </c>
      <c r="AV147" s="105"/>
      <c r="AW147" s="115"/>
      <c r="AX147" s="159">
        <f t="shared" ref="AX147:AY147" si="1063">AX151+8</f>
        <v>119</v>
      </c>
      <c r="AY147" s="123">
        <f t="shared" si="1063"/>
        <v>120</v>
      </c>
      <c r="AZ147" s="105"/>
      <c r="BA147" s="115"/>
      <c r="BB147" s="123">
        <f t="shared" ref="BB147" si="1064">BB151+8</f>
        <v>121</v>
      </c>
      <c r="BC147" s="160"/>
      <c r="BD147" s="163"/>
      <c r="BE147" s="116"/>
      <c r="BF147" s="116"/>
      <c r="BG147" s="163"/>
      <c r="BH147" s="1494"/>
      <c r="BI147" s="1494"/>
      <c r="BJ147" s="1494"/>
      <c r="BK147" s="119"/>
      <c r="BL147" s="361" t="s">
        <v>0</v>
      </c>
      <c r="BM147" s="356" t="str">
        <f t="shared" ref="BM147" si="1065">_xlfn.CONCAT("קומה ",BM148)</f>
        <v>קומה 15</v>
      </c>
      <c r="BN147" s="1779"/>
      <c r="BP147" s="111" t="s">
        <v>0</v>
      </c>
    </row>
    <row r="148" spans="1:68" s="52" customFormat="1" ht="9.9499999999999993" hidden="1" customHeight="1" x14ac:dyDescent="0.2">
      <c r="A148" s="1766"/>
      <c r="B148" s="329">
        <f t="shared" ref="B148" si="1066">B152+1</f>
        <v>15</v>
      </c>
      <c r="C148" s="278" t="s">
        <v>89</v>
      </c>
      <c r="D148" s="56"/>
      <c r="E148" s="1495"/>
      <c r="F148" s="1495"/>
      <c r="G148" s="1495"/>
      <c r="H148" s="55"/>
      <c r="I148" s="55"/>
      <c r="J148" s="55"/>
      <c r="K148" s="55"/>
      <c r="L148" s="66" t="str">
        <f>VLOOKUP("*"&amp;L$5&amp;".Ap."&amp;L147,Check[],1,FALSE)</f>
        <v>V.GMS.S.3B.TS.Ap.123</v>
      </c>
      <c r="M148" s="64" t="str">
        <f t="shared" ref="M148" si="1067">L148</f>
        <v>V.GMS.S.3B.TS.Ap.123</v>
      </c>
      <c r="N148" s="64" t="str">
        <f>VLOOKUP("*"&amp;N$5&amp;".Ap."&amp;N147,Check[],1,FALSE)</f>
        <v>S.S.3C.TS.Ap.124</v>
      </c>
      <c r="O148" s="64" t="str">
        <f t="shared" ref="O148" si="1068">N148</f>
        <v>S.S.3C.TS.Ap.124</v>
      </c>
      <c r="P148" s="64" t="str">
        <f>VLOOKUP("*"&amp;P$5&amp;".Ap."&amp;P147,Check[],1,FALSE)</f>
        <v>S.S.3A.TS.Ap.125</v>
      </c>
      <c r="Q148" s="64" t="str">
        <f>VLOOKUP("*"&amp;Q$5&amp;".Ap."&amp;Q147,Check[],1,FALSE)</f>
        <v>S.S.3D.TS.Ap.126</v>
      </c>
      <c r="R148" s="64" t="str">
        <f t="shared" ref="R148:S148" si="1069">Q148</f>
        <v>S.S.3D.TS.Ap.126</v>
      </c>
      <c r="S148" s="68" t="str">
        <f t="shared" si="1069"/>
        <v>S.S.3D.TS.Ap.126</v>
      </c>
      <c r="T148" s="64" t="str">
        <f>VLOOKUP("*"&amp;T$5&amp;".Ap."&amp;T147,Check[],1,FALSE)</f>
        <v>S.S.3E.TS.Ap.127</v>
      </c>
      <c r="U148" s="64" t="str">
        <f t="shared" ref="U148" si="1070">T148</f>
        <v>S.S.3E.TS.Ap.127</v>
      </c>
      <c r="V148" s="64" t="str">
        <f>VLOOKUP("*"&amp;V$5&amp;".Ap."&amp;V147,Check[],1,FALSE)</f>
        <v>S.S.4A.TS.Ap.128</v>
      </c>
      <c r="W148" s="64" t="str">
        <f t="shared" ref="W148" si="1071">V148</f>
        <v>S.S.4A.TS.Ap.128</v>
      </c>
      <c r="X148" s="64" t="str">
        <f>VLOOKUP("*"&amp;X$5&amp;".Ap."&amp;X147,Check[],1,FALSE)</f>
        <v>O.S.2G.TS.Ap.129</v>
      </c>
      <c r="Y148" s="64" t="str">
        <f t="shared" ref="Y148" si="1072">X148</f>
        <v>O.S.2G.TS.Ap.129</v>
      </c>
      <c r="Z148" s="64" t="str">
        <f>VLOOKUP("*"&amp;Z$5&amp;".Ap."&amp;Z147,Check[],1,FALSE)</f>
        <v>O.S.4B.TS.Ap.130</v>
      </c>
      <c r="AA148" s="65" t="str">
        <f t="shared" si="907"/>
        <v>O.S.4B.TS.Ap.130</v>
      </c>
      <c r="AB148" s="50"/>
      <c r="AC148" s="50"/>
      <c r="AD148" s="50"/>
      <c r="AE148" s="50"/>
      <c r="AF148" s="50"/>
      <c r="AG148" s="50"/>
      <c r="AH148" s="50"/>
      <c r="AI148" s="50"/>
      <c r="AJ148" s="50"/>
      <c r="AK148" s="50"/>
      <c r="AL148" s="50"/>
      <c r="AM148" s="50"/>
      <c r="AN148" s="61"/>
      <c r="AO148" s="66" t="str">
        <f>VLOOKUP("*"&amp;AO$5&amp;".Ap."&amp;AO147,Check[],1,FALSE)</f>
        <v>S.S.4B.TN.Ap.122</v>
      </c>
      <c r="AP148" s="72" t="str">
        <f>VLOOKUP("*"&amp;AP$5&amp;".Ap."&amp;AP147,Check[],1,FALSE)</f>
        <v>S.S.2G.TN.Ap.123</v>
      </c>
      <c r="AQ148" s="68" t="str">
        <f t="shared" ref="AQ148" si="1073">AP148</f>
        <v>S.S.2G.TN.Ap.123</v>
      </c>
      <c r="AR148" s="64" t="str">
        <f>VLOOKUP("*"&amp;AR$5&amp;".Ap."&amp;AR147,Check[],1,FALSE)</f>
        <v>S.S.4A.TN.Ap.124</v>
      </c>
      <c r="AS148" s="72" t="str">
        <f>VLOOKUP("*"&amp;AS$5&amp;".Ap."&amp;AS147,Check[],1,FALSE)</f>
        <v>S.S.3E.TN.Ap.125</v>
      </c>
      <c r="AT148" s="68" t="str">
        <f t="shared" ref="AT148" si="1074">AS148</f>
        <v>S.S.3E.TN.Ap.125</v>
      </c>
      <c r="AU148" s="72" t="str">
        <f>VLOOKUP("*"&amp;AU$5&amp;".Ap."&amp;AU147,Check[],1,FALSE)</f>
        <v>S.S.3D.TN.Ap.126</v>
      </c>
      <c r="AV148" s="67" t="str">
        <f t="shared" ref="AV148:AW148" si="1075">AU148</f>
        <v>S.S.3D.TN.Ap.126</v>
      </c>
      <c r="AW148" s="68" t="str">
        <f t="shared" si="1075"/>
        <v>S.S.3D.TN.Ap.126</v>
      </c>
      <c r="AX148" s="64" t="str">
        <f>VLOOKUP("*"&amp;AX$5&amp;".Ap."&amp;AX147,Check[],1,FALSE)</f>
        <v>S.S.3A.TN.Ap.119</v>
      </c>
      <c r="AY148" s="72" t="str">
        <f>VLOOKUP("*"&amp;AY$5&amp;".Ap."&amp;AY147,Check[],1,FALSE)</f>
        <v>S.S.3C.TN.Ap.120</v>
      </c>
      <c r="AZ148" s="67" t="str">
        <f t="shared" ref="AZ148:BA148" si="1076">AY148</f>
        <v>S.S.3C.TN.Ap.120</v>
      </c>
      <c r="BA148" s="68" t="str">
        <f t="shared" si="1076"/>
        <v>S.S.3C.TN.Ap.120</v>
      </c>
      <c r="BB148" s="72" t="str">
        <f>VLOOKUP("*"&amp;BB$5&amp;".Ap."&amp;BB147,Check[],1,FALSE)</f>
        <v>S.S.3B.TN.Ap.121</v>
      </c>
      <c r="BC148" s="73" t="str">
        <f t="shared" ref="BC148" si="1077">BB148</f>
        <v>S.S.3B.TN.Ap.121</v>
      </c>
      <c r="BD148" s="62"/>
      <c r="BE148" s="55"/>
      <c r="BF148" s="55"/>
      <c r="BG148" s="62"/>
      <c r="BH148" s="1495"/>
      <c r="BI148" s="1495"/>
      <c r="BJ148" s="1495"/>
      <c r="BK148" s="57"/>
      <c r="BL148" s="361" t="s">
        <v>89</v>
      </c>
      <c r="BM148" s="357">
        <f t="shared" ref="BM148" si="1078">BM152+1</f>
        <v>15</v>
      </c>
      <c r="BN148" s="1779"/>
      <c r="BP148" s="53" t="s">
        <v>89</v>
      </c>
    </row>
    <row r="149" spans="1:68" s="8" customFormat="1" ht="12" customHeight="1" x14ac:dyDescent="0.3">
      <c r="A149" s="1766"/>
      <c r="B149" s="330"/>
      <c r="C149" s="279" t="s">
        <v>65</v>
      </c>
      <c r="D149" s="25"/>
      <c r="E149" s="1495"/>
      <c r="F149" s="1495"/>
      <c r="G149" s="1495"/>
      <c r="H149" s="21"/>
      <c r="I149" s="21"/>
      <c r="J149" s="21"/>
      <c r="K149" s="21"/>
      <c r="L149" s="230">
        <f>VLOOKUP(L148,Check[],5,FALSE)</f>
        <v>123</v>
      </c>
      <c r="M149" s="237"/>
      <c r="N149" s="237">
        <f>VLOOKUP(N148,Check[],5,FALSE)</f>
        <v>124</v>
      </c>
      <c r="O149" s="237"/>
      <c r="P149" s="248">
        <f>VLOOKUP(P148,Check[],5,FALSE)</f>
        <v>125</v>
      </c>
      <c r="Q149" s="237">
        <f>VLOOKUP(Q148,Check[],5,FALSE)</f>
        <v>126</v>
      </c>
      <c r="R149" s="237"/>
      <c r="S149" s="232"/>
      <c r="T149" s="237">
        <f>VLOOKUP(T148,Check[],5,FALSE)</f>
        <v>127</v>
      </c>
      <c r="U149" s="237"/>
      <c r="V149" s="237">
        <f>VLOOKUP(V148,Check[],5,FALSE)</f>
        <v>128</v>
      </c>
      <c r="W149" s="237"/>
      <c r="X149" s="237">
        <f>VLOOKUP(X148,Check[],5,FALSE)</f>
        <v>129</v>
      </c>
      <c r="Y149" s="237"/>
      <c r="Z149" s="237">
        <f>VLOOKUP(Z148,Check[],5,FALSE)</f>
        <v>130</v>
      </c>
      <c r="AA149" s="233"/>
      <c r="AB149" s="19"/>
      <c r="AC149" s="19"/>
      <c r="AD149" s="19"/>
      <c r="AE149" s="19"/>
      <c r="AF149" s="19"/>
      <c r="AG149" s="19"/>
      <c r="AH149" s="19"/>
      <c r="AI149" s="19"/>
      <c r="AJ149" s="19"/>
      <c r="AK149" s="19"/>
      <c r="AL149" s="19"/>
      <c r="AM149" s="19"/>
      <c r="AN149" s="247"/>
      <c r="AO149" s="257">
        <f>VLOOKUP(AO148,Check[],5,FALSE)</f>
        <v>122</v>
      </c>
      <c r="AP149" s="243">
        <f>VLOOKUP(AP148,Check[],5,FALSE)</f>
        <v>123</v>
      </c>
      <c r="AQ149" s="240"/>
      <c r="AR149" s="248">
        <f>VLOOKUP(AR148,Check[],5,FALSE)</f>
        <v>124</v>
      </c>
      <c r="AS149" s="243">
        <f>VLOOKUP(AS148,Check[],5,FALSE)</f>
        <v>125</v>
      </c>
      <c r="AT149" s="240"/>
      <c r="AU149" s="243">
        <f>VLOOKUP(AU148,Check[],5,FALSE)</f>
        <v>126</v>
      </c>
      <c r="AV149" s="244"/>
      <c r="AW149" s="242"/>
      <c r="AX149" s="248">
        <f>VLOOKUP(AX148,Check[],5,FALSE)</f>
        <v>119</v>
      </c>
      <c r="AY149" s="243">
        <f>VLOOKUP(AY148,Check[],5,FALSE)</f>
        <v>120</v>
      </c>
      <c r="AZ149" s="244"/>
      <c r="BA149" s="242"/>
      <c r="BB149" s="243">
        <f>VLOOKUP(BB148,Check[],5,FALSE)</f>
        <v>121</v>
      </c>
      <c r="BC149" s="249"/>
      <c r="BD149" s="37"/>
      <c r="BE149" s="21"/>
      <c r="BF149" s="21"/>
      <c r="BG149" s="37"/>
      <c r="BH149" s="1495"/>
      <c r="BI149" s="1495"/>
      <c r="BJ149" s="1495"/>
      <c r="BK149" s="31"/>
      <c r="BL149" s="362" t="s">
        <v>65</v>
      </c>
      <c r="BM149" s="358"/>
      <c r="BN149" s="1779"/>
      <c r="BP149" s="236" t="s">
        <v>1078</v>
      </c>
    </row>
    <row r="150" spans="1:68" s="196" customFormat="1" ht="15" customHeight="1" thickBot="1" x14ac:dyDescent="0.4">
      <c r="A150" s="1767"/>
      <c r="B150" s="187">
        <f t="shared" ref="B150" si="1079">B154+3.48</f>
        <v>58.719999999999978</v>
      </c>
      <c r="C150" s="280" t="s">
        <v>1</v>
      </c>
      <c r="D150" s="204"/>
      <c r="E150" s="1496"/>
      <c r="F150" s="1496"/>
      <c r="G150" s="1496"/>
      <c r="H150" s="203"/>
      <c r="I150" s="203"/>
      <c r="J150" s="203"/>
      <c r="K150" s="203"/>
      <c r="L150" s="188">
        <f>VLOOKUP(L148,Check[],6,FALSE)</f>
        <v>1501</v>
      </c>
      <c r="M150" s="199"/>
      <c r="N150" s="199">
        <f>VLOOKUP(N148,Check[],6,FALSE)</f>
        <v>1502</v>
      </c>
      <c r="O150" s="199"/>
      <c r="P150" s="193">
        <f>VLOOKUP(P148,Check[],6,FALSE)</f>
        <v>1503</v>
      </c>
      <c r="Q150" s="199">
        <f>VLOOKUP(Q148,Check[],6,FALSE)</f>
        <v>1504</v>
      </c>
      <c r="R150" s="199"/>
      <c r="S150" s="190"/>
      <c r="T150" s="199">
        <f>VLOOKUP(T148,Check[],6,FALSE)</f>
        <v>1505</v>
      </c>
      <c r="U150" s="199"/>
      <c r="V150" s="199">
        <f>VLOOKUP(V148,Check[],6,FALSE)</f>
        <v>1506</v>
      </c>
      <c r="W150" s="199"/>
      <c r="X150" s="199">
        <f>VLOOKUP(X148,Check[],6,FALSE)</f>
        <v>1507</v>
      </c>
      <c r="Y150" s="199"/>
      <c r="Z150" s="199">
        <f>VLOOKUP(Z148,Check[],6,FALSE)</f>
        <v>1508</v>
      </c>
      <c r="AA150" s="191"/>
      <c r="AB150" s="192"/>
      <c r="AC150" s="192"/>
      <c r="AD150" s="192"/>
      <c r="AE150" s="192"/>
      <c r="AF150" s="192"/>
      <c r="AG150" s="192"/>
      <c r="AH150" s="192"/>
      <c r="AI150" s="192"/>
      <c r="AJ150" s="192"/>
      <c r="AK150" s="192"/>
      <c r="AL150" s="192"/>
      <c r="AM150" s="192"/>
      <c r="AN150" s="215"/>
      <c r="AO150" s="220">
        <f>VLOOKUP(AO148,Check[],6,FALSE)</f>
        <v>1502</v>
      </c>
      <c r="AP150" s="211">
        <f>VLOOKUP(AP148,Check[],6,FALSE)</f>
        <v>1503</v>
      </c>
      <c r="AQ150" s="202"/>
      <c r="AR150" s="193">
        <f>VLOOKUP(AR148,Check[],6,FALSE)</f>
        <v>1504</v>
      </c>
      <c r="AS150" s="211">
        <f>VLOOKUP(AS148,Check[],6,FALSE)</f>
        <v>1505</v>
      </c>
      <c r="AT150" s="202"/>
      <c r="AU150" s="211">
        <f>VLOOKUP(AU148,Check[],6,FALSE)</f>
        <v>1506</v>
      </c>
      <c r="AV150" s="212"/>
      <c r="AW150" s="207"/>
      <c r="AX150" s="193">
        <f>VLOOKUP(AX148,Check[],6,FALSE)</f>
        <v>1507</v>
      </c>
      <c r="AY150" s="211">
        <f>VLOOKUP(AY148,Check[],6,FALSE)</f>
        <v>1508</v>
      </c>
      <c r="AZ150" s="212"/>
      <c r="BA150" s="207"/>
      <c r="BB150" s="211">
        <f>VLOOKUP(BB148,Check[],6,FALSE)</f>
        <v>1501</v>
      </c>
      <c r="BC150" s="216"/>
      <c r="BD150" s="218"/>
      <c r="BE150" s="203"/>
      <c r="BF150" s="203"/>
      <c r="BG150" s="218"/>
      <c r="BH150" s="1496"/>
      <c r="BI150" s="1496"/>
      <c r="BJ150" s="1496"/>
      <c r="BK150" s="205"/>
      <c r="BL150" s="363" t="s">
        <v>1</v>
      </c>
      <c r="BM150" s="359">
        <f t="shared" ref="BM150" si="1080">BM154+3.48</f>
        <v>58.719999999999978</v>
      </c>
      <c r="BN150" s="1780"/>
      <c r="BP150" s="197" t="s">
        <v>1</v>
      </c>
    </row>
    <row r="151" spans="1:68" s="110" customFormat="1" ht="21.95" customHeight="1" x14ac:dyDescent="0.45">
      <c r="A151" s="1766"/>
      <c r="B151" s="326" t="str">
        <f t="shared" ref="B151" si="1081">_xlfn.CONCAT("קומה ",B152)</f>
        <v>קומה 14</v>
      </c>
      <c r="C151" s="278" t="s">
        <v>0</v>
      </c>
      <c r="D151" s="117"/>
      <c r="E151" s="1494"/>
      <c r="F151" s="1494"/>
      <c r="G151" s="1494"/>
      <c r="H151" s="116"/>
      <c r="I151" s="116"/>
      <c r="J151" s="116"/>
      <c r="K151" s="116"/>
      <c r="L151" s="104">
        <f t="shared" ref="L151" si="1082">L155+8</f>
        <v>115</v>
      </c>
      <c r="M151" s="112"/>
      <c r="N151" s="112">
        <f t="shared" ref="N151" si="1083">N155+8</f>
        <v>116</v>
      </c>
      <c r="O151" s="112"/>
      <c r="P151" s="159">
        <f t="shared" ref="P151:Q151" si="1084">P155+8</f>
        <v>117</v>
      </c>
      <c r="Q151" s="112">
        <f t="shared" si="1084"/>
        <v>118</v>
      </c>
      <c r="R151" s="112"/>
      <c r="S151" s="106"/>
      <c r="T151" s="112">
        <f t="shared" ref="T151" si="1085">T155+8</f>
        <v>119</v>
      </c>
      <c r="U151" s="112"/>
      <c r="V151" s="112">
        <f t="shared" ref="V151" si="1086">V155+8</f>
        <v>120</v>
      </c>
      <c r="W151" s="112"/>
      <c r="X151" s="112">
        <f t="shared" ref="X151" si="1087">X155+8</f>
        <v>121</v>
      </c>
      <c r="Y151" s="112"/>
      <c r="Z151" s="112">
        <f t="shared" ref="Z151" si="1088">Z155+8</f>
        <v>122</v>
      </c>
      <c r="AA151" s="121"/>
      <c r="AB151" s="107"/>
      <c r="AC151" s="107"/>
      <c r="AD151" s="107"/>
      <c r="AE151" s="107"/>
      <c r="AF151" s="107"/>
      <c r="AG151" s="107"/>
      <c r="AH151" s="107"/>
      <c r="AI151" s="107"/>
      <c r="AJ151" s="107"/>
      <c r="AK151" s="107"/>
      <c r="AL151" s="107"/>
      <c r="AM151" s="107"/>
      <c r="AN151" s="137"/>
      <c r="AO151" s="176">
        <f t="shared" ref="AO151:AP151" si="1089">AO155+8</f>
        <v>114</v>
      </c>
      <c r="AP151" s="123">
        <f t="shared" si="1089"/>
        <v>115</v>
      </c>
      <c r="AQ151" s="115"/>
      <c r="AR151" s="159">
        <f t="shared" ref="AR151:AS151" si="1090">AR155+8</f>
        <v>116</v>
      </c>
      <c r="AS151" s="123">
        <f t="shared" si="1090"/>
        <v>117</v>
      </c>
      <c r="AT151" s="115"/>
      <c r="AU151" s="123">
        <f t="shared" ref="AU151" si="1091">AU155+8</f>
        <v>118</v>
      </c>
      <c r="AV151" s="105"/>
      <c r="AW151" s="115"/>
      <c r="AX151" s="159">
        <f t="shared" ref="AX151:AY151" si="1092">AX155+8</f>
        <v>111</v>
      </c>
      <c r="AY151" s="123">
        <f t="shared" si="1092"/>
        <v>112</v>
      </c>
      <c r="AZ151" s="105"/>
      <c r="BA151" s="115"/>
      <c r="BB151" s="123">
        <f t="shared" ref="BB151" si="1093">BB155+8</f>
        <v>113</v>
      </c>
      <c r="BC151" s="160"/>
      <c r="BD151" s="163"/>
      <c r="BE151" s="116"/>
      <c r="BF151" s="116"/>
      <c r="BG151" s="163"/>
      <c r="BH151" s="1494"/>
      <c r="BI151" s="1494"/>
      <c r="BJ151" s="1494"/>
      <c r="BK151" s="119"/>
      <c r="BL151" s="361" t="s">
        <v>0</v>
      </c>
      <c r="BM151" s="356" t="str">
        <f t="shared" ref="BM151" si="1094">_xlfn.CONCAT("קומה ",BM152)</f>
        <v>קומה 14</v>
      </c>
      <c r="BN151" s="1779"/>
      <c r="BP151" s="111" t="s">
        <v>0</v>
      </c>
    </row>
    <row r="152" spans="1:68" s="52" customFormat="1" ht="9.9499999999999993" hidden="1" customHeight="1" x14ac:dyDescent="0.2">
      <c r="A152" s="1766"/>
      <c r="B152" s="329">
        <f t="shared" ref="B152" si="1095">B156+1</f>
        <v>14</v>
      </c>
      <c r="C152" s="278" t="s">
        <v>89</v>
      </c>
      <c r="D152" s="56"/>
      <c r="E152" s="1495"/>
      <c r="F152" s="1495"/>
      <c r="G152" s="1495"/>
      <c r="H152" s="55"/>
      <c r="I152" s="55"/>
      <c r="J152" s="55"/>
      <c r="K152" s="55"/>
      <c r="L152" s="66" t="str">
        <f>VLOOKUP("*"&amp;L$5&amp;".Ap."&amp;L151,Check[],1,FALSE)</f>
        <v>V.GMS.S.3B.TS.Ap.115</v>
      </c>
      <c r="M152" s="64" t="str">
        <f t="shared" ref="M152" si="1096">L152</f>
        <v>V.GMS.S.3B.TS.Ap.115</v>
      </c>
      <c r="N152" s="64" t="str">
        <f>VLOOKUP("*"&amp;N$5&amp;".Ap."&amp;N151,Check[],1,FALSE)</f>
        <v>S.S.3C.TS.Ap.116</v>
      </c>
      <c r="O152" s="64" t="str">
        <f t="shared" ref="O152" si="1097">N152</f>
        <v>S.S.3C.TS.Ap.116</v>
      </c>
      <c r="P152" s="64" t="str">
        <f>VLOOKUP("*"&amp;P$5&amp;".Ap."&amp;P151,Check[],1,FALSE)</f>
        <v>O.S.3A.TS.Ap.117</v>
      </c>
      <c r="Q152" s="64" t="str">
        <f>VLOOKUP("*"&amp;Q$5&amp;".Ap."&amp;Q151,Check[],1,FALSE)</f>
        <v>S.S.3D.TS.Ap.118</v>
      </c>
      <c r="R152" s="64" t="str">
        <f t="shared" ref="R152:S152" si="1098">Q152</f>
        <v>S.S.3D.TS.Ap.118</v>
      </c>
      <c r="S152" s="68" t="str">
        <f t="shared" si="1098"/>
        <v>S.S.3D.TS.Ap.118</v>
      </c>
      <c r="T152" s="64" t="str">
        <f>VLOOKUP("*"&amp;T$5&amp;".Ap."&amp;T151,Check[],1,FALSE)</f>
        <v>S.S.3E.TS.Ap.119</v>
      </c>
      <c r="U152" s="64" t="str">
        <f t="shared" ref="U152" si="1099">T152</f>
        <v>S.S.3E.TS.Ap.119</v>
      </c>
      <c r="V152" s="64" t="str">
        <f>VLOOKUP("*"&amp;V$5&amp;".Ap."&amp;V151,Check[],1,FALSE)</f>
        <v>S.S.4A.TS.Ap.120</v>
      </c>
      <c r="W152" s="64" t="str">
        <f t="shared" ref="W152" si="1100">V152</f>
        <v>S.S.4A.TS.Ap.120</v>
      </c>
      <c r="X152" s="64" t="str">
        <f>VLOOKUP("*"&amp;X$5&amp;".Ap."&amp;X151,Check[],1,FALSE)</f>
        <v>V.GMS.S.2G.TS.Ap.121</v>
      </c>
      <c r="Y152" s="64" t="str">
        <f t="shared" ref="Y152" si="1101">X152</f>
        <v>V.GMS.S.2G.TS.Ap.121</v>
      </c>
      <c r="Z152" s="64" t="str">
        <f>VLOOKUP("*"&amp;Z$5&amp;".Ap."&amp;Z151,Check[],1,FALSE)</f>
        <v>O.S.4B.TS.Ap.122</v>
      </c>
      <c r="AA152" s="65" t="str">
        <f t="shared" si="907"/>
        <v>O.S.4B.TS.Ap.122</v>
      </c>
      <c r="AB152" s="50"/>
      <c r="AC152" s="50"/>
      <c r="AD152" s="50"/>
      <c r="AE152" s="50"/>
      <c r="AF152" s="50"/>
      <c r="AG152" s="50"/>
      <c r="AH152" s="50"/>
      <c r="AI152" s="50"/>
      <c r="AJ152" s="50"/>
      <c r="AK152" s="50"/>
      <c r="AL152" s="50"/>
      <c r="AM152" s="50"/>
      <c r="AN152" s="61"/>
      <c r="AO152" s="66" t="str">
        <f>VLOOKUP("*"&amp;AO$5&amp;".Ap."&amp;AO151,Check[],1,FALSE)</f>
        <v>S.S.4B.TN.Ap.114</v>
      </c>
      <c r="AP152" s="72" t="str">
        <f>VLOOKUP("*"&amp;AP$5&amp;".Ap."&amp;AP151,Check[],1,FALSE)</f>
        <v>S.S.2G.TN.Ap.115</v>
      </c>
      <c r="AQ152" s="68" t="str">
        <f t="shared" ref="AQ152" si="1102">AP152</f>
        <v>S.S.2G.TN.Ap.115</v>
      </c>
      <c r="AR152" s="64" t="str">
        <f>VLOOKUP("*"&amp;AR$5&amp;".Ap."&amp;AR151,Check[],1,FALSE)</f>
        <v>S.S.4A.TN.Ap.116</v>
      </c>
      <c r="AS152" s="72" t="str">
        <f>VLOOKUP("*"&amp;AS$5&amp;".Ap."&amp;AS151,Check[],1,FALSE)</f>
        <v>S.S.3E.TN.Ap.117</v>
      </c>
      <c r="AT152" s="68" t="str">
        <f t="shared" ref="AT152" si="1103">AS152</f>
        <v>S.S.3E.TN.Ap.117</v>
      </c>
      <c r="AU152" s="72" t="str">
        <f>VLOOKUP("*"&amp;AU$5&amp;".Ap."&amp;AU151,Check[],1,FALSE)</f>
        <v>S.S.3D.TN.Ap.118</v>
      </c>
      <c r="AV152" s="67" t="str">
        <f t="shared" ref="AV152:AW152" si="1104">AU152</f>
        <v>S.S.3D.TN.Ap.118</v>
      </c>
      <c r="AW152" s="68" t="str">
        <f t="shared" si="1104"/>
        <v>S.S.3D.TN.Ap.118</v>
      </c>
      <c r="AX152" s="64" t="str">
        <f>VLOOKUP("*"&amp;AX$5&amp;".Ap."&amp;AX151,Check[],1,FALSE)</f>
        <v>S.S.3A.TN.Ap.111</v>
      </c>
      <c r="AY152" s="72" t="str">
        <f>VLOOKUP("*"&amp;AY$5&amp;".Ap."&amp;AY151,Check[],1,FALSE)</f>
        <v>S.S.3C.TN.Ap.112</v>
      </c>
      <c r="AZ152" s="67" t="str">
        <f t="shared" ref="AZ152:BA152" si="1105">AY152</f>
        <v>S.S.3C.TN.Ap.112</v>
      </c>
      <c r="BA152" s="68" t="str">
        <f t="shared" si="1105"/>
        <v>S.S.3C.TN.Ap.112</v>
      </c>
      <c r="BB152" s="72" t="str">
        <f>VLOOKUP("*"&amp;BB$5&amp;".Ap."&amp;BB151,Check[],1,FALSE)</f>
        <v>S.S.3B.TN.Ap.113</v>
      </c>
      <c r="BC152" s="73" t="str">
        <f t="shared" ref="BC152" si="1106">BB152</f>
        <v>S.S.3B.TN.Ap.113</v>
      </c>
      <c r="BD152" s="62"/>
      <c r="BE152" s="55"/>
      <c r="BF152" s="55"/>
      <c r="BG152" s="62"/>
      <c r="BH152" s="1495"/>
      <c r="BI152" s="1495"/>
      <c r="BJ152" s="1495"/>
      <c r="BK152" s="57"/>
      <c r="BL152" s="361" t="s">
        <v>89</v>
      </c>
      <c r="BM152" s="357">
        <f t="shared" ref="BM152" si="1107">BM156+1</f>
        <v>14</v>
      </c>
      <c r="BN152" s="1779"/>
      <c r="BP152" s="53" t="s">
        <v>89</v>
      </c>
    </row>
    <row r="153" spans="1:68" s="8" customFormat="1" ht="12" customHeight="1" x14ac:dyDescent="0.3">
      <c r="A153" s="1766"/>
      <c r="B153" s="330"/>
      <c r="C153" s="279" t="s">
        <v>65</v>
      </c>
      <c r="D153" s="25"/>
      <c r="E153" s="1495"/>
      <c r="F153" s="1495"/>
      <c r="G153" s="1495"/>
      <c r="H153" s="21"/>
      <c r="I153" s="21"/>
      <c r="J153" s="21"/>
      <c r="K153" s="21"/>
      <c r="L153" s="230">
        <f>VLOOKUP(L152,Check[],5,FALSE)</f>
        <v>115</v>
      </c>
      <c r="M153" s="237"/>
      <c r="N153" s="237">
        <f>VLOOKUP(N152,Check[],5,FALSE)</f>
        <v>116</v>
      </c>
      <c r="O153" s="237"/>
      <c r="P153" s="248">
        <f>VLOOKUP(P152,Check[],5,FALSE)</f>
        <v>117</v>
      </c>
      <c r="Q153" s="237">
        <f>VLOOKUP(Q152,Check[],5,FALSE)</f>
        <v>118</v>
      </c>
      <c r="R153" s="237"/>
      <c r="S153" s="232"/>
      <c r="T153" s="237">
        <f>VLOOKUP(T152,Check[],5,FALSE)</f>
        <v>119</v>
      </c>
      <c r="U153" s="237"/>
      <c r="V153" s="237">
        <f>VLOOKUP(V152,Check[],5,FALSE)</f>
        <v>120</v>
      </c>
      <c r="W153" s="237"/>
      <c r="X153" s="237">
        <f>VLOOKUP(X152,Check[],5,FALSE)</f>
        <v>121</v>
      </c>
      <c r="Y153" s="237"/>
      <c r="Z153" s="237">
        <f>VLOOKUP(Z152,Check[],5,FALSE)</f>
        <v>122</v>
      </c>
      <c r="AA153" s="233"/>
      <c r="AB153" s="19"/>
      <c r="AC153" s="19"/>
      <c r="AD153" s="19"/>
      <c r="AE153" s="19"/>
      <c r="AF153" s="19"/>
      <c r="AG153" s="19"/>
      <c r="AH153" s="19"/>
      <c r="AI153" s="19"/>
      <c r="AJ153" s="19"/>
      <c r="AK153" s="19"/>
      <c r="AL153" s="19"/>
      <c r="AM153" s="19"/>
      <c r="AN153" s="247"/>
      <c r="AO153" s="257">
        <f>VLOOKUP(AO152,Check[],5,FALSE)</f>
        <v>114</v>
      </c>
      <c r="AP153" s="243">
        <f>VLOOKUP(AP152,Check[],5,FALSE)</f>
        <v>115</v>
      </c>
      <c r="AQ153" s="240"/>
      <c r="AR153" s="248">
        <f>VLOOKUP(AR152,Check[],5,FALSE)</f>
        <v>116</v>
      </c>
      <c r="AS153" s="243">
        <f>VLOOKUP(AS152,Check[],5,FALSE)</f>
        <v>117</v>
      </c>
      <c r="AT153" s="240"/>
      <c r="AU153" s="243">
        <f>VLOOKUP(AU152,Check[],5,FALSE)</f>
        <v>118</v>
      </c>
      <c r="AV153" s="244"/>
      <c r="AW153" s="242"/>
      <c r="AX153" s="248">
        <f>VLOOKUP(AX152,Check[],5,FALSE)</f>
        <v>111</v>
      </c>
      <c r="AY153" s="243">
        <f>VLOOKUP(AY152,Check[],5,FALSE)</f>
        <v>112</v>
      </c>
      <c r="AZ153" s="244"/>
      <c r="BA153" s="242"/>
      <c r="BB153" s="243">
        <f>VLOOKUP(BB152,Check[],5,FALSE)</f>
        <v>113</v>
      </c>
      <c r="BC153" s="249"/>
      <c r="BD153" s="37"/>
      <c r="BE153" s="21"/>
      <c r="BF153" s="21"/>
      <c r="BG153" s="37"/>
      <c r="BH153" s="1495"/>
      <c r="BI153" s="1495"/>
      <c r="BJ153" s="1495"/>
      <c r="BK153" s="31"/>
      <c r="BL153" s="362" t="s">
        <v>65</v>
      </c>
      <c r="BM153" s="358"/>
      <c r="BN153" s="1779"/>
      <c r="BP153" s="236" t="s">
        <v>1078</v>
      </c>
    </row>
    <row r="154" spans="1:68" s="196" customFormat="1" ht="15" customHeight="1" thickBot="1" x14ac:dyDescent="0.4">
      <c r="A154" s="1767"/>
      <c r="B154" s="187">
        <f t="shared" ref="B154" si="1108">B158+3.48</f>
        <v>55.239999999999981</v>
      </c>
      <c r="C154" s="280" t="s">
        <v>1</v>
      </c>
      <c r="D154" s="204"/>
      <c r="E154" s="1496"/>
      <c r="F154" s="1496"/>
      <c r="G154" s="1496"/>
      <c r="H154" s="203"/>
      <c r="I154" s="203"/>
      <c r="J154" s="203"/>
      <c r="K154" s="203"/>
      <c r="L154" s="188">
        <f>VLOOKUP(L152,Check[],6,FALSE)</f>
        <v>1401</v>
      </c>
      <c r="M154" s="199"/>
      <c r="N154" s="199">
        <f>VLOOKUP(N152,Check[],6,FALSE)</f>
        <v>1402</v>
      </c>
      <c r="O154" s="199"/>
      <c r="P154" s="193">
        <f>VLOOKUP(P152,Check[],6,FALSE)</f>
        <v>1403</v>
      </c>
      <c r="Q154" s="199">
        <f>VLOOKUP(Q152,Check[],6,FALSE)</f>
        <v>1404</v>
      </c>
      <c r="R154" s="199"/>
      <c r="S154" s="190"/>
      <c r="T154" s="199">
        <f>VLOOKUP(T152,Check[],6,FALSE)</f>
        <v>1405</v>
      </c>
      <c r="U154" s="199"/>
      <c r="V154" s="199">
        <f>VLOOKUP(V152,Check[],6,FALSE)</f>
        <v>1406</v>
      </c>
      <c r="W154" s="199"/>
      <c r="X154" s="199">
        <f>VLOOKUP(X152,Check[],6,FALSE)</f>
        <v>1407</v>
      </c>
      <c r="Y154" s="199"/>
      <c r="Z154" s="199">
        <f>VLOOKUP(Z152,Check[],6,FALSE)</f>
        <v>1408</v>
      </c>
      <c r="AA154" s="191"/>
      <c r="AB154" s="192"/>
      <c r="AC154" s="192"/>
      <c r="AD154" s="192"/>
      <c r="AE154" s="192"/>
      <c r="AF154" s="192"/>
      <c r="AG154" s="192"/>
      <c r="AH154" s="192"/>
      <c r="AI154" s="192"/>
      <c r="AJ154" s="192"/>
      <c r="AK154" s="192"/>
      <c r="AL154" s="192"/>
      <c r="AM154" s="192"/>
      <c r="AN154" s="215"/>
      <c r="AO154" s="220">
        <f>VLOOKUP(AO152,Check[],6,FALSE)</f>
        <v>1402</v>
      </c>
      <c r="AP154" s="211">
        <f>VLOOKUP(AP152,Check[],6,FALSE)</f>
        <v>1403</v>
      </c>
      <c r="AQ154" s="202"/>
      <c r="AR154" s="193">
        <f>VLOOKUP(AR152,Check[],6,FALSE)</f>
        <v>1404</v>
      </c>
      <c r="AS154" s="211">
        <f>VLOOKUP(AS152,Check[],6,FALSE)</f>
        <v>1405</v>
      </c>
      <c r="AT154" s="202"/>
      <c r="AU154" s="211">
        <f>VLOOKUP(AU152,Check[],6,FALSE)</f>
        <v>1406</v>
      </c>
      <c r="AV154" s="212"/>
      <c r="AW154" s="207"/>
      <c r="AX154" s="193">
        <f>VLOOKUP(AX152,Check[],6,FALSE)</f>
        <v>1407</v>
      </c>
      <c r="AY154" s="211">
        <f>VLOOKUP(AY152,Check[],6,FALSE)</f>
        <v>1408</v>
      </c>
      <c r="AZ154" s="212"/>
      <c r="BA154" s="207"/>
      <c r="BB154" s="211">
        <f>VLOOKUP(BB152,Check[],6,FALSE)</f>
        <v>1401</v>
      </c>
      <c r="BC154" s="216"/>
      <c r="BD154" s="218"/>
      <c r="BE154" s="203"/>
      <c r="BF154" s="203"/>
      <c r="BG154" s="218"/>
      <c r="BH154" s="1496"/>
      <c r="BI154" s="1496"/>
      <c r="BJ154" s="1496"/>
      <c r="BK154" s="205"/>
      <c r="BL154" s="363" t="s">
        <v>1</v>
      </c>
      <c r="BM154" s="359">
        <f t="shared" ref="BM154" si="1109">BM158+3.48</f>
        <v>55.239999999999981</v>
      </c>
      <c r="BN154" s="1780"/>
      <c r="BP154" s="197" t="s">
        <v>1</v>
      </c>
    </row>
    <row r="155" spans="1:68" s="110" customFormat="1" ht="21.95" customHeight="1" x14ac:dyDescent="0.45">
      <c r="A155" s="1766"/>
      <c r="B155" s="326" t="str">
        <f t="shared" ref="B155" si="1110">_xlfn.CONCAT("קומה ",B156)</f>
        <v>קומה 13</v>
      </c>
      <c r="C155" s="278" t="s">
        <v>0</v>
      </c>
      <c r="D155" s="117"/>
      <c r="E155" s="1491" t="s">
        <v>1076</v>
      </c>
      <c r="F155" s="1491" t="s">
        <v>1076</v>
      </c>
      <c r="G155" s="1491" t="s">
        <v>1076</v>
      </c>
      <c r="H155" s="116"/>
      <c r="I155" s="116"/>
      <c r="J155" s="116"/>
      <c r="K155" s="116"/>
      <c r="L155" s="104">
        <f t="shared" ref="L155" si="1111">L159+8</f>
        <v>107</v>
      </c>
      <c r="M155" s="112"/>
      <c r="N155" s="112">
        <f t="shared" ref="N155" si="1112">N159+8</f>
        <v>108</v>
      </c>
      <c r="O155" s="112"/>
      <c r="P155" s="159">
        <f t="shared" ref="P155:Q155" si="1113">P159+8</f>
        <v>109</v>
      </c>
      <c r="Q155" s="112">
        <f t="shared" si="1113"/>
        <v>110</v>
      </c>
      <c r="R155" s="112"/>
      <c r="S155" s="106"/>
      <c r="T155" s="112">
        <f t="shared" ref="T155" si="1114">T159+8</f>
        <v>111</v>
      </c>
      <c r="U155" s="112"/>
      <c r="V155" s="112">
        <f t="shared" ref="V155" si="1115">V159+8</f>
        <v>112</v>
      </c>
      <c r="W155" s="112"/>
      <c r="X155" s="112">
        <f t="shared" ref="X155" si="1116">X159+8</f>
        <v>113</v>
      </c>
      <c r="Y155" s="112"/>
      <c r="Z155" s="112">
        <f t="shared" ref="Z155" si="1117">Z159+8</f>
        <v>114</v>
      </c>
      <c r="AA155" s="121"/>
      <c r="AB155" s="107"/>
      <c r="AC155" s="107"/>
      <c r="AD155" s="107"/>
      <c r="AE155" s="107"/>
      <c r="AF155" s="107"/>
      <c r="AG155" s="107"/>
      <c r="AH155" s="107"/>
      <c r="AI155" s="107"/>
      <c r="AJ155" s="107"/>
      <c r="AK155" s="107"/>
      <c r="AL155" s="107"/>
      <c r="AM155" s="107"/>
      <c r="AN155" s="137"/>
      <c r="AO155" s="176">
        <f t="shared" ref="AO155:AP155" si="1118">AO159+8</f>
        <v>106</v>
      </c>
      <c r="AP155" s="123">
        <f t="shared" si="1118"/>
        <v>107</v>
      </c>
      <c r="AQ155" s="115"/>
      <c r="AR155" s="159">
        <f t="shared" ref="AR155:AS155" si="1119">AR159+8</f>
        <v>108</v>
      </c>
      <c r="AS155" s="123">
        <f t="shared" si="1119"/>
        <v>109</v>
      </c>
      <c r="AT155" s="115"/>
      <c r="AU155" s="123">
        <f t="shared" ref="AU155" si="1120">AU159+8</f>
        <v>110</v>
      </c>
      <c r="AV155" s="105"/>
      <c r="AW155" s="115"/>
      <c r="AX155" s="159">
        <f t="shared" ref="AX155:AY155" si="1121">AX159+8</f>
        <v>103</v>
      </c>
      <c r="AY155" s="123">
        <f t="shared" si="1121"/>
        <v>104</v>
      </c>
      <c r="AZ155" s="105"/>
      <c r="BA155" s="115"/>
      <c r="BB155" s="123">
        <f t="shared" ref="BB155" si="1122">BB159+8</f>
        <v>105</v>
      </c>
      <c r="BC155" s="160"/>
      <c r="BD155" s="163"/>
      <c r="BE155" s="116"/>
      <c r="BF155" s="116"/>
      <c r="BG155" s="163"/>
      <c r="BH155" s="1491" t="s">
        <v>1076</v>
      </c>
      <c r="BI155" s="1491" t="s">
        <v>1076</v>
      </c>
      <c r="BJ155" s="1491" t="s">
        <v>1076</v>
      </c>
      <c r="BK155" s="119"/>
      <c r="BL155" s="361" t="s">
        <v>0</v>
      </c>
      <c r="BM155" s="356" t="str">
        <f t="shared" ref="BM155" si="1123">_xlfn.CONCAT("קומה ",BM156)</f>
        <v>קומה 13</v>
      </c>
      <c r="BN155" s="1779"/>
      <c r="BP155" s="111" t="s">
        <v>0</v>
      </c>
    </row>
    <row r="156" spans="1:68" s="52" customFormat="1" ht="9.9499999999999993" hidden="1" customHeight="1" x14ac:dyDescent="0.2">
      <c r="A156" s="1766"/>
      <c r="B156" s="329">
        <f t="shared" ref="B156" si="1124">B160+1</f>
        <v>13</v>
      </c>
      <c r="C156" s="278" t="s">
        <v>89</v>
      </c>
      <c r="D156" s="56"/>
      <c r="E156" s="1492"/>
      <c r="F156" s="1492"/>
      <c r="G156" s="1492"/>
      <c r="H156" s="55"/>
      <c r="I156" s="55"/>
      <c r="J156" s="55"/>
      <c r="K156" s="55"/>
      <c r="L156" s="66" t="str">
        <f>VLOOKUP("*"&amp;L$5&amp;".Ap."&amp;L155,Check[],1,FALSE)</f>
        <v>V.GMS.S.3B.TS.Ap.107</v>
      </c>
      <c r="M156" s="64" t="str">
        <f t="shared" ref="M156" si="1125">L156</f>
        <v>V.GMS.S.3B.TS.Ap.107</v>
      </c>
      <c r="N156" s="64" t="str">
        <f>VLOOKUP("*"&amp;N$5&amp;".Ap."&amp;N155,Check[],1,FALSE)</f>
        <v>S.S.3C.TS.Ap.108</v>
      </c>
      <c r="O156" s="64" t="str">
        <f t="shared" ref="O156" si="1126">N156</f>
        <v>S.S.3C.TS.Ap.108</v>
      </c>
      <c r="P156" s="64" t="str">
        <f>VLOOKUP("*"&amp;P$5&amp;".Ap."&amp;P155,Check[],1,FALSE)</f>
        <v>O.S.3A.TS.Ap.109</v>
      </c>
      <c r="Q156" s="64" t="str">
        <f>VLOOKUP("*"&amp;Q$5&amp;".Ap."&amp;Q155,Check[],1,FALSE)</f>
        <v>S.S.3D.TS.Ap.110</v>
      </c>
      <c r="R156" s="64" t="str">
        <f t="shared" ref="R156:S156" si="1127">Q156</f>
        <v>S.S.3D.TS.Ap.110</v>
      </c>
      <c r="S156" s="68" t="str">
        <f t="shared" si="1127"/>
        <v>S.S.3D.TS.Ap.110</v>
      </c>
      <c r="T156" s="64" t="str">
        <f>VLOOKUP("*"&amp;T$5&amp;".Ap."&amp;T155,Check[],1,FALSE)</f>
        <v>S.S.3E.TS.Ap.111</v>
      </c>
      <c r="U156" s="64" t="str">
        <f t="shared" ref="U156" si="1128">T156</f>
        <v>S.S.3E.TS.Ap.111</v>
      </c>
      <c r="V156" s="64" t="str">
        <f>VLOOKUP("*"&amp;V$5&amp;".Ap."&amp;V155,Check[],1,FALSE)</f>
        <v>S.S.4A.TS.Ap.112</v>
      </c>
      <c r="W156" s="64" t="str">
        <f t="shared" ref="W156" si="1129">V156</f>
        <v>S.S.4A.TS.Ap.112</v>
      </c>
      <c r="X156" s="64" t="str">
        <f>VLOOKUP("*"&amp;X$5&amp;".Ap."&amp;X155,Check[],1,FALSE)</f>
        <v>S.S.2G.TS.Ap.113</v>
      </c>
      <c r="Y156" s="64" t="str">
        <f t="shared" ref="Y156" si="1130">X156</f>
        <v>S.S.2G.TS.Ap.113</v>
      </c>
      <c r="Z156" s="64" t="str">
        <f>VLOOKUP("*"&amp;Z$5&amp;".Ap."&amp;Z155,Check[],1,FALSE)</f>
        <v>O.S.4B.TS.Ap.114</v>
      </c>
      <c r="AA156" s="65" t="str">
        <f t="shared" si="907"/>
        <v>O.S.4B.TS.Ap.114</v>
      </c>
      <c r="AB156" s="50"/>
      <c r="AC156" s="50"/>
      <c r="AD156" s="50"/>
      <c r="AE156" s="50"/>
      <c r="AF156" s="50"/>
      <c r="AG156" s="50"/>
      <c r="AH156" s="50"/>
      <c r="AI156" s="50"/>
      <c r="AJ156" s="50"/>
      <c r="AK156" s="50"/>
      <c r="AL156" s="50"/>
      <c r="AM156" s="50"/>
      <c r="AN156" s="61"/>
      <c r="AO156" s="66" t="str">
        <f>VLOOKUP("*"&amp;AO$5&amp;".Ap."&amp;AO155,Check[],1,FALSE)</f>
        <v>S.S.4B.TN.Ap.106</v>
      </c>
      <c r="AP156" s="72" t="str">
        <f>VLOOKUP("*"&amp;AP$5&amp;".Ap."&amp;AP155,Check[],1,FALSE)</f>
        <v>S.S.2G.TN.Ap.107</v>
      </c>
      <c r="AQ156" s="68" t="str">
        <f t="shared" ref="AQ156" si="1131">AP156</f>
        <v>S.S.2G.TN.Ap.107</v>
      </c>
      <c r="AR156" s="64" t="str">
        <f>VLOOKUP("*"&amp;AR$5&amp;".Ap."&amp;AR155,Check[],1,FALSE)</f>
        <v>S.S.4A.TN.Ap.108</v>
      </c>
      <c r="AS156" s="72" t="str">
        <f>VLOOKUP("*"&amp;AS$5&amp;".Ap."&amp;AS155,Check[],1,FALSE)</f>
        <v>S.S.3E.TN.Ap.109</v>
      </c>
      <c r="AT156" s="68" t="str">
        <f t="shared" ref="AT156" si="1132">AS156</f>
        <v>S.S.3E.TN.Ap.109</v>
      </c>
      <c r="AU156" s="72" t="str">
        <f>VLOOKUP("*"&amp;AU$5&amp;".Ap."&amp;AU155,Check[],1,FALSE)</f>
        <v>S.S.3D.TN.Ap.110</v>
      </c>
      <c r="AV156" s="67" t="str">
        <f t="shared" ref="AV156:AW156" si="1133">AU156</f>
        <v>S.S.3D.TN.Ap.110</v>
      </c>
      <c r="AW156" s="68" t="str">
        <f t="shared" si="1133"/>
        <v>S.S.3D.TN.Ap.110</v>
      </c>
      <c r="AX156" s="64" t="str">
        <f>VLOOKUP("*"&amp;AX$5&amp;".Ap."&amp;AX155,Check[],1,FALSE)</f>
        <v>S.S.3A.TN.Ap.103</v>
      </c>
      <c r="AY156" s="72" t="str">
        <f>VLOOKUP("*"&amp;AY$5&amp;".Ap."&amp;AY155,Check[],1,FALSE)</f>
        <v>S.S.3C.TN.Ap.104</v>
      </c>
      <c r="AZ156" s="67" t="str">
        <f t="shared" ref="AZ156:BA156" si="1134">AY156</f>
        <v>S.S.3C.TN.Ap.104</v>
      </c>
      <c r="BA156" s="68" t="str">
        <f t="shared" si="1134"/>
        <v>S.S.3C.TN.Ap.104</v>
      </c>
      <c r="BB156" s="72" t="str">
        <f>VLOOKUP("*"&amp;BB$5&amp;".Ap."&amp;BB155,Check[],1,FALSE)</f>
        <v>S.S.3B.TN.Ap.105</v>
      </c>
      <c r="BC156" s="73" t="str">
        <f t="shared" ref="BC156" si="1135">BB156</f>
        <v>S.S.3B.TN.Ap.105</v>
      </c>
      <c r="BD156" s="62"/>
      <c r="BE156" s="55"/>
      <c r="BF156" s="55"/>
      <c r="BG156" s="62"/>
      <c r="BH156" s="1492"/>
      <c r="BI156" s="1492"/>
      <c r="BJ156" s="1492"/>
      <c r="BK156" s="57"/>
      <c r="BL156" s="361" t="s">
        <v>89</v>
      </c>
      <c r="BM156" s="357">
        <f t="shared" ref="BM156" si="1136">BM160+1</f>
        <v>13</v>
      </c>
      <c r="BN156" s="1779"/>
      <c r="BP156" s="53" t="s">
        <v>89</v>
      </c>
    </row>
    <row r="157" spans="1:68" s="8" customFormat="1" ht="12" customHeight="1" x14ac:dyDescent="0.3">
      <c r="A157" s="1766"/>
      <c r="B157" s="330"/>
      <c r="C157" s="279" t="s">
        <v>65</v>
      </c>
      <c r="D157" s="25"/>
      <c r="E157" s="1492"/>
      <c r="F157" s="1492"/>
      <c r="G157" s="1492"/>
      <c r="H157" s="21"/>
      <c r="I157" s="21"/>
      <c r="J157" s="21"/>
      <c r="K157" s="21"/>
      <c r="L157" s="230">
        <f>VLOOKUP(L156,Check[],5,FALSE)</f>
        <v>107</v>
      </c>
      <c r="M157" s="237"/>
      <c r="N157" s="237">
        <f>VLOOKUP(N156,Check[],5,FALSE)</f>
        <v>108</v>
      </c>
      <c r="O157" s="237"/>
      <c r="P157" s="248">
        <f>VLOOKUP(P156,Check[],5,FALSE)</f>
        <v>109</v>
      </c>
      <c r="Q157" s="237">
        <f>VLOOKUP(Q156,Check[],5,FALSE)</f>
        <v>110</v>
      </c>
      <c r="R157" s="237"/>
      <c r="S157" s="232"/>
      <c r="T157" s="237">
        <f>VLOOKUP(T156,Check[],5,FALSE)</f>
        <v>111</v>
      </c>
      <c r="U157" s="237"/>
      <c r="V157" s="237">
        <f>VLOOKUP(V156,Check[],5,FALSE)</f>
        <v>112</v>
      </c>
      <c r="W157" s="237"/>
      <c r="X157" s="237">
        <f>VLOOKUP(X156,Check[],5,FALSE)</f>
        <v>113</v>
      </c>
      <c r="Y157" s="237"/>
      <c r="Z157" s="237">
        <f>VLOOKUP(Z156,Check[],5,FALSE)</f>
        <v>114</v>
      </c>
      <c r="AA157" s="233"/>
      <c r="AB157" s="19"/>
      <c r="AC157" s="19"/>
      <c r="AD157" s="19"/>
      <c r="AE157" s="19"/>
      <c r="AF157" s="19"/>
      <c r="AG157" s="19"/>
      <c r="AH157" s="19"/>
      <c r="AI157" s="19"/>
      <c r="AJ157" s="19"/>
      <c r="AK157" s="19"/>
      <c r="AL157" s="19"/>
      <c r="AM157" s="19"/>
      <c r="AN157" s="247"/>
      <c r="AO157" s="257">
        <f>VLOOKUP(AO156,Check[],5,FALSE)</f>
        <v>106</v>
      </c>
      <c r="AP157" s="243">
        <f>VLOOKUP(AP156,Check[],5,FALSE)</f>
        <v>107</v>
      </c>
      <c r="AQ157" s="240"/>
      <c r="AR157" s="248">
        <f>VLOOKUP(AR156,Check[],5,FALSE)</f>
        <v>108</v>
      </c>
      <c r="AS157" s="243">
        <f>VLOOKUP(AS156,Check[],5,FALSE)</f>
        <v>109</v>
      </c>
      <c r="AT157" s="240"/>
      <c r="AU157" s="243">
        <f>VLOOKUP(AU156,Check[],5,FALSE)</f>
        <v>110</v>
      </c>
      <c r="AV157" s="244"/>
      <c r="AW157" s="242"/>
      <c r="AX157" s="248">
        <f>VLOOKUP(AX156,Check[],5,FALSE)</f>
        <v>103</v>
      </c>
      <c r="AY157" s="243">
        <f>VLOOKUP(AY156,Check[],5,FALSE)</f>
        <v>104</v>
      </c>
      <c r="AZ157" s="244"/>
      <c r="BA157" s="242"/>
      <c r="BB157" s="243">
        <f>VLOOKUP(BB156,Check[],5,FALSE)</f>
        <v>105</v>
      </c>
      <c r="BC157" s="249"/>
      <c r="BD157" s="37"/>
      <c r="BE157" s="21"/>
      <c r="BF157" s="21"/>
      <c r="BG157" s="37"/>
      <c r="BH157" s="1492"/>
      <c r="BI157" s="1492"/>
      <c r="BJ157" s="1492"/>
      <c r="BK157" s="31"/>
      <c r="BL157" s="362" t="s">
        <v>65</v>
      </c>
      <c r="BM157" s="358"/>
      <c r="BN157" s="1779"/>
      <c r="BP157" s="236" t="s">
        <v>1078</v>
      </c>
    </row>
    <row r="158" spans="1:68" s="196" customFormat="1" ht="15" customHeight="1" thickBot="1" x14ac:dyDescent="0.4">
      <c r="A158" s="1767"/>
      <c r="B158" s="187">
        <f t="shared" ref="B158" si="1137">B162+3.48</f>
        <v>51.759999999999984</v>
      </c>
      <c r="C158" s="280" t="s">
        <v>1</v>
      </c>
      <c r="D158" s="204"/>
      <c r="E158" s="1493"/>
      <c r="F158" s="1493"/>
      <c r="G158" s="1493"/>
      <c r="H158" s="203"/>
      <c r="I158" s="203"/>
      <c r="J158" s="203"/>
      <c r="K158" s="203"/>
      <c r="L158" s="188">
        <f>VLOOKUP(L156,Check[],6,FALSE)</f>
        <v>1301</v>
      </c>
      <c r="M158" s="199"/>
      <c r="N158" s="199">
        <f>VLOOKUP(N156,Check[],6,FALSE)</f>
        <v>1302</v>
      </c>
      <c r="O158" s="199"/>
      <c r="P158" s="193">
        <f>VLOOKUP(P156,Check[],6,FALSE)</f>
        <v>1303</v>
      </c>
      <c r="Q158" s="199">
        <f>VLOOKUP(Q156,Check[],6,FALSE)</f>
        <v>1304</v>
      </c>
      <c r="R158" s="199"/>
      <c r="S158" s="190"/>
      <c r="T158" s="199">
        <f>VLOOKUP(T156,Check[],6,FALSE)</f>
        <v>1305</v>
      </c>
      <c r="U158" s="199"/>
      <c r="V158" s="199">
        <f>VLOOKUP(V156,Check[],6,FALSE)</f>
        <v>1306</v>
      </c>
      <c r="W158" s="199"/>
      <c r="X158" s="199">
        <f>VLOOKUP(X156,Check[],6,FALSE)</f>
        <v>1307</v>
      </c>
      <c r="Y158" s="199"/>
      <c r="Z158" s="199">
        <f>VLOOKUP(Z156,Check[],6,FALSE)</f>
        <v>1308</v>
      </c>
      <c r="AA158" s="191"/>
      <c r="AB158" s="192"/>
      <c r="AC158" s="192"/>
      <c r="AD158" s="192"/>
      <c r="AE158" s="192"/>
      <c r="AF158" s="192"/>
      <c r="AG158" s="192"/>
      <c r="AH158" s="192"/>
      <c r="AI158" s="192"/>
      <c r="AJ158" s="192"/>
      <c r="AK158" s="192"/>
      <c r="AL158" s="192"/>
      <c r="AM158" s="192"/>
      <c r="AN158" s="215"/>
      <c r="AO158" s="220">
        <f>VLOOKUP(AO156,Check[],6,FALSE)</f>
        <v>1302</v>
      </c>
      <c r="AP158" s="211">
        <f>VLOOKUP(AP156,Check[],6,FALSE)</f>
        <v>1303</v>
      </c>
      <c r="AQ158" s="202"/>
      <c r="AR158" s="193">
        <f>VLOOKUP(AR156,Check[],6,FALSE)</f>
        <v>1304</v>
      </c>
      <c r="AS158" s="211">
        <f>VLOOKUP(AS156,Check[],6,FALSE)</f>
        <v>1305</v>
      </c>
      <c r="AT158" s="202"/>
      <c r="AU158" s="211">
        <f>VLOOKUP(AU156,Check[],6,FALSE)</f>
        <v>1306</v>
      </c>
      <c r="AV158" s="212"/>
      <c r="AW158" s="207"/>
      <c r="AX158" s="193">
        <f>VLOOKUP(AX156,Check[],6,FALSE)</f>
        <v>1307</v>
      </c>
      <c r="AY158" s="211">
        <f>VLOOKUP(AY156,Check[],6,FALSE)</f>
        <v>1308</v>
      </c>
      <c r="AZ158" s="212"/>
      <c r="BA158" s="207"/>
      <c r="BB158" s="211">
        <f>VLOOKUP(BB156,Check[],6,FALSE)</f>
        <v>1301</v>
      </c>
      <c r="BC158" s="216"/>
      <c r="BD158" s="218"/>
      <c r="BE158" s="203"/>
      <c r="BF158" s="203"/>
      <c r="BG158" s="218"/>
      <c r="BH158" s="1493"/>
      <c r="BI158" s="1493"/>
      <c r="BJ158" s="1493"/>
      <c r="BK158" s="205"/>
      <c r="BL158" s="363" t="s">
        <v>1</v>
      </c>
      <c r="BM158" s="359">
        <f t="shared" ref="BM158" si="1138">BM162+3.48</f>
        <v>51.759999999999984</v>
      </c>
      <c r="BN158" s="1780"/>
      <c r="BP158" s="197" t="s">
        <v>1</v>
      </c>
    </row>
    <row r="159" spans="1:68" s="110" customFormat="1" ht="21.95" customHeight="1" x14ac:dyDescent="0.45">
      <c r="A159" s="1766"/>
      <c r="B159" s="326" t="str">
        <f t="shared" ref="B159" si="1139">_xlfn.CONCAT("קומה ",B160)</f>
        <v>קומה 12</v>
      </c>
      <c r="C159" s="278" t="s">
        <v>0</v>
      </c>
      <c r="D159" s="117"/>
      <c r="E159" s="1494"/>
      <c r="F159" s="1494"/>
      <c r="G159" s="1494"/>
      <c r="H159" s="116"/>
      <c r="I159" s="116"/>
      <c r="J159" s="116"/>
      <c r="K159" s="116"/>
      <c r="L159" s="104">
        <f>L163+8</f>
        <v>99</v>
      </c>
      <c r="M159" s="112"/>
      <c r="N159" s="112">
        <f>N163+8</f>
        <v>100</v>
      </c>
      <c r="O159" s="112"/>
      <c r="P159" s="159">
        <f>P163+8</f>
        <v>101</v>
      </c>
      <c r="Q159" s="112">
        <f>Q163+8</f>
        <v>102</v>
      </c>
      <c r="R159" s="112"/>
      <c r="S159" s="106"/>
      <c r="T159" s="112">
        <f>T163+8</f>
        <v>103</v>
      </c>
      <c r="U159" s="112"/>
      <c r="V159" s="112">
        <f>V163+8</f>
        <v>104</v>
      </c>
      <c r="W159" s="112"/>
      <c r="X159" s="112">
        <f>X163+8</f>
        <v>105</v>
      </c>
      <c r="Y159" s="112"/>
      <c r="Z159" s="112">
        <f>Z163+8</f>
        <v>106</v>
      </c>
      <c r="AA159" s="121"/>
      <c r="AB159" s="107"/>
      <c r="AC159" s="107"/>
      <c r="AD159" s="107"/>
      <c r="AE159" s="107"/>
      <c r="AF159" s="107"/>
      <c r="AG159" s="107"/>
      <c r="AH159" s="107"/>
      <c r="AI159" s="107"/>
      <c r="AJ159" s="107"/>
      <c r="AK159" s="107"/>
      <c r="AL159" s="107"/>
      <c r="AM159" s="107"/>
      <c r="AN159" s="137"/>
      <c r="AO159" s="176">
        <f t="shared" ref="AO159:AP159" si="1140">AO163+8</f>
        <v>98</v>
      </c>
      <c r="AP159" s="123">
        <f t="shared" si="1140"/>
        <v>99</v>
      </c>
      <c r="AQ159" s="115"/>
      <c r="AR159" s="159">
        <f t="shared" ref="AR159:AS159" si="1141">AR163+8</f>
        <v>100</v>
      </c>
      <c r="AS159" s="123">
        <f t="shared" si="1141"/>
        <v>101</v>
      </c>
      <c r="AT159" s="115"/>
      <c r="AU159" s="123">
        <f t="shared" ref="AU159" si="1142">AU163+8</f>
        <v>102</v>
      </c>
      <c r="AV159" s="105"/>
      <c r="AW159" s="115"/>
      <c r="AX159" s="159">
        <f t="shared" ref="AX159:AY159" si="1143">AX163+8</f>
        <v>95</v>
      </c>
      <c r="AY159" s="123">
        <f t="shared" si="1143"/>
        <v>96</v>
      </c>
      <c r="AZ159" s="105"/>
      <c r="BA159" s="115"/>
      <c r="BB159" s="123">
        <f t="shared" ref="BB159" si="1144">BB163+8</f>
        <v>97</v>
      </c>
      <c r="BC159" s="160"/>
      <c r="BD159" s="163"/>
      <c r="BE159" s="116"/>
      <c r="BF159" s="116"/>
      <c r="BG159" s="163"/>
      <c r="BH159" s="1494"/>
      <c r="BI159" s="1494"/>
      <c r="BJ159" s="1494"/>
      <c r="BK159" s="119"/>
      <c r="BL159" s="361" t="s">
        <v>0</v>
      </c>
      <c r="BM159" s="356" t="str">
        <f t="shared" ref="BM159" si="1145">_xlfn.CONCAT("קומה ",BM160)</f>
        <v>קומה 12</v>
      </c>
      <c r="BN159" s="1779"/>
      <c r="BP159" s="111" t="s">
        <v>0</v>
      </c>
    </row>
    <row r="160" spans="1:68" s="52" customFormat="1" ht="9.9499999999999993" hidden="1" customHeight="1" x14ac:dyDescent="0.2">
      <c r="A160" s="1766"/>
      <c r="B160" s="329">
        <f t="shared" ref="B160" si="1146">B164+1</f>
        <v>12</v>
      </c>
      <c r="C160" s="278" t="s">
        <v>89</v>
      </c>
      <c r="D160" s="56"/>
      <c r="E160" s="1495"/>
      <c r="F160" s="1495"/>
      <c r="G160" s="1495"/>
      <c r="H160" s="55"/>
      <c r="I160" s="55"/>
      <c r="J160" s="55"/>
      <c r="K160" s="55"/>
      <c r="L160" s="66" t="str">
        <f>VLOOKUP("*"&amp;L$5&amp;".Ap."&amp;L159,Check[],1,FALSE)</f>
        <v>V.GMS.S.3B.TS.Ap.99</v>
      </c>
      <c r="M160" s="64" t="str">
        <f t="shared" ref="M160" si="1147">L160</f>
        <v>V.GMS.S.3B.TS.Ap.99</v>
      </c>
      <c r="N160" s="64" t="str">
        <f>VLOOKUP("*"&amp;N$5&amp;".Ap."&amp;N159,Check[],1,FALSE)</f>
        <v>S.S.3C.TS.Ap.100</v>
      </c>
      <c r="O160" s="64" t="str">
        <f t="shared" ref="O160" si="1148">N160</f>
        <v>S.S.3C.TS.Ap.100</v>
      </c>
      <c r="P160" s="64" t="str">
        <f>VLOOKUP("*"&amp;P$5&amp;".Ap."&amp;P159,Check[],1,FALSE)</f>
        <v>O.S.3A.TS.Ap.101</v>
      </c>
      <c r="Q160" s="64" t="str">
        <f>VLOOKUP("*"&amp;Q$5&amp;".Ap."&amp;Q159,Check[],1,FALSE)</f>
        <v>S.S.3D.TS.Ap.102</v>
      </c>
      <c r="R160" s="64" t="str">
        <f t="shared" ref="R160" si="1149">Q160</f>
        <v>S.S.3D.TS.Ap.102</v>
      </c>
      <c r="S160" s="68" t="str">
        <f t="shared" ref="S160" si="1150">R160</f>
        <v>S.S.3D.TS.Ap.102</v>
      </c>
      <c r="T160" s="64" t="str">
        <f>VLOOKUP("*"&amp;T$5&amp;".Ap."&amp;T159,Check[],1,FALSE)</f>
        <v>S.S.3E.TS.Ap.103</v>
      </c>
      <c r="U160" s="64" t="str">
        <f t="shared" ref="U160" si="1151">T160</f>
        <v>S.S.3E.TS.Ap.103</v>
      </c>
      <c r="V160" s="64" t="str">
        <f>VLOOKUP("*"&amp;V$5&amp;".Ap."&amp;V159,Check[],1,FALSE)</f>
        <v>V.GMS.S.4A.TS.Ap.104</v>
      </c>
      <c r="W160" s="64" t="str">
        <f t="shared" ref="W160" si="1152">V160</f>
        <v>V.GMS.S.4A.TS.Ap.104</v>
      </c>
      <c r="X160" s="64" t="str">
        <f>VLOOKUP("*"&amp;X$5&amp;".Ap."&amp;X159,Check[],1,FALSE)</f>
        <v>V.GMS.S.2G.TS.Ap.105</v>
      </c>
      <c r="Y160" s="64" t="str">
        <f t="shared" ref="Y160" si="1153">X160</f>
        <v>V.GMS.S.2G.TS.Ap.105</v>
      </c>
      <c r="Z160" s="64" t="str">
        <f>VLOOKUP("*"&amp;Z$5&amp;".Ap."&amp;Z159,Check[],1,FALSE)</f>
        <v>S.S.4B.TS.Ap.106</v>
      </c>
      <c r="AA160" s="65" t="str">
        <f t="shared" si="907"/>
        <v>S.S.4B.TS.Ap.106</v>
      </c>
      <c r="AB160" s="50"/>
      <c r="AC160" s="50"/>
      <c r="AD160" s="50"/>
      <c r="AE160" s="50"/>
      <c r="AF160" s="50"/>
      <c r="AG160" s="50"/>
      <c r="AH160" s="50"/>
      <c r="AI160" s="50"/>
      <c r="AJ160" s="50"/>
      <c r="AK160" s="50"/>
      <c r="AL160" s="50"/>
      <c r="AM160" s="50"/>
      <c r="AN160" s="61"/>
      <c r="AO160" s="66" t="str">
        <f>VLOOKUP("*"&amp;AO$5&amp;".Ap."&amp;AO159,Check[],1,FALSE)</f>
        <v>S.S.4B.TN.Ap.98</v>
      </c>
      <c r="AP160" s="72" t="str">
        <f>VLOOKUP("*"&amp;AP$5&amp;".Ap."&amp;AP159,Check[],1,FALSE)</f>
        <v>S.S.2G.TN.Ap.99</v>
      </c>
      <c r="AQ160" s="68" t="str">
        <f t="shared" ref="AQ160" si="1154">AP160</f>
        <v>S.S.2G.TN.Ap.99</v>
      </c>
      <c r="AR160" s="64" t="str">
        <f>VLOOKUP("*"&amp;AR$5&amp;".Ap."&amp;AR159,Check[],1,FALSE)</f>
        <v>S.S.4A.TN.Ap.100</v>
      </c>
      <c r="AS160" s="72" t="str">
        <f>VLOOKUP("*"&amp;AS$5&amp;".Ap."&amp;AS159,Check[],1,FALSE)</f>
        <v>S.S.3E.TN.Ap.101</v>
      </c>
      <c r="AT160" s="68" t="str">
        <f t="shared" ref="AT160" si="1155">AS160</f>
        <v>S.S.3E.TN.Ap.101</v>
      </c>
      <c r="AU160" s="72" t="str">
        <f>VLOOKUP("*"&amp;AU$5&amp;".Ap."&amp;AU159,Check[],1,FALSE)</f>
        <v>S.S.3D.TN.Ap.102</v>
      </c>
      <c r="AV160" s="67" t="str">
        <f t="shared" ref="AV160:AW160" si="1156">AU160</f>
        <v>S.S.3D.TN.Ap.102</v>
      </c>
      <c r="AW160" s="68" t="str">
        <f t="shared" si="1156"/>
        <v>S.S.3D.TN.Ap.102</v>
      </c>
      <c r="AX160" s="64" t="str">
        <f>VLOOKUP("*"&amp;AX$5&amp;".Ap."&amp;AX159,Check[],1,FALSE)</f>
        <v>S.S.3A.TN.Ap.95</v>
      </c>
      <c r="AY160" s="72" t="str">
        <f>VLOOKUP("*"&amp;AY$5&amp;".Ap."&amp;AY159,Check[],1,FALSE)</f>
        <v>S.S.3C.TN.Ap.96</v>
      </c>
      <c r="AZ160" s="67" t="str">
        <f t="shared" ref="AZ160:BA160" si="1157">AY160</f>
        <v>S.S.3C.TN.Ap.96</v>
      </c>
      <c r="BA160" s="68" t="str">
        <f t="shared" si="1157"/>
        <v>S.S.3C.TN.Ap.96</v>
      </c>
      <c r="BB160" s="72" t="str">
        <f>VLOOKUP("*"&amp;BB$5&amp;".Ap."&amp;BB159,Check[],1,FALSE)</f>
        <v>S.S.3B.TN.Ap.97</v>
      </c>
      <c r="BC160" s="73" t="str">
        <f t="shared" ref="BC160" si="1158">BB160</f>
        <v>S.S.3B.TN.Ap.97</v>
      </c>
      <c r="BD160" s="62"/>
      <c r="BE160" s="55"/>
      <c r="BF160" s="55"/>
      <c r="BG160" s="62"/>
      <c r="BH160" s="1495"/>
      <c r="BI160" s="1495"/>
      <c r="BJ160" s="1495"/>
      <c r="BK160" s="57"/>
      <c r="BL160" s="361" t="s">
        <v>89</v>
      </c>
      <c r="BM160" s="357">
        <f t="shared" ref="BM160" si="1159">BM164+1</f>
        <v>12</v>
      </c>
      <c r="BN160" s="1779"/>
      <c r="BP160" s="53" t="s">
        <v>89</v>
      </c>
    </row>
    <row r="161" spans="1:68" s="8" customFormat="1" ht="12" customHeight="1" x14ac:dyDescent="0.3">
      <c r="A161" s="1766"/>
      <c r="B161" s="330"/>
      <c r="C161" s="279" t="s">
        <v>65</v>
      </c>
      <c r="D161" s="25"/>
      <c r="E161" s="1495"/>
      <c r="F161" s="1495"/>
      <c r="G161" s="1495"/>
      <c r="H161" s="21"/>
      <c r="I161" s="21"/>
      <c r="J161" s="21"/>
      <c r="K161" s="21"/>
      <c r="L161" s="230">
        <f>VLOOKUP(L160,Check[],5,FALSE)</f>
        <v>99</v>
      </c>
      <c r="M161" s="237"/>
      <c r="N161" s="237">
        <f>VLOOKUP(N160,Check[],5,FALSE)</f>
        <v>100</v>
      </c>
      <c r="O161" s="237"/>
      <c r="P161" s="248">
        <f>VLOOKUP(P160,Check[],5,FALSE)</f>
        <v>101</v>
      </c>
      <c r="Q161" s="237">
        <f>VLOOKUP(Q160,Check[],5,FALSE)</f>
        <v>102</v>
      </c>
      <c r="R161" s="237"/>
      <c r="S161" s="232"/>
      <c r="T161" s="237">
        <f>VLOOKUP(T160,Check[],5,FALSE)</f>
        <v>103</v>
      </c>
      <c r="U161" s="237"/>
      <c r="V161" s="237">
        <f>VLOOKUP(V160,Check[],5,FALSE)</f>
        <v>104</v>
      </c>
      <c r="W161" s="237"/>
      <c r="X161" s="237">
        <f>VLOOKUP(X160,Check[],5,FALSE)</f>
        <v>105</v>
      </c>
      <c r="Y161" s="237"/>
      <c r="Z161" s="237">
        <f>VLOOKUP(Z160,Check[],5,FALSE)</f>
        <v>106</v>
      </c>
      <c r="AA161" s="233"/>
      <c r="AB161" s="19"/>
      <c r="AC161" s="19"/>
      <c r="AD161" s="19"/>
      <c r="AE161" s="19"/>
      <c r="AF161" s="19"/>
      <c r="AG161" s="19"/>
      <c r="AH161" s="19"/>
      <c r="AI161" s="19"/>
      <c r="AJ161" s="19"/>
      <c r="AK161" s="19"/>
      <c r="AL161" s="19"/>
      <c r="AM161" s="19"/>
      <c r="AN161" s="247"/>
      <c r="AO161" s="257">
        <f>VLOOKUP(AO160,Check[],5,FALSE)</f>
        <v>98</v>
      </c>
      <c r="AP161" s="243">
        <f>VLOOKUP(AP160,Check[],5,FALSE)</f>
        <v>99</v>
      </c>
      <c r="AQ161" s="240"/>
      <c r="AR161" s="248">
        <f>VLOOKUP(AR160,Check[],5,FALSE)</f>
        <v>100</v>
      </c>
      <c r="AS161" s="243">
        <f>VLOOKUP(AS160,Check[],5,FALSE)</f>
        <v>101</v>
      </c>
      <c r="AT161" s="240"/>
      <c r="AU161" s="243">
        <f>VLOOKUP(AU160,Check[],5,FALSE)</f>
        <v>102</v>
      </c>
      <c r="AV161" s="244"/>
      <c r="AW161" s="242"/>
      <c r="AX161" s="248">
        <f>VLOOKUP(AX160,Check[],5,FALSE)</f>
        <v>95</v>
      </c>
      <c r="AY161" s="243">
        <f>VLOOKUP(AY160,Check[],5,FALSE)</f>
        <v>96</v>
      </c>
      <c r="AZ161" s="244"/>
      <c r="BA161" s="242"/>
      <c r="BB161" s="243">
        <f>VLOOKUP(BB160,Check[],5,FALSE)</f>
        <v>97</v>
      </c>
      <c r="BC161" s="249"/>
      <c r="BD161" s="37"/>
      <c r="BE161" s="21"/>
      <c r="BF161" s="21"/>
      <c r="BG161" s="37"/>
      <c r="BH161" s="1495"/>
      <c r="BI161" s="1495"/>
      <c r="BJ161" s="1495"/>
      <c r="BK161" s="31"/>
      <c r="BL161" s="362" t="s">
        <v>65</v>
      </c>
      <c r="BM161" s="358"/>
      <c r="BN161" s="1779"/>
      <c r="BP161" s="236" t="s">
        <v>1078</v>
      </c>
    </row>
    <row r="162" spans="1:68" s="196" customFormat="1" ht="15" customHeight="1" thickBot="1" x14ac:dyDescent="0.4">
      <c r="A162" s="1767"/>
      <c r="B162" s="187">
        <f t="shared" ref="B162" si="1160">B166+3.48</f>
        <v>48.279999999999987</v>
      </c>
      <c r="C162" s="280" t="s">
        <v>1</v>
      </c>
      <c r="D162" s="204"/>
      <c r="E162" s="1496"/>
      <c r="F162" s="1496"/>
      <c r="G162" s="1496"/>
      <c r="H162" s="203"/>
      <c r="I162" s="203"/>
      <c r="J162" s="203"/>
      <c r="K162" s="203"/>
      <c r="L162" s="188">
        <f>VLOOKUP(L160,Check[],6,FALSE)</f>
        <v>1201</v>
      </c>
      <c r="M162" s="199"/>
      <c r="N162" s="199">
        <f>VLOOKUP(N160,Check[],6,FALSE)</f>
        <v>1202</v>
      </c>
      <c r="O162" s="199"/>
      <c r="P162" s="193">
        <f>VLOOKUP(P160,Check[],6,FALSE)</f>
        <v>1203</v>
      </c>
      <c r="Q162" s="199">
        <f>VLOOKUP(Q160,Check[],6,FALSE)</f>
        <v>1204</v>
      </c>
      <c r="R162" s="199"/>
      <c r="S162" s="190"/>
      <c r="T162" s="199">
        <f>VLOOKUP(T160,Check[],6,FALSE)</f>
        <v>1205</v>
      </c>
      <c r="U162" s="199"/>
      <c r="V162" s="199">
        <f>VLOOKUP(V160,Check[],6,FALSE)</f>
        <v>1206</v>
      </c>
      <c r="W162" s="199"/>
      <c r="X162" s="199">
        <f>VLOOKUP(X160,Check[],6,FALSE)</f>
        <v>1207</v>
      </c>
      <c r="Y162" s="199"/>
      <c r="Z162" s="199">
        <f>VLOOKUP(Z160,Check[],6,FALSE)</f>
        <v>1208</v>
      </c>
      <c r="AA162" s="191"/>
      <c r="AB162" s="192"/>
      <c r="AC162" s="192"/>
      <c r="AD162" s="192"/>
      <c r="AE162" s="192"/>
      <c r="AF162" s="192"/>
      <c r="AG162" s="192"/>
      <c r="AH162" s="192"/>
      <c r="AI162" s="192"/>
      <c r="AJ162" s="192"/>
      <c r="AK162" s="192"/>
      <c r="AL162" s="192"/>
      <c r="AM162" s="192"/>
      <c r="AN162" s="215"/>
      <c r="AO162" s="220">
        <f>VLOOKUP(AO160,Check[],6,FALSE)</f>
        <v>1202</v>
      </c>
      <c r="AP162" s="211">
        <f>VLOOKUP(AP160,Check[],6,FALSE)</f>
        <v>1203</v>
      </c>
      <c r="AQ162" s="202"/>
      <c r="AR162" s="193">
        <f>VLOOKUP(AR160,Check[],6,FALSE)</f>
        <v>1204</v>
      </c>
      <c r="AS162" s="211">
        <f>VLOOKUP(AS160,Check[],6,FALSE)</f>
        <v>1205</v>
      </c>
      <c r="AT162" s="202"/>
      <c r="AU162" s="211">
        <f>VLOOKUP(AU160,Check[],6,FALSE)</f>
        <v>1206</v>
      </c>
      <c r="AV162" s="212"/>
      <c r="AW162" s="207"/>
      <c r="AX162" s="193">
        <f>VLOOKUP(AX160,Check[],6,FALSE)</f>
        <v>1207</v>
      </c>
      <c r="AY162" s="211">
        <f>VLOOKUP(AY160,Check[],6,FALSE)</f>
        <v>1208</v>
      </c>
      <c r="AZ162" s="212"/>
      <c r="BA162" s="207"/>
      <c r="BB162" s="211">
        <f>VLOOKUP(BB160,Check[],6,FALSE)</f>
        <v>1201</v>
      </c>
      <c r="BC162" s="216"/>
      <c r="BD162" s="218"/>
      <c r="BE162" s="203"/>
      <c r="BF162" s="203"/>
      <c r="BG162" s="218"/>
      <c r="BH162" s="1496"/>
      <c r="BI162" s="1496"/>
      <c r="BJ162" s="1496"/>
      <c r="BK162" s="205"/>
      <c r="BL162" s="363" t="s">
        <v>1</v>
      </c>
      <c r="BM162" s="359">
        <f t="shared" ref="BM162" si="1161">BM166+3.48</f>
        <v>48.279999999999987</v>
      </c>
      <c r="BN162" s="1780"/>
      <c r="BP162" s="197" t="s">
        <v>1</v>
      </c>
    </row>
    <row r="163" spans="1:68" s="110" customFormat="1" ht="21.95" customHeight="1" x14ac:dyDescent="0.45">
      <c r="A163" s="1766"/>
      <c r="B163" s="326" t="str">
        <f t="shared" ref="B163" si="1162">_xlfn.CONCAT("קומה ",B164)</f>
        <v>קומה 11</v>
      </c>
      <c r="C163" s="278" t="s">
        <v>0</v>
      </c>
      <c r="D163" s="117"/>
      <c r="E163" s="1494"/>
      <c r="F163" s="1494"/>
      <c r="G163" s="1494"/>
      <c r="H163" s="116"/>
      <c r="I163" s="116"/>
      <c r="J163" s="116"/>
      <c r="K163" s="116"/>
      <c r="L163" s="104">
        <v>91</v>
      </c>
      <c r="M163" s="112"/>
      <c r="N163" s="112">
        <v>92</v>
      </c>
      <c r="O163" s="112"/>
      <c r="P163" s="159">
        <v>93</v>
      </c>
      <c r="Q163" s="112">
        <v>94</v>
      </c>
      <c r="R163" s="112"/>
      <c r="S163" s="106"/>
      <c r="T163" s="112">
        <v>95</v>
      </c>
      <c r="U163" s="112"/>
      <c r="V163" s="112">
        <v>96</v>
      </c>
      <c r="W163" s="112"/>
      <c r="X163" s="112">
        <v>97</v>
      </c>
      <c r="Y163" s="112"/>
      <c r="Z163" s="112">
        <v>98</v>
      </c>
      <c r="AA163" s="121"/>
      <c r="AB163" s="107"/>
      <c r="AC163" s="107"/>
      <c r="AD163" s="107"/>
      <c r="AE163" s="107"/>
      <c r="AF163" s="107"/>
      <c r="AG163" s="107"/>
      <c r="AH163" s="107"/>
      <c r="AI163" s="107"/>
      <c r="AJ163" s="107"/>
      <c r="AK163" s="107"/>
      <c r="AL163" s="107"/>
      <c r="AM163" s="107"/>
      <c r="AN163" s="137"/>
      <c r="AO163" s="176">
        <f>AO167+8</f>
        <v>90</v>
      </c>
      <c r="AP163" s="123">
        <f>AP167+8</f>
        <v>91</v>
      </c>
      <c r="AQ163" s="115"/>
      <c r="AR163" s="159">
        <f>AR167+8</f>
        <v>92</v>
      </c>
      <c r="AS163" s="123">
        <f>AS167+8</f>
        <v>93</v>
      </c>
      <c r="AT163" s="115"/>
      <c r="AU163" s="123">
        <f>AU167+8</f>
        <v>94</v>
      </c>
      <c r="AV163" s="105"/>
      <c r="AW163" s="115"/>
      <c r="AX163" s="159">
        <f>AX167+8</f>
        <v>87</v>
      </c>
      <c r="AY163" s="123">
        <f>AY167+8</f>
        <v>88</v>
      </c>
      <c r="AZ163" s="105"/>
      <c r="BA163" s="115"/>
      <c r="BB163" s="123">
        <f>BB167+8</f>
        <v>89</v>
      </c>
      <c r="BC163" s="160"/>
      <c r="BD163" s="163"/>
      <c r="BE163" s="116"/>
      <c r="BF163" s="116"/>
      <c r="BG163" s="163"/>
      <c r="BH163" s="1494"/>
      <c r="BI163" s="1494"/>
      <c r="BJ163" s="1494"/>
      <c r="BK163" s="119"/>
      <c r="BL163" s="361" t="s">
        <v>0</v>
      </c>
      <c r="BM163" s="356" t="str">
        <f t="shared" ref="BM163" si="1163">_xlfn.CONCAT("קומה ",BM164)</f>
        <v>קומה 11</v>
      </c>
      <c r="BN163" s="1779"/>
      <c r="BP163" s="111" t="s">
        <v>0</v>
      </c>
    </row>
    <row r="164" spans="1:68" s="52" customFormat="1" ht="9.9499999999999993" hidden="1" customHeight="1" x14ac:dyDescent="0.2">
      <c r="A164" s="1766"/>
      <c r="B164" s="329">
        <f t="shared" ref="B164" si="1164">B168+1</f>
        <v>11</v>
      </c>
      <c r="C164" s="278" t="s">
        <v>89</v>
      </c>
      <c r="D164" s="56"/>
      <c r="E164" s="1495"/>
      <c r="F164" s="1495"/>
      <c r="G164" s="1495"/>
      <c r="H164" s="55"/>
      <c r="I164" s="55"/>
      <c r="J164" s="55"/>
      <c r="K164" s="55"/>
      <c r="L164" s="66" t="str">
        <f>VLOOKUP("*"&amp;L$5&amp;".Ap."&amp;L163,Check[],1,FALSE)</f>
        <v>O.S.3B.TS.Ap.91</v>
      </c>
      <c r="M164" s="64" t="str">
        <f t="shared" ref="M164" si="1165">L164</f>
        <v>O.S.3B.TS.Ap.91</v>
      </c>
      <c r="N164" s="64" t="str">
        <f>VLOOKUP("*"&amp;N$5&amp;".Ap."&amp;N163,Check[],1,FALSE)</f>
        <v>O.S.3C.TS.Ap.92</v>
      </c>
      <c r="O164" s="64" t="str">
        <f t="shared" ref="O164" si="1166">N164</f>
        <v>O.S.3C.TS.Ap.92</v>
      </c>
      <c r="P164" s="64" t="str">
        <f>VLOOKUP("*"&amp;P$5&amp;".Ap."&amp;P163,Check[],1,FALSE)</f>
        <v>O.S.3A.TS.Ap.93</v>
      </c>
      <c r="Q164" s="64" t="str">
        <f>VLOOKUP("*"&amp;Q$5&amp;".Ap."&amp;Q163,Check[],1,FALSE)</f>
        <v>S.S.3D.TS.Ap.94</v>
      </c>
      <c r="R164" s="64" t="str">
        <f t="shared" ref="R164:S164" si="1167">Q164</f>
        <v>S.S.3D.TS.Ap.94</v>
      </c>
      <c r="S164" s="68" t="str">
        <f t="shared" si="1167"/>
        <v>S.S.3D.TS.Ap.94</v>
      </c>
      <c r="T164" s="64" t="str">
        <f>VLOOKUP("*"&amp;T$5&amp;".Ap."&amp;T163,Check[],1,FALSE)</f>
        <v>O.S.3E.TS.Ap.95</v>
      </c>
      <c r="U164" s="64" t="str">
        <f t="shared" ref="U164" si="1168">T164</f>
        <v>O.S.3E.TS.Ap.95</v>
      </c>
      <c r="V164" s="64" t="str">
        <f>VLOOKUP("*"&amp;V$5&amp;".Ap."&amp;V163,Check[],1,FALSE)</f>
        <v>V.GMS.S.4A.TS.Ap.96</v>
      </c>
      <c r="W164" s="64" t="str">
        <f t="shared" ref="W164" si="1169">V164</f>
        <v>V.GMS.S.4A.TS.Ap.96</v>
      </c>
      <c r="X164" s="64" t="str">
        <f>VLOOKUP("*"&amp;X$5&amp;".Ap."&amp;X163,Check[],1,FALSE)</f>
        <v>V.GMS.S.2G.TS.Ap.97</v>
      </c>
      <c r="Y164" s="64" t="str">
        <f t="shared" ref="Y164" si="1170">X164</f>
        <v>V.GMS.S.2G.TS.Ap.97</v>
      </c>
      <c r="Z164" s="64" t="str">
        <f>VLOOKUP("*"&amp;Z$5&amp;".Ap."&amp;Z163,Check[],1,FALSE)</f>
        <v>V.GMS.S.4B.TS.Ap.98</v>
      </c>
      <c r="AA164" s="65" t="str">
        <f t="shared" si="907"/>
        <v>V.GMS.S.4B.TS.Ap.98</v>
      </c>
      <c r="AB164" s="50"/>
      <c r="AC164" s="50"/>
      <c r="AD164" s="50"/>
      <c r="AE164" s="50"/>
      <c r="AF164" s="50"/>
      <c r="AG164" s="50"/>
      <c r="AH164" s="50"/>
      <c r="AI164" s="50"/>
      <c r="AJ164" s="50"/>
      <c r="AK164" s="50"/>
      <c r="AL164" s="50"/>
      <c r="AM164" s="50"/>
      <c r="AN164" s="61"/>
      <c r="AO164" s="66" t="str">
        <f>VLOOKUP("*"&amp;AO$5&amp;".Ap."&amp;AO163,Check[],1,FALSE)</f>
        <v>S.S.4B.TN.Ap.90</v>
      </c>
      <c r="AP164" s="72" t="str">
        <f>VLOOKUP("*"&amp;AP$5&amp;".Ap."&amp;AP163,Check[],1,FALSE)</f>
        <v>S.S.2G.TN.Ap.91</v>
      </c>
      <c r="AQ164" s="68" t="str">
        <f>AP164</f>
        <v>S.S.2G.TN.Ap.91</v>
      </c>
      <c r="AR164" s="64" t="str">
        <f>VLOOKUP("*"&amp;AR$5&amp;".Ap."&amp;AR163,Check[],1,FALSE)</f>
        <v>S.S.4A.TN.Ap.92</v>
      </c>
      <c r="AS164" s="72" t="str">
        <f>VLOOKUP("*"&amp;AS$5&amp;".Ap."&amp;AS163,Check[],1,FALSE)</f>
        <v>S.S.3E.TN.Ap.93</v>
      </c>
      <c r="AT164" s="68" t="str">
        <f>AS164</f>
        <v>S.S.3E.TN.Ap.93</v>
      </c>
      <c r="AU164" s="72" t="str">
        <f>VLOOKUP("*"&amp;AU$5&amp;".Ap."&amp;AU163,Check[],1,FALSE)</f>
        <v>S.S.3D.TN.Ap.94</v>
      </c>
      <c r="AV164" s="67" t="str">
        <f>AU164</f>
        <v>S.S.3D.TN.Ap.94</v>
      </c>
      <c r="AW164" s="68" t="str">
        <f>AV164</f>
        <v>S.S.3D.TN.Ap.94</v>
      </c>
      <c r="AX164" s="64" t="str">
        <f>VLOOKUP("*"&amp;AX$5&amp;".Ap."&amp;AX163,Check[],1,FALSE)</f>
        <v>S.S.3A.TN.Ap.87</v>
      </c>
      <c r="AY164" s="72" t="str">
        <f>VLOOKUP("*"&amp;AY$5&amp;".Ap."&amp;AY163,Check[],1,FALSE)</f>
        <v>O.S.3C.TN.Ap.88</v>
      </c>
      <c r="AZ164" s="67" t="str">
        <f>AY164</f>
        <v>O.S.3C.TN.Ap.88</v>
      </c>
      <c r="BA164" s="68" t="str">
        <f>AZ164</f>
        <v>O.S.3C.TN.Ap.88</v>
      </c>
      <c r="BB164" s="72" t="str">
        <f>VLOOKUP("*"&amp;BB$5&amp;".Ap."&amp;BB163,Check[],1,FALSE)</f>
        <v>S.S.3B.TN.Ap.89</v>
      </c>
      <c r="BC164" s="73" t="str">
        <f>BB164</f>
        <v>S.S.3B.TN.Ap.89</v>
      </c>
      <c r="BD164" s="62"/>
      <c r="BE164" s="55"/>
      <c r="BF164" s="55"/>
      <c r="BG164" s="62"/>
      <c r="BH164" s="1495"/>
      <c r="BI164" s="1495"/>
      <c r="BJ164" s="1495"/>
      <c r="BK164" s="57"/>
      <c r="BL164" s="361" t="s">
        <v>89</v>
      </c>
      <c r="BM164" s="357">
        <f t="shared" ref="BM164" si="1171">BM168+1</f>
        <v>11</v>
      </c>
      <c r="BN164" s="1779"/>
      <c r="BP164" s="53" t="s">
        <v>89</v>
      </c>
    </row>
    <row r="165" spans="1:68" s="8" customFormat="1" ht="12" customHeight="1" x14ac:dyDescent="0.3">
      <c r="A165" s="1766"/>
      <c r="B165" s="330"/>
      <c r="C165" s="279" t="s">
        <v>65</v>
      </c>
      <c r="D165" s="25"/>
      <c r="E165" s="1495"/>
      <c r="F165" s="1495"/>
      <c r="G165" s="1495"/>
      <c r="H165" s="21"/>
      <c r="I165" s="21"/>
      <c r="J165" s="21"/>
      <c r="K165" s="21"/>
      <c r="L165" s="230">
        <f>VLOOKUP(L164,Check[],5,FALSE)</f>
        <v>91</v>
      </c>
      <c r="M165" s="237"/>
      <c r="N165" s="237">
        <f>VLOOKUP(N164,Check[],5,FALSE)</f>
        <v>92</v>
      </c>
      <c r="O165" s="237"/>
      <c r="P165" s="248">
        <f>VLOOKUP(P164,Check[],5,FALSE)</f>
        <v>93</v>
      </c>
      <c r="Q165" s="237">
        <f>VLOOKUP(Q164,Check[],5,FALSE)</f>
        <v>94</v>
      </c>
      <c r="R165" s="237"/>
      <c r="S165" s="232"/>
      <c r="T165" s="237">
        <f>VLOOKUP(T164,Check[],5,FALSE)</f>
        <v>95</v>
      </c>
      <c r="U165" s="237"/>
      <c r="V165" s="237">
        <f>VLOOKUP(V164,Check[],5,FALSE)</f>
        <v>96</v>
      </c>
      <c r="W165" s="237"/>
      <c r="X165" s="237">
        <f>VLOOKUP(X164,Check[],5,FALSE)</f>
        <v>97</v>
      </c>
      <c r="Y165" s="237"/>
      <c r="Z165" s="237">
        <f>VLOOKUP(Z164,Check[],5,FALSE)</f>
        <v>98</v>
      </c>
      <c r="AA165" s="233"/>
      <c r="AB165" s="19"/>
      <c r="AC165" s="19"/>
      <c r="AD165" s="19"/>
      <c r="AE165" s="19"/>
      <c r="AF165" s="19"/>
      <c r="AG165" s="19"/>
      <c r="AH165" s="19"/>
      <c r="AI165" s="19"/>
      <c r="AJ165" s="19"/>
      <c r="AK165" s="19"/>
      <c r="AL165" s="19"/>
      <c r="AM165" s="19"/>
      <c r="AN165" s="247"/>
      <c r="AO165" s="257">
        <f>VLOOKUP(AO164,Check[],5,FALSE)</f>
        <v>90</v>
      </c>
      <c r="AP165" s="243">
        <f>VLOOKUP(AP164,Check[],5,FALSE)</f>
        <v>91</v>
      </c>
      <c r="AQ165" s="240"/>
      <c r="AR165" s="248">
        <f>VLOOKUP(AR164,Check[],5,FALSE)</f>
        <v>92</v>
      </c>
      <c r="AS165" s="243">
        <f>VLOOKUP(AS164,Check[],5,FALSE)</f>
        <v>93</v>
      </c>
      <c r="AT165" s="240"/>
      <c r="AU165" s="243">
        <f>VLOOKUP(AU164,Check[],5,FALSE)</f>
        <v>94</v>
      </c>
      <c r="AV165" s="244"/>
      <c r="AW165" s="242"/>
      <c r="AX165" s="248">
        <f>VLOOKUP(AX164,Check[],5,FALSE)</f>
        <v>87</v>
      </c>
      <c r="AY165" s="243">
        <f>VLOOKUP(AY164,Check[],5,FALSE)</f>
        <v>88</v>
      </c>
      <c r="AZ165" s="244"/>
      <c r="BA165" s="242"/>
      <c r="BB165" s="243">
        <f>VLOOKUP(BB164,Check[],5,FALSE)</f>
        <v>89</v>
      </c>
      <c r="BC165" s="249"/>
      <c r="BD165" s="37"/>
      <c r="BE165" s="21"/>
      <c r="BF165" s="21"/>
      <c r="BG165" s="37"/>
      <c r="BH165" s="1495"/>
      <c r="BI165" s="1495"/>
      <c r="BJ165" s="1495"/>
      <c r="BK165" s="31"/>
      <c r="BL165" s="362" t="s">
        <v>65</v>
      </c>
      <c r="BM165" s="358"/>
      <c r="BN165" s="1779"/>
      <c r="BP165" s="236" t="s">
        <v>1078</v>
      </c>
    </row>
    <row r="166" spans="1:68" s="196" customFormat="1" ht="15" customHeight="1" thickBot="1" x14ac:dyDescent="0.4">
      <c r="A166" s="1767"/>
      <c r="B166" s="187">
        <f t="shared" ref="B166" si="1172">B170+3.48</f>
        <v>44.79999999999999</v>
      </c>
      <c r="C166" s="280" t="s">
        <v>1</v>
      </c>
      <c r="D166" s="204"/>
      <c r="E166" s="1496"/>
      <c r="F166" s="1496"/>
      <c r="G166" s="1496"/>
      <c r="H166" s="203"/>
      <c r="I166" s="203"/>
      <c r="J166" s="203"/>
      <c r="K166" s="203"/>
      <c r="L166" s="188">
        <f>VLOOKUP(L164,Check[],6,FALSE)</f>
        <v>1101</v>
      </c>
      <c r="M166" s="199"/>
      <c r="N166" s="199">
        <f>VLOOKUP(N164,Check[],6,FALSE)</f>
        <v>1102</v>
      </c>
      <c r="O166" s="199"/>
      <c r="P166" s="193">
        <f>VLOOKUP(P164,Check[],6,FALSE)</f>
        <v>1103</v>
      </c>
      <c r="Q166" s="199">
        <f>VLOOKUP(Q164,Check[],6,FALSE)</f>
        <v>1104</v>
      </c>
      <c r="R166" s="199"/>
      <c r="S166" s="190"/>
      <c r="T166" s="199">
        <f>VLOOKUP(T164,Check[],6,FALSE)</f>
        <v>1105</v>
      </c>
      <c r="U166" s="199"/>
      <c r="V166" s="199">
        <f>VLOOKUP(V164,Check[],6,FALSE)</f>
        <v>1106</v>
      </c>
      <c r="W166" s="199"/>
      <c r="X166" s="199">
        <f>VLOOKUP(X164,Check[],6,FALSE)</f>
        <v>1107</v>
      </c>
      <c r="Y166" s="199"/>
      <c r="Z166" s="199">
        <f>VLOOKUP(Z164,Check[],6,FALSE)</f>
        <v>1108</v>
      </c>
      <c r="AA166" s="191"/>
      <c r="AB166" s="192"/>
      <c r="AC166" s="192"/>
      <c r="AD166" s="192"/>
      <c r="AE166" s="192"/>
      <c r="AF166" s="192"/>
      <c r="AG166" s="192"/>
      <c r="AH166" s="192"/>
      <c r="AI166" s="192"/>
      <c r="AJ166" s="192"/>
      <c r="AK166" s="192"/>
      <c r="AL166" s="192"/>
      <c r="AM166" s="192"/>
      <c r="AN166" s="215"/>
      <c r="AO166" s="220">
        <f>VLOOKUP(AO164,Check[],6,FALSE)</f>
        <v>1102</v>
      </c>
      <c r="AP166" s="211">
        <f>VLOOKUP(AP164,Check[],6,FALSE)</f>
        <v>1103</v>
      </c>
      <c r="AQ166" s="202"/>
      <c r="AR166" s="193">
        <f>VLOOKUP(AR164,Check[],6,FALSE)</f>
        <v>1104</v>
      </c>
      <c r="AS166" s="211">
        <f>VLOOKUP(AS164,Check[],6,FALSE)</f>
        <v>1105</v>
      </c>
      <c r="AT166" s="202"/>
      <c r="AU166" s="211">
        <f>VLOOKUP(AU164,Check[],6,FALSE)</f>
        <v>1106</v>
      </c>
      <c r="AV166" s="212"/>
      <c r="AW166" s="207"/>
      <c r="AX166" s="193">
        <f>VLOOKUP(AX164,Check[],6,FALSE)</f>
        <v>1107</v>
      </c>
      <c r="AY166" s="211">
        <f>VLOOKUP(AY164,Check[],6,FALSE)</f>
        <v>1108</v>
      </c>
      <c r="AZ166" s="212"/>
      <c r="BA166" s="207"/>
      <c r="BB166" s="211">
        <f>VLOOKUP(BB164,Check[],6,FALSE)</f>
        <v>1101</v>
      </c>
      <c r="BC166" s="216"/>
      <c r="BD166" s="218"/>
      <c r="BE166" s="203"/>
      <c r="BF166" s="203"/>
      <c r="BG166" s="218"/>
      <c r="BH166" s="1496"/>
      <c r="BI166" s="1496"/>
      <c r="BJ166" s="1496"/>
      <c r="BK166" s="205"/>
      <c r="BL166" s="363" t="s">
        <v>1</v>
      </c>
      <c r="BM166" s="359">
        <f t="shared" ref="BM166" si="1173">BM170+3.48</f>
        <v>44.79999999999999</v>
      </c>
      <c r="BN166" s="1780"/>
      <c r="BP166" s="197" t="s">
        <v>1</v>
      </c>
    </row>
    <row r="167" spans="1:68" s="110" customFormat="1" ht="21.95" customHeight="1" x14ac:dyDescent="0.45">
      <c r="A167" s="1711" t="s">
        <v>60</v>
      </c>
      <c r="B167" s="331" t="str">
        <f t="shared" ref="B167" si="1174">_xlfn.CONCAT("קומה ",B168)</f>
        <v>קומה 10</v>
      </c>
      <c r="C167" s="281" t="s">
        <v>0</v>
      </c>
      <c r="D167" s="117"/>
      <c r="E167" s="1491" t="s">
        <v>1076</v>
      </c>
      <c r="F167" s="1491" t="s">
        <v>1076</v>
      </c>
      <c r="G167" s="1491" t="s">
        <v>1076</v>
      </c>
      <c r="H167" s="116"/>
      <c r="I167" s="116"/>
      <c r="J167" s="116"/>
      <c r="K167" s="116"/>
      <c r="L167" s="176">
        <f t="shared" ref="L167:M167" si="1175">L171+10</f>
        <v>81</v>
      </c>
      <c r="M167" s="112">
        <f t="shared" si="1175"/>
        <v>82</v>
      </c>
      <c r="N167" s="112"/>
      <c r="O167" s="159">
        <f t="shared" ref="O167:Q167" si="1176">O171+10</f>
        <v>83</v>
      </c>
      <c r="P167" s="159">
        <f t="shared" si="1176"/>
        <v>84</v>
      </c>
      <c r="Q167" s="112">
        <f t="shared" si="1176"/>
        <v>85</v>
      </c>
      <c r="R167" s="112"/>
      <c r="S167" s="112">
        <f t="shared" ref="S167" si="1177">S171+10</f>
        <v>86</v>
      </c>
      <c r="T167" s="112"/>
      <c r="U167" s="159">
        <f t="shared" ref="U167:V167" si="1178">U171+10</f>
        <v>87</v>
      </c>
      <c r="V167" s="112">
        <f t="shared" si="1178"/>
        <v>88</v>
      </c>
      <c r="W167" s="112"/>
      <c r="X167" s="112">
        <f t="shared" ref="X167" si="1179">X171+10</f>
        <v>89</v>
      </c>
      <c r="Y167" s="112"/>
      <c r="Z167" s="112">
        <f t="shared" ref="Z167:Z183" si="1180">Z171+10</f>
        <v>90</v>
      </c>
      <c r="AA167" s="121"/>
      <c r="AB167" s="107"/>
      <c r="AC167" s="107"/>
      <c r="AD167" s="107"/>
      <c r="AE167" s="107"/>
      <c r="AF167" s="107"/>
      <c r="AG167" s="107"/>
      <c r="AH167" s="107"/>
      <c r="AI167" s="107"/>
      <c r="AJ167" s="107"/>
      <c r="AK167" s="107"/>
      <c r="AL167" s="107"/>
      <c r="AM167" s="107"/>
      <c r="AN167" s="137"/>
      <c r="AO167" s="177">
        <v>82</v>
      </c>
      <c r="AP167" s="123">
        <v>83</v>
      </c>
      <c r="AQ167" s="115"/>
      <c r="AR167" s="159">
        <v>84</v>
      </c>
      <c r="AS167" s="123">
        <v>85</v>
      </c>
      <c r="AT167" s="115"/>
      <c r="AU167" s="123">
        <v>86</v>
      </c>
      <c r="AV167" s="105"/>
      <c r="AW167" s="115"/>
      <c r="AX167" s="159">
        <v>79</v>
      </c>
      <c r="AY167" s="123">
        <v>80</v>
      </c>
      <c r="AZ167" s="105"/>
      <c r="BA167" s="115"/>
      <c r="BB167" s="123">
        <v>81</v>
      </c>
      <c r="BC167" s="160"/>
      <c r="BD167" s="163"/>
      <c r="BE167" s="116"/>
      <c r="BF167" s="116"/>
      <c r="BG167" s="163"/>
      <c r="BH167" s="1491" t="s">
        <v>1076</v>
      </c>
      <c r="BI167" s="1491" t="s">
        <v>1076</v>
      </c>
      <c r="BJ167" s="1491" t="s">
        <v>1076</v>
      </c>
      <c r="BK167" s="119"/>
      <c r="BL167" s="361" t="s">
        <v>0</v>
      </c>
      <c r="BM167" s="356" t="str">
        <f t="shared" ref="BM167" si="1181">_xlfn.CONCAT("קומה ",BM168)</f>
        <v>קומה 10</v>
      </c>
      <c r="BN167" s="1779"/>
      <c r="BP167" s="111" t="s">
        <v>0</v>
      </c>
    </row>
    <row r="168" spans="1:68" s="52" customFormat="1" ht="9.9499999999999993" hidden="1" customHeight="1" x14ac:dyDescent="0.2">
      <c r="A168" s="1711"/>
      <c r="B168" s="332">
        <f t="shared" ref="B168" si="1182">B172+1</f>
        <v>10</v>
      </c>
      <c r="C168" s="281" t="s">
        <v>89</v>
      </c>
      <c r="D168" s="56"/>
      <c r="E168" s="1492"/>
      <c r="F168" s="1492"/>
      <c r="G168" s="1492"/>
      <c r="H168" s="55"/>
      <c r="I168" s="55"/>
      <c r="J168" s="55"/>
      <c r="K168" s="55"/>
      <c r="L168" s="66" t="str">
        <f>VLOOKUP("*"&amp;L$5&amp;".Ap."&amp;L167,Check[],1,FALSE)</f>
        <v>S.S.2A.TS.Ap.81</v>
      </c>
      <c r="M168" s="64" t="str">
        <f>VLOOKUP("*"&amp;M$5&amp;".Ap."&amp;M167,Check[],1,FALSE)</f>
        <v>S.S.2B.TS.Ap.82</v>
      </c>
      <c r="N168" s="64" t="str">
        <f t="shared" ref="N168" si="1183">M168</f>
        <v>S.S.2B.TS.Ap.82</v>
      </c>
      <c r="O168" s="64" t="str">
        <f>VLOOKUP("*"&amp;O$5&amp;".Ap."&amp;O167,Check[],1,FALSE)</f>
        <v>S.S.2C.TS.Ap.83</v>
      </c>
      <c r="P168" s="64" t="str">
        <f>VLOOKUP("*"&amp;P$5&amp;".Ap."&amp;P167,Check[],1,FALSE)</f>
        <v>O.S.3A.TS.Ap.84</v>
      </c>
      <c r="Q168" s="64" t="str">
        <f>VLOOKUP("*"&amp;Q$5&amp;".Ap."&amp;Q167,Check[],1,FALSE)</f>
        <v>O.S.2D.TS.Ap.85</v>
      </c>
      <c r="R168" s="64" t="str">
        <f t="shared" ref="R168" si="1184">Q168</f>
        <v>O.S.2D.TS.Ap.85</v>
      </c>
      <c r="S168" s="64" t="str">
        <f>VLOOKUP("*"&amp;S$5&amp;".Ap."&amp;S167,Check[],1,FALSE)</f>
        <v>S.S.2E.TS.Ap.86</v>
      </c>
      <c r="T168" s="64" t="str">
        <f t="shared" ref="T168" si="1185">S168</f>
        <v>S.S.2E.TS.Ap.86</v>
      </c>
      <c r="U168" s="64" t="str">
        <f>VLOOKUP("*"&amp;U$5&amp;".Ap."&amp;U167,Check[],1,FALSE)</f>
        <v>O.S.2F.TS.Ap.87</v>
      </c>
      <c r="V168" s="64" t="str">
        <f>VLOOKUP("*"&amp;V$5&amp;".Ap."&amp;V167,Check[],1,FALSE)</f>
        <v>S.S.4A.TS.Ap.88</v>
      </c>
      <c r="W168" s="64" t="str">
        <f t="shared" ref="W168" si="1186">V168</f>
        <v>S.S.4A.TS.Ap.88</v>
      </c>
      <c r="X168" s="64" t="str">
        <f>VLOOKUP("*"&amp;X$5&amp;".Ap."&amp;X167,Check[],1,FALSE)</f>
        <v>S.S.2G.TS.Ap.89</v>
      </c>
      <c r="Y168" s="64" t="str">
        <f t="shared" ref="Y168" si="1187">X168</f>
        <v>S.S.2G.TS.Ap.89</v>
      </c>
      <c r="Z168" s="64" t="str">
        <f>VLOOKUP("*"&amp;Z$5&amp;".Ap."&amp;Z167,Check[],1,FALSE)</f>
        <v>S.S.4B.TS.Ap.90</v>
      </c>
      <c r="AA168" s="65" t="str">
        <f t="shared" si="907"/>
        <v>S.S.4B.TS.Ap.90</v>
      </c>
      <c r="AB168" s="50"/>
      <c r="AC168" s="50"/>
      <c r="AD168" s="50"/>
      <c r="AE168" s="50"/>
      <c r="AF168" s="50"/>
      <c r="AG168" s="50"/>
      <c r="AH168" s="50"/>
      <c r="AI168" s="50"/>
      <c r="AJ168" s="50"/>
      <c r="AK168" s="50"/>
      <c r="AL168" s="50"/>
      <c r="AM168" s="50"/>
      <c r="AN168" s="61"/>
      <c r="AO168" s="74" t="str">
        <f>VLOOKUP("*"&amp;AO$5&amp;".Ap."&amp;AO167,Check[],1,FALSE)</f>
        <v>S.S.4B.TN.Ap.82</v>
      </c>
      <c r="AP168" s="72" t="str">
        <f>VLOOKUP("*"&amp;AP$5&amp;".Ap."&amp;AP167,Check[],1,FALSE)</f>
        <v>S.S.2G.TN.Ap.83</v>
      </c>
      <c r="AQ168" s="68" t="str">
        <f>AP168</f>
        <v>S.S.2G.TN.Ap.83</v>
      </c>
      <c r="AR168" s="64" t="str">
        <f>VLOOKUP("*"&amp;AR$5&amp;".Ap."&amp;AR167,Check[],1,FALSE)</f>
        <v>O.S.4A.TN.Ap.84</v>
      </c>
      <c r="AS168" s="72" t="str">
        <f>VLOOKUP("*"&amp;AS$5&amp;".Ap."&amp;AS167,Check[],1,FALSE)</f>
        <v>S.S.3E.TN.Ap.85</v>
      </c>
      <c r="AT168" s="68" t="str">
        <f>AS168</f>
        <v>S.S.3E.TN.Ap.85</v>
      </c>
      <c r="AU168" s="72" t="str">
        <f>VLOOKUP("*"&amp;AU$5&amp;".Ap."&amp;AU167,Check[],1,FALSE)</f>
        <v>S.S.3D.TN.Ap.86</v>
      </c>
      <c r="AV168" s="67" t="str">
        <f>AU168</f>
        <v>S.S.3D.TN.Ap.86</v>
      </c>
      <c r="AW168" s="68" t="str">
        <f>AV168</f>
        <v>S.S.3D.TN.Ap.86</v>
      </c>
      <c r="AX168" s="64" t="str">
        <f>VLOOKUP("*"&amp;AX$5&amp;".Ap."&amp;AX167,Check[],1,FALSE)</f>
        <v>S.S.3A.TN.Ap.79</v>
      </c>
      <c r="AY168" s="72" t="str">
        <f>VLOOKUP("*"&amp;AY$5&amp;".Ap."&amp;AY167,Check[],1,FALSE)</f>
        <v>S.S.3C.TN.Ap.80</v>
      </c>
      <c r="AZ168" s="67" t="str">
        <f>AY168</f>
        <v>S.S.3C.TN.Ap.80</v>
      </c>
      <c r="BA168" s="68" t="str">
        <f>AZ168</f>
        <v>S.S.3C.TN.Ap.80</v>
      </c>
      <c r="BB168" s="72" t="str">
        <f>VLOOKUP("*"&amp;BB$5&amp;".Ap."&amp;BB167,Check[],1,FALSE)</f>
        <v>S.S.3B.TN.Ap.81</v>
      </c>
      <c r="BC168" s="73" t="str">
        <f>BB168</f>
        <v>S.S.3B.TN.Ap.81</v>
      </c>
      <c r="BD168" s="62"/>
      <c r="BE168" s="55"/>
      <c r="BF168" s="55"/>
      <c r="BG168" s="62"/>
      <c r="BH168" s="1492"/>
      <c r="BI168" s="1492"/>
      <c r="BJ168" s="1492"/>
      <c r="BK168" s="57"/>
      <c r="BL168" s="361" t="s">
        <v>89</v>
      </c>
      <c r="BM168" s="357">
        <f t="shared" ref="BM168" si="1188">BM172+1</f>
        <v>10</v>
      </c>
      <c r="BN168" s="1779"/>
      <c r="BP168" s="53" t="s">
        <v>89</v>
      </c>
    </row>
    <row r="169" spans="1:68" s="8" customFormat="1" ht="12" customHeight="1" x14ac:dyDescent="0.3">
      <c r="A169" s="1711"/>
      <c r="B169" s="333"/>
      <c r="C169" s="282" t="s">
        <v>65</v>
      </c>
      <c r="D169" s="25"/>
      <c r="E169" s="1492"/>
      <c r="F169" s="1492"/>
      <c r="G169" s="1492"/>
      <c r="H169" s="21"/>
      <c r="I169" s="21"/>
      <c r="J169" s="21"/>
      <c r="K169" s="21"/>
      <c r="L169" s="257">
        <f>VLOOKUP(L168,Check[],5,FALSE)</f>
        <v>81</v>
      </c>
      <c r="M169" s="237">
        <f>VLOOKUP(M168,Check[],5,FALSE)</f>
        <v>82</v>
      </c>
      <c r="N169" s="237"/>
      <c r="O169" s="248">
        <f>VLOOKUP(O168,Check[],5,FALSE)</f>
        <v>83</v>
      </c>
      <c r="P169" s="248">
        <f>VLOOKUP(P168,Check[],5,FALSE)</f>
        <v>84</v>
      </c>
      <c r="Q169" s="237">
        <f>VLOOKUP(Q168,Check[],5,FALSE)</f>
        <v>85</v>
      </c>
      <c r="R169" s="237"/>
      <c r="S169" s="237">
        <f>VLOOKUP(S168,Check[],5,FALSE)</f>
        <v>86</v>
      </c>
      <c r="T169" s="237"/>
      <c r="U169" s="248">
        <f>VLOOKUP(U168,Check[],5,FALSE)</f>
        <v>87</v>
      </c>
      <c r="V169" s="237">
        <f>VLOOKUP(V168,Check[],5,FALSE)</f>
        <v>88</v>
      </c>
      <c r="W169" s="237"/>
      <c r="X169" s="237">
        <f>VLOOKUP(X168,Check[],5,FALSE)</f>
        <v>89</v>
      </c>
      <c r="Y169" s="237"/>
      <c r="Z169" s="237">
        <f>VLOOKUP(Z168,Check[],5,FALSE)</f>
        <v>90</v>
      </c>
      <c r="AA169" s="233"/>
      <c r="AB169" s="19"/>
      <c r="AC169" s="19"/>
      <c r="AD169" s="19"/>
      <c r="AE169" s="19"/>
      <c r="AF169" s="19"/>
      <c r="AG169" s="19"/>
      <c r="AH169" s="19"/>
      <c r="AI169" s="19"/>
      <c r="AJ169" s="19"/>
      <c r="AK169" s="19"/>
      <c r="AL169" s="19"/>
      <c r="AM169" s="19"/>
      <c r="AN169" s="247"/>
      <c r="AO169" s="258">
        <f>VLOOKUP(AO168,Check[],5,FALSE)</f>
        <v>82</v>
      </c>
      <c r="AP169" s="243">
        <f>VLOOKUP(AP168,Check[],5,FALSE)</f>
        <v>83</v>
      </c>
      <c r="AQ169" s="240"/>
      <c r="AR169" s="248">
        <f>VLOOKUP(AR168,Check[],5,FALSE)</f>
        <v>84</v>
      </c>
      <c r="AS169" s="243">
        <f>VLOOKUP(AS168,Check[],5,FALSE)</f>
        <v>85</v>
      </c>
      <c r="AT169" s="240"/>
      <c r="AU169" s="243">
        <f>VLOOKUP(AU168,Check[],5,FALSE)</f>
        <v>86</v>
      </c>
      <c r="AV169" s="244"/>
      <c r="AW169" s="242"/>
      <c r="AX169" s="248">
        <f>VLOOKUP(AX168,Check[],5,FALSE)</f>
        <v>79</v>
      </c>
      <c r="AY169" s="243">
        <f>VLOOKUP(AY168,Check[],5,FALSE)</f>
        <v>80</v>
      </c>
      <c r="AZ169" s="244"/>
      <c r="BA169" s="242"/>
      <c r="BB169" s="243">
        <f>VLOOKUP(BB168,Check[],5,FALSE)</f>
        <v>81</v>
      </c>
      <c r="BC169" s="249"/>
      <c r="BD169" s="37"/>
      <c r="BE169" s="21"/>
      <c r="BF169" s="21"/>
      <c r="BG169" s="37"/>
      <c r="BH169" s="1492"/>
      <c r="BI169" s="1492"/>
      <c r="BJ169" s="1492"/>
      <c r="BK169" s="31"/>
      <c r="BL169" s="362" t="s">
        <v>65</v>
      </c>
      <c r="BM169" s="358"/>
      <c r="BN169" s="1779"/>
      <c r="BP169" s="236" t="s">
        <v>1078</v>
      </c>
    </row>
    <row r="170" spans="1:68" s="196" customFormat="1" ht="15" customHeight="1" thickBot="1" x14ac:dyDescent="0.4">
      <c r="A170" s="1712"/>
      <c r="B170" s="198">
        <f t="shared" ref="B170" si="1189">B174+3.48</f>
        <v>41.319999999999993</v>
      </c>
      <c r="C170" s="283" t="s">
        <v>1</v>
      </c>
      <c r="D170" s="204"/>
      <c r="E170" s="1493"/>
      <c r="F170" s="1493"/>
      <c r="G170" s="1493"/>
      <c r="H170" s="203"/>
      <c r="I170" s="203"/>
      <c r="J170" s="203"/>
      <c r="K170" s="203"/>
      <c r="L170" s="220">
        <f>VLOOKUP(L168,Check[],6,FALSE)</f>
        <v>1001</v>
      </c>
      <c r="M170" s="199">
        <f>VLOOKUP(M168,Check[],6,FALSE)</f>
        <v>1002</v>
      </c>
      <c r="N170" s="199"/>
      <c r="O170" s="193">
        <f>VLOOKUP(O168,Check[],6,FALSE)</f>
        <v>1003</v>
      </c>
      <c r="P170" s="193">
        <f>VLOOKUP(P168,Check[],6,FALSE)</f>
        <v>1004</v>
      </c>
      <c r="Q170" s="199">
        <f>VLOOKUP(Q168,Check[],6,FALSE)</f>
        <v>1005</v>
      </c>
      <c r="R170" s="199"/>
      <c r="S170" s="199">
        <f>VLOOKUP(S168,Check[],6,FALSE)</f>
        <v>1006</v>
      </c>
      <c r="T170" s="199"/>
      <c r="U170" s="193">
        <f>VLOOKUP(U168,Check[],6,FALSE)</f>
        <v>1007</v>
      </c>
      <c r="V170" s="199">
        <f>VLOOKUP(V168,Check[],6,FALSE)</f>
        <v>1008</v>
      </c>
      <c r="W170" s="199"/>
      <c r="X170" s="199">
        <f>VLOOKUP(X168,Check[],6,FALSE)</f>
        <v>1009</v>
      </c>
      <c r="Y170" s="199"/>
      <c r="Z170" s="199">
        <f>VLOOKUP(Z168,Check[],6,FALSE)</f>
        <v>1010</v>
      </c>
      <c r="AA170" s="191"/>
      <c r="AB170" s="192"/>
      <c r="AC170" s="192"/>
      <c r="AD170" s="192"/>
      <c r="AE170" s="192"/>
      <c r="AF170" s="192"/>
      <c r="AG170" s="192"/>
      <c r="AH170" s="192"/>
      <c r="AI170" s="192"/>
      <c r="AJ170" s="192"/>
      <c r="AK170" s="192"/>
      <c r="AL170" s="192"/>
      <c r="AM170" s="192"/>
      <c r="AN170" s="215"/>
      <c r="AO170" s="221">
        <f>VLOOKUP(AO168,Check[],6,FALSE)</f>
        <v>1002</v>
      </c>
      <c r="AP170" s="211">
        <f>VLOOKUP(AP168,Check[],6,FALSE)</f>
        <v>1003</v>
      </c>
      <c r="AQ170" s="202"/>
      <c r="AR170" s="193">
        <f>VLOOKUP(AR168,Check[],6,FALSE)</f>
        <v>1004</v>
      </c>
      <c r="AS170" s="211">
        <f>VLOOKUP(AS168,Check[],6,FALSE)</f>
        <v>1005</v>
      </c>
      <c r="AT170" s="202"/>
      <c r="AU170" s="211">
        <f>VLOOKUP(AU168,Check[],6,FALSE)</f>
        <v>1006</v>
      </c>
      <c r="AV170" s="212"/>
      <c r="AW170" s="207"/>
      <c r="AX170" s="193">
        <f>VLOOKUP(AX168,Check[],6,FALSE)</f>
        <v>1007</v>
      </c>
      <c r="AY170" s="211">
        <f>VLOOKUP(AY168,Check[],6,FALSE)</f>
        <v>1008</v>
      </c>
      <c r="AZ170" s="212"/>
      <c r="BA170" s="207"/>
      <c r="BB170" s="211">
        <f>VLOOKUP(BB168,Check[],6,FALSE)</f>
        <v>1001</v>
      </c>
      <c r="BC170" s="216"/>
      <c r="BD170" s="218"/>
      <c r="BE170" s="203"/>
      <c r="BF170" s="203"/>
      <c r="BG170" s="218"/>
      <c r="BH170" s="1493"/>
      <c r="BI170" s="1493"/>
      <c r="BJ170" s="1493"/>
      <c r="BK170" s="205"/>
      <c r="BL170" s="363" t="s">
        <v>1</v>
      </c>
      <c r="BM170" s="359">
        <f t="shared" ref="BM170" si="1190">BM174+3.48</f>
        <v>41.319999999999993</v>
      </c>
      <c r="BN170" s="1780"/>
      <c r="BP170" s="197" t="s">
        <v>1</v>
      </c>
    </row>
    <row r="171" spans="1:68" s="110" customFormat="1" ht="21.95" customHeight="1" x14ac:dyDescent="0.45">
      <c r="A171" s="1711"/>
      <c r="B171" s="331" t="str">
        <f t="shared" ref="B171" si="1191">_xlfn.CONCAT("קומה ",B172)</f>
        <v>קומה 9</v>
      </c>
      <c r="C171" s="281" t="s">
        <v>0</v>
      </c>
      <c r="D171" s="117"/>
      <c r="E171" s="1494"/>
      <c r="F171" s="1494"/>
      <c r="G171" s="1494"/>
      <c r="H171" s="116"/>
      <c r="I171" s="116"/>
      <c r="J171" s="116"/>
      <c r="K171" s="116"/>
      <c r="L171" s="176">
        <f t="shared" ref="L171:M171" si="1192">L175+10</f>
        <v>71</v>
      </c>
      <c r="M171" s="112">
        <f t="shared" si="1192"/>
        <v>72</v>
      </c>
      <c r="N171" s="112"/>
      <c r="O171" s="159">
        <f t="shared" ref="O171:Q171" si="1193">O175+10</f>
        <v>73</v>
      </c>
      <c r="P171" s="159">
        <f t="shared" si="1193"/>
        <v>74</v>
      </c>
      <c r="Q171" s="112">
        <f t="shared" si="1193"/>
        <v>75</v>
      </c>
      <c r="R171" s="112"/>
      <c r="S171" s="112">
        <f t="shared" ref="S171" si="1194">S175+10</f>
        <v>76</v>
      </c>
      <c r="T171" s="112"/>
      <c r="U171" s="159">
        <f t="shared" ref="U171:V171" si="1195">U175+10</f>
        <v>77</v>
      </c>
      <c r="V171" s="112">
        <f t="shared" si="1195"/>
        <v>78</v>
      </c>
      <c r="W171" s="112"/>
      <c r="X171" s="112">
        <f t="shared" ref="X171" si="1196">X175+10</f>
        <v>79</v>
      </c>
      <c r="Y171" s="112"/>
      <c r="Z171" s="112">
        <f t="shared" si="1180"/>
        <v>80</v>
      </c>
      <c r="AA171" s="121"/>
      <c r="AB171" s="107"/>
      <c r="AC171" s="107"/>
      <c r="AD171" s="107"/>
      <c r="AE171" s="107"/>
      <c r="AF171" s="107"/>
      <c r="AG171" s="107"/>
      <c r="AH171" s="107"/>
      <c r="AI171" s="107"/>
      <c r="AJ171" s="107"/>
      <c r="AK171" s="107"/>
      <c r="AL171" s="107"/>
      <c r="AM171" s="107"/>
      <c r="AN171" s="137"/>
      <c r="AO171" s="177">
        <f t="shared" ref="AO171:AP171" si="1197">AO175+10</f>
        <v>73</v>
      </c>
      <c r="AP171" s="123">
        <f t="shared" si="1197"/>
        <v>74</v>
      </c>
      <c r="AQ171" s="115"/>
      <c r="AR171" s="159">
        <f t="shared" ref="AR171:AT171" si="1198">AR175+10</f>
        <v>75</v>
      </c>
      <c r="AS171" s="159">
        <f t="shared" si="1198"/>
        <v>76</v>
      </c>
      <c r="AT171" s="123">
        <f t="shared" si="1198"/>
        <v>77</v>
      </c>
      <c r="AU171" s="115"/>
      <c r="AV171" s="123">
        <f t="shared" ref="AV171" si="1199">AV175+10</f>
        <v>78</v>
      </c>
      <c r="AW171" s="115"/>
      <c r="AX171" s="159">
        <f t="shared" ref="AX171:BA171" si="1200">AX175+10</f>
        <v>69</v>
      </c>
      <c r="AY171" s="123">
        <f t="shared" ref="AY171" si="1201">AY175+10</f>
        <v>70</v>
      </c>
      <c r="AZ171" s="115"/>
      <c r="BA171" s="123">
        <f t="shared" si="1200"/>
        <v>71</v>
      </c>
      <c r="BB171" s="115"/>
      <c r="BC171" s="178">
        <f t="shared" ref="BC171" si="1202">BC175+10</f>
        <v>72</v>
      </c>
      <c r="BD171" s="163"/>
      <c r="BE171" s="116"/>
      <c r="BF171" s="116"/>
      <c r="BG171" s="163"/>
      <c r="BH171" s="1494"/>
      <c r="BI171" s="1494"/>
      <c r="BJ171" s="1494"/>
      <c r="BK171" s="119"/>
      <c r="BL171" s="364" t="s">
        <v>0</v>
      </c>
      <c r="BM171" s="331" t="str">
        <f t="shared" ref="BM171" si="1203">_xlfn.CONCAT("קומה ",BM172)</f>
        <v>קומה 9</v>
      </c>
      <c r="BN171" s="1777" t="s">
        <v>60</v>
      </c>
      <c r="BP171" s="111" t="s">
        <v>0</v>
      </c>
    </row>
    <row r="172" spans="1:68" s="52" customFormat="1" ht="9.9499999999999993" hidden="1" customHeight="1" x14ac:dyDescent="0.2">
      <c r="A172" s="1711"/>
      <c r="B172" s="332">
        <f t="shared" ref="B172" si="1204">B176+1</f>
        <v>9</v>
      </c>
      <c r="C172" s="281" t="s">
        <v>89</v>
      </c>
      <c r="D172" s="56"/>
      <c r="E172" s="1495"/>
      <c r="F172" s="1495"/>
      <c r="G172" s="1495"/>
      <c r="H172" s="55"/>
      <c r="I172" s="55"/>
      <c r="J172" s="55"/>
      <c r="K172" s="55"/>
      <c r="L172" s="66" t="str">
        <f>VLOOKUP("*"&amp;L$5&amp;".Ap."&amp;L171,Check[],1,FALSE)</f>
        <v>S.S.2A.TS.Ap.71</v>
      </c>
      <c r="M172" s="64" t="str">
        <f>VLOOKUP("*"&amp;M$5&amp;".Ap."&amp;M171,Check[],1,FALSE)</f>
        <v>S.S.2B.TS.Ap.72</v>
      </c>
      <c r="N172" s="64" t="str">
        <f t="shared" ref="N172" si="1205">M172</f>
        <v>S.S.2B.TS.Ap.72</v>
      </c>
      <c r="O172" s="64" t="str">
        <f>VLOOKUP("*"&amp;O$5&amp;".Ap."&amp;O171,Check[],1,FALSE)</f>
        <v>S.S.2C.TS.Ap.73</v>
      </c>
      <c r="P172" s="64" t="str">
        <f>VLOOKUP("*"&amp;P$5&amp;".Ap."&amp;P171,Check[],1,FALSE)</f>
        <v>O.S.3A.TS.Ap.74</v>
      </c>
      <c r="Q172" s="64" t="str">
        <f>VLOOKUP("*"&amp;Q$5&amp;".Ap."&amp;Q171,Check[],1,FALSE)</f>
        <v>S.S.2D.TS.Ap.75</v>
      </c>
      <c r="R172" s="64" t="str">
        <f t="shared" ref="R172" si="1206">Q172</f>
        <v>S.S.2D.TS.Ap.75</v>
      </c>
      <c r="S172" s="64" t="str">
        <f>VLOOKUP("*"&amp;S$5&amp;".Ap."&amp;S171,Check[],1,FALSE)</f>
        <v>S.S.2E.TS.Ap.76</v>
      </c>
      <c r="T172" s="64" t="str">
        <f t="shared" ref="T172" si="1207">S172</f>
        <v>S.S.2E.TS.Ap.76</v>
      </c>
      <c r="U172" s="64" t="str">
        <f>VLOOKUP("*"&amp;U$5&amp;".Ap."&amp;U171,Check[],1,FALSE)</f>
        <v>O.S.2F.TS.Ap.77</v>
      </c>
      <c r="V172" s="64" t="str">
        <f>VLOOKUP("*"&amp;V$5&amp;".Ap."&amp;V171,Check[],1,FALSE)</f>
        <v>V.GMC.S.4A.TS.Ap.78</v>
      </c>
      <c r="W172" s="64" t="str">
        <f t="shared" ref="W172" si="1208">V172</f>
        <v>V.GMC.S.4A.TS.Ap.78</v>
      </c>
      <c r="X172" s="64" t="str">
        <f>VLOOKUP("*"&amp;X$5&amp;".Ap."&amp;X171,Check[],1,FALSE)</f>
        <v>V.GMS.S.2G.TS.Ap.79</v>
      </c>
      <c r="Y172" s="64" t="str">
        <f t="shared" ref="Y172" si="1209">X172</f>
        <v>V.GMS.S.2G.TS.Ap.79</v>
      </c>
      <c r="Z172" s="64" t="str">
        <f>VLOOKUP("*"&amp;Z$5&amp;".Ap."&amp;Z171,Check[],1,FALSE)</f>
        <v>V.GMS.S.4B.TS.Ap.80</v>
      </c>
      <c r="AA172" s="65" t="str">
        <f t="shared" si="907"/>
        <v>V.GMS.S.4B.TS.Ap.80</v>
      </c>
      <c r="AB172" s="50"/>
      <c r="AC172" s="50"/>
      <c r="AD172" s="50"/>
      <c r="AE172" s="50"/>
      <c r="AF172" s="50"/>
      <c r="AG172" s="50"/>
      <c r="AH172" s="50"/>
      <c r="AI172" s="50"/>
      <c r="AJ172" s="50"/>
      <c r="AK172" s="50"/>
      <c r="AL172" s="50"/>
      <c r="AM172" s="50"/>
      <c r="AN172" s="61"/>
      <c r="AO172" s="74" t="str">
        <f>VLOOKUP("*"&amp;AO$5&amp;".Ap."&amp;AO171,Check[],1,FALSE)</f>
        <v>S.S.4B.TN.Ap.73</v>
      </c>
      <c r="AP172" s="72" t="str">
        <f>VLOOKUP("*"&amp;AP$5&amp;".Ap."&amp;AP171,Check[],1,FALSE)</f>
        <v>S.S.2G.TN.Ap.74</v>
      </c>
      <c r="AQ172" s="68" t="str">
        <f t="shared" ref="AQ172" si="1210">AP172</f>
        <v>S.S.2G.TN.Ap.74</v>
      </c>
      <c r="AR172" s="64" t="str">
        <f>VLOOKUP("*"&amp;AR$5&amp;".Ap."&amp;AR171,Check[],1,FALSE)</f>
        <v>S.S.4A.TN.Ap.75</v>
      </c>
      <c r="AS172" s="64" t="str">
        <f>VLOOKUP("*"&amp;AS$5&amp;".Ap."&amp;AS171,Check[],1,FALSE)</f>
        <v>O.S.2F.TN.Ap.76</v>
      </c>
      <c r="AT172" s="72" t="str">
        <f>VLOOKUP("*"&amp;AT$5&amp;".Ap."&amp;AT171,Check[],1,FALSE)</f>
        <v>S.S.2E.TN.Ap.77</v>
      </c>
      <c r="AU172" s="68" t="str">
        <f t="shared" ref="AU172" si="1211">AT172</f>
        <v>S.S.2E.TN.Ap.77</v>
      </c>
      <c r="AV172" s="72" t="str">
        <f>VLOOKUP("*"&amp;AV$5&amp;".Ap."&amp;AV171,Check[],1,FALSE)</f>
        <v>S.S.2D.TN.Ap.78</v>
      </c>
      <c r="AW172" s="68" t="str">
        <f t="shared" ref="AW172" si="1212">AV172</f>
        <v>S.S.2D.TN.Ap.78</v>
      </c>
      <c r="AX172" s="64" t="str">
        <f>VLOOKUP("*"&amp;AX$5&amp;".Ap."&amp;AX171,Check[],1,FALSE)</f>
        <v>S.S.3A.TN.Ap.69</v>
      </c>
      <c r="AY172" s="72" t="str">
        <f>VLOOKUP("*"&amp;AY$5&amp;".Ap."&amp;AY171,Check[],1,FALSE)</f>
        <v>S.S.2C.TN.Ap.70</v>
      </c>
      <c r="AZ172" s="68" t="str">
        <f t="shared" ref="AZ172" si="1213">AY172</f>
        <v>S.S.2C.TN.Ap.70</v>
      </c>
      <c r="BA172" s="72" t="str">
        <f>VLOOKUP("*"&amp;BA$5&amp;".Ap."&amp;BA171,Check[],1,FALSE)</f>
        <v>S.S.2B.TN.Ap.71</v>
      </c>
      <c r="BB172" s="68" t="str">
        <f t="shared" ref="BB172" si="1214">BA172</f>
        <v>S.S.2B.TN.Ap.71</v>
      </c>
      <c r="BC172" s="75" t="str">
        <f>VLOOKUP("*"&amp;BC$5&amp;".Ap."&amp;BC171,Check[],1,FALSE)</f>
        <v>S.S.2A.TN.Ap.72</v>
      </c>
      <c r="BD172" s="62"/>
      <c r="BE172" s="55"/>
      <c r="BF172" s="55"/>
      <c r="BG172" s="62"/>
      <c r="BH172" s="1495"/>
      <c r="BI172" s="1495"/>
      <c r="BJ172" s="1495"/>
      <c r="BK172" s="57"/>
      <c r="BL172" s="364" t="s">
        <v>89</v>
      </c>
      <c r="BM172" s="332">
        <f t="shared" ref="BM172" si="1215">BM176+1</f>
        <v>9</v>
      </c>
      <c r="BN172" s="1777"/>
      <c r="BP172" s="53" t="s">
        <v>89</v>
      </c>
    </row>
    <row r="173" spans="1:68" s="8" customFormat="1" ht="12" customHeight="1" x14ac:dyDescent="0.3">
      <c r="A173" s="1711"/>
      <c r="B173" s="333"/>
      <c r="C173" s="282" t="s">
        <v>65</v>
      </c>
      <c r="D173" s="25"/>
      <c r="E173" s="1495"/>
      <c r="F173" s="1495"/>
      <c r="G173" s="1495"/>
      <c r="H173" s="21"/>
      <c r="I173" s="21"/>
      <c r="J173" s="21"/>
      <c r="K173" s="21"/>
      <c r="L173" s="257">
        <f>VLOOKUP(L172,Check[],5,FALSE)</f>
        <v>71</v>
      </c>
      <c r="M173" s="237">
        <f>VLOOKUP(M172,Check[],5,FALSE)</f>
        <v>72</v>
      </c>
      <c r="N173" s="237"/>
      <c r="O173" s="248">
        <f>VLOOKUP(O172,Check[],5,FALSE)</f>
        <v>73</v>
      </c>
      <c r="P173" s="248">
        <f>VLOOKUP(P172,Check[],5,FALSE)</f>
        <v>74</v>
      </c>
      <c r="Q173" s="237">
        <f>VLOOKUP(Q172,Check[],5,FALSE)</f>
        <v>75</v>
      </c>
      <c r="R173" s="237"/>
      <c r="S173" s="237">
        <f>VLOOKUP(S172,Check[],5,FALSE)</f>
        <v>76</v>
      </c>
      <c r="T173" s="237"/>
      <c r="U173" s="248">
        <f>VLOOKUP(U172,Check[],5,FALSE)</f>
        <v>77</v>
      </c>
      <c r="V173" s="237">
        <f>VLOOKUP(V172,Check[],5,FALSE)</f>
        <v>78</v>
      </c>
      <c r="W173" s="237"/>
      <c r="X173" s="237">
        <f>VLOOKUP(X172,Check[],5,FALSE)</f>
        <v>79</v>
      </c>
      <c r="Y173" s="237"/>
      <c r="Z173" s="237">
        <f>VLOOKUP(Z172,Check[],5,FALSE)</f>
        <v>80</v>
      </c>
      <c r="AA173" s="233"/>
      <c r="AB173" s="19"/>
      <c r="AC173" s="19"/>
      <c r="AD173" s="19"/>
      <c r="AE173" s="19"/>
      <c r="AF173" s="19"/>
      <c r="AG173" s="19"/>
      <c r="AH173" s="19"/>
      <c r="AI173" s="19"/>
      <c r="AJ173" s="19"/>
      <c r="AK173" s="19"/>
      <c r="AL173" s="19"/>
      <c r="AM173" s="19"/>
      <c r="AN173" s="247"/>
      <c r="AO173" s="258">
        <f>VLOOKUP(AO172,Check[],5,FALSE)</f>
        <v>73</v>
      </c>
      <c r="AP173" s="243">
        <f>VLOOKUP(AP172,Check[],5,FALSE)</f>
        <v>74</v>
      </c>
      <c r="AQ173" s="240"/>
      <c r="AR173" s="248">
        <f>VLOOKUP(AR172,Check[],5,FALSE)</f>
        <v>75</v>
      </c>
      <c r="AS173" s="248">
        <f>VLOOKUP(AS172,Check[],5,FALSE)</f>
        <v>76</v>
      </c>
      <c r="AT173" s="243">
        <f>VLOOKUP(AT172,Check[],5,FALSE)</f>
        <v>77</v>
      </c>
      <c r="AU173" s="240"/>
      <c r="AV173" s="243">
        <f>VLOOKUP(AV172,Check[],5,FALSE)</f>
        <v>78</v>
      </c>
      <c r="AW173" s="240"/>
      <c r="AX173" s="248">
        <f>VLOOKUP(AX172,Check[],5,FALSE)</f>
        <v>69</v>
      </c>
      <c r="AY173" s="243">
        <f>VLOOKUP(AY172,Check[],5,FALSE)</f>
        <v>70</v>
      </c>
      <c r="AZ173" s="240"/>
      <c r="BA173" s="243">
        <f>VLOOKUP(BA172,Check[],5,FALSE)</f>
        <v>71</v>
      </c>
      <c r="BB173" s="240"/>
      <c r="BC173" s="259">
        <f>VLOOKUP(BC172,Check[],5,FALSE)</f>
        <v>72</v>
      </c>
      <c r="BD173" s="37"/>
      <c r="BE173" s="21"/>
      <c r="BF173" s="21"/>
      <c r="BG173" s="37"/>
      <c r="BH173" s="1495"/>
      <c r="BI173" s="1495"/>
      <c r="BJ173" s="1495"/>
      <c r="BK173" s="31"/>
      <c r="BL173" s="365" t="s">
        <v>65</v>
      </c>
      <c r="BM173" s="333"/>
      <c r="BN173" s="1777"/>
      <c r="BP173" s="236" t="s">
        <v>1078</v>
      </c>
    </row>
    <row r="174" spans="1:68" s="196" customFormat="1" ht="15" customHeight="1" thickBot="1" x14ac:dyDescent="0.4">
      <c r="A174" s="1712"/>
      <c r="B174" s="198">
        <f t="shared" ref="B174" si="1216">B178+3.48</f>
        <v>37.839999999999996</v>
      </c>
      <c r="C174" s="283" t="s">
        <v>1</v>
      </c>
      <c r="D174" s="204"/>
      <c r="E174" s="1496"/>
      <c r="F174" s="1496"/>
      <c r="G174" s="1496"/>
      <c r="H174" s="203"/>
      <c r="I174" s="203"/>
      <c r="J174" s="203"/>
      <c r="K174" s="203"/>
      <c r="L174" s="220">
        <f>VLOOKUP(L172,Check[],6,FALSE)</f>
        <v>901</v>
      </c>
      <c r="M174" s="199">
        <f>VLOOKUP(M172,Check[],6,FALSE)</f>
        <v>902</v>
      </c>
      <c r="N174" s="199"/>
      <c r="O174" s="193">
        <f>VLOOKUP(O172,Check[],6,FALSE)</f>
        <v>903</v>
      </c>
      <c r="P174" s="193">
        <f>VLOOKUP(P172,Check[],6,FALSE)</f>
        <v>904</v>
      </c>
      <c r="Q174" s="199">
        <f>VLOOKUP(Q172,Check[],6,FALSE)</f>
        <v>905</v>
      </c>
      <c r="R174" s="199"/>
      <c r="S174" s="199">
        <f>VLOOKUP(S172,Check[],6,FALSE)</f>
        <v>906</v>
      </c>
      <c r="T174" s="199"/>
      <c r="U174" s="193">
        <f>VLOOKUP(U172,Check[],6,FALSE)</f>
        <v>907</v>
      </c>
      <c r="V174" s="199">
        <f>VLOOKUP(V172,Check[],6,FALSE)</f>
        <v>908</v>
      </c>
      <c r="W174" s="199"/>
      <c r="X174" s="199">
        <f>VLOOKUP(X172,Check[],6,FALSE)</f>
        <v>909</v>
      </c>
      <c r="Y174" s="199"/>
      <c r="Z174" s="199">
        <f>VLOOKUP(Z172,Check[],6,FALSE)</f>
        <v>910</v>
      </c>
      <c r="AA174" s="191"/>
      <c r="AB174" s="192"/>
      <c r="AC174" s="192"/>
      <c r="AD174" s="192"/>
      <c r="AE174" s="192"/>
      <c r="AF174" s="192"/>
      <c r="AG174" s="192"/>
      <c r="AH174" s="192"/>
      <c r="AI174" s="192"/>
      <c r="AJ174" s="192"/>
      <c r="AK174" s="192"/>
      <c r="AL174" s="192"/>
      <c r="AM174" s="192"/>
      <c r="AN174" s="215"/>
      <c r="AO174" s="221">
        <f>VLOOKUP(AO172,Check[],6,FALSE)</f>
        <v>902</v>
      </c>
      <c r="AP174" s="211">
        <f>VLOOKUP(AP172,Check[],6,FALSE)</f>
        <v>903</v>
      </c>
      <c r="AQ174" s="202"/>
      <c r="AR174" s="193">
        <f>VLOOKUP(AR172,Check[],6,FALSE)</f>
        <v>904</v>
      </c>
      <c r="AS174" s="193">
        <f>VLOOKUP(AS172,Check[],6,FALSE)</f>
        <v>905</v>
      </c>
      <c r="AT174" s="211">
        <f>VLOOKUP(AT172,Check[],6,FALSE)</f>
        <v>906</v>
      </c>
      <c r="AU174" s="202"/>
      <c r="AV174" s="211">
        <f>VLOOKUP(AV172,Check[],6,FALSE)</f>
        <v>907</v>
      </c>
      <c r="AW174" s="202"/>
      <c r="AX174" s="193">
        <f>VLOOKUP(AX172,Check[],6,FALSE)</f>
        <v>908</v>
      </c>
      <c r="AY174" s="211">
        <f>VLOOKUP(AY172,Check[],6,FALSE)</f>
        <v>909</v>
      </c>
      <c r="AZ174" s="202"/>
      <c r="BA174" s="211">
        <f>VLOOKUP(BA172,Check[],6,FALSE)</f>
        <v>910</v>
      </c>
      <c r="BB174" s="202"/>
      <c r="BC174" s="222">
        <f>VLOOKUP(BC172,Check[],6,FALSE)</f>
        <v>901</v>
      </c>
      <c r="BD174" s="218"/>
      <c r="BE174" s="203"/>
      <c r="BF174" s="203"/>
      <c r="BG174" s="218"/>
      <c r="BH174" s="1496"/>
      <c r="BI174" s="1496"/>
      <c r="BJ174" s="1496"/>
      <c r="BK174" s="205"/>
      <c r="BL174" s="366" t="s">
        <v>1</v>
      </c>
      <c r="BM174" s="198">
        <f t="shared" ref="BM174" si="1217">BM178+3.48</f>
        <v>37.839999999999996</v>
      </c>
      <c r="BN174" s="1778"/>
      <c r="BP174" s="197" t="s">
        <v>1</v>
      </c>
    </row>
    <row r="175" spans="1:68" s="110" customFormat="1" ht="21.95" customHeight="1" x14ac:dyDescent="0.45">
      <c r="A175" s="1711"/>
      <c r="B175" s="331" t="str">
        <f t="shared" ref="B175" si="1218">_xlfn.CONCAT("קומה ",B176)</f>
        <v>קומה 8</v>
      </c>
      <c r="C175" s="281" t="s">
        <v>0</v>
      </c>
      <c r="D175" s="117"/>
      <c r="E175" s="1494"/>
      <c r="F175" s="1494"/>
      <c r="G175" s="1494"/>
      <c r="H175" s="116"/>
      <c r="I175" s="116"/>
      <c r="J175" s="116"/>
      <c r="K175" s="116"/>
      <c r="L175" s="176">
        <f t="shared" ref="L175:M175" si="1219">L179+10</f>
        <v>61</v>
      </c>
      <c r="M175" s="112">
        <f t="shared" si="1219"/>
        <v>62</v>
      </c>
      <c r="N175" s="112"/>
      <c r="O175" s="159">
        <f t="shared" ref="O175:Q175" si="1220">O179+10</f>
        <v>63</v>
      </c>
      <c r="P175" s="159">
        <f t="shared" si="1220"/>
        <v>64</v>
      </c>
      <c r="Q175" s="112">
        <f t="shared" si="1220"/>
        <v>65</v>
      </c>
      <c r="R175" s="112"/>
      <c r="S175" s="112">
        <f t="shared" ref="S175" si="1221">S179+10</f>
        <v>66</v>
      </c>
      <c r="T175" s="112"/>
      <c r="U175" s="159">
        <f t="shared" ref="U175:V175" si="1222">U179+10</f>
        <v>67</v>
      </c>
      <c r="V175" s="112">
        <f t="shared" si="1222"/>
        <v>68</v>
      </c>
      <c r="W175" s="112"/>
      <c r="X175" s="112">
        <f t="shared" ref="X175" si="1223">X179+10</f>
        <v>69</v>
      </c>
      <c r="Y175" s="112"/>
      <c r="Z175" s="112">
        <f t="shared" si="1180"/>
        <v>70</v>
      </c>
      <c r="AA175" s="121"/>
      <c r="AB175" s="107"/>
      <c r="AC175" s="107"/>
      <c r="AD175" s="107"/>
      <c r="AE175" s="107"/>
      <c r="AF175" s="107"/>
      <c r="AG175" s="107"/>
      <c r="AH175" s="107"/>
      <c r="AI175" s="107"/>
      <c r="AJ175" s="107"/>
      <c r="AK175" s="107"/>
      <c r="AL175" s="107"/>
      <c r="AM175" s="107"/>
      <c r="AN175" s="137"/>
      <c r="AO175" s="177">
        <f t="shared" ref="AO175:AP175" si="1224">AO179+10</f>
        <v>63</v>
      </c>
      <c r="AP175" s="123">
        <f t="shared" si="1224"/>
        <v>64</v>
      </c>
      <c r="AQ175" s="115"/>
      <c r="AR175" s="159">
        <f t="shared" ref="AR175:AT175" si="1225">AR179+10</f>
        <v>65</v>
      </c>
      <c r="AS175" s="159">
        <f t="shared" si="1225"/>
        <v>66</v>
      </c>
      <c r="AT175" s="123">
        <f t="shared" si="1225"/>
        <v>67</v>
      </c>
      <c r="AU175" s="115"/>
      <c r="AV175" s="123">
        <f t="shared" ref="AV175" si="1226">AV179+10</f>
        <v>68</v>
      </c>
      <c r="AW175" s="115"/>
      <c r="AX175" s="159">
        <f t="shared" ref="AX175:BA175" si="1227">AX179+10</f>
        <v>59</v>
      </c>
      <c r="AY175" s="123">
        <f t="shared" ref="AY175" si="1228">AY179+10</f>
        <v>60</v>
      </c>
      <c r="AZ175" s="115"/>
      <c r="BA175" s="123">
        <f t="shared" si="1227"/>
        <v>61</v>
      </c>
      <c r="BB175" s="115"/>
      <c r="BC175" s="178">
        <f t="shared" ref="BC175" si="1229">BC179+10</f>
        <v>62</v>
      </c>
      <c r="BD175" s="163"/>
      <c r="BE175" s="116"/>
      <c r="BF175" s="116"/>
      <c r="BG175" s="163"/>
      <c r="BH175" s="1494"/>
      <c r="BI175" s="1494"/>
      <c r="BJ175" s="1494"/>
      <c r="BK175" s="119"/>
      <c r="BL175" s="364" t="s">
        <v>0</v>
      </c>
      <c r="BM175" s="331" t="str">
        <f t="shared" ref="BM175" si="1230">_xlfn.CONCAT("קומה ",BM176)</f>
        <v>קומה 8</v>
      </c>
      <c r="BN175" s="1777"/>
      <c r="BP175" s="111" t="s">
        <v>0</v>
      </c>
    </row>
    <row r="176" spans="1:68" s="52" customFormat="1" ht="9.9499999999999993" hidden="1" customHeight="1" x14ac:dyDescent="0.2">
      <c r="A176" s="1711"/>
      <c r="B176" s="332">
        <f t="shared" ref="B176" si="1231">B180+1</f>
        <v>8</v>
      </c>
      <c r="C176" s="281" t="s">
        <v>89</v>
      </c>
      <c r="D176" s="56"/>
      <c r="E176" s="1495"/>
      <c r="F176" s="1495"/>
      <c r="G176" s="1495"/>
      <c r="H176" s="55"/>
      <c r="I176" s="55"/>
      <c r="J176" s="55"/>
      <c r="K176" s="55"/>
      <c r="L176" s="66" t="str">
        <f>VLOOKUP("*"&amp;L$5&amp;".Ap."&amp;L175,Check[],1,FALSE)</f>
        <v>V.GMS.S.2A.TS.Ap.61</v>
      </c>
      <c r="M176" s="64" t="str">
        <f>VLOOKUP("*"&amp;M$5&amp;".Ap."&amp;M175,Check[],1,FALSE)</f>
        <v>S.S.2B.TS.Ap.62</v>
      </c>
      <c r="N176" s="64" t="str">
        <f t="shared" ref="N176" si="1232">M176</f>
        <v>S.S.2B.TS.Ap.62</v>
      </c>
      <c r="O176" s="64" t="str">
        <f>VLOOKUP("*"&amp;O$5&amp;".Ap."&amp;O175,Check[],1,FALSE)</f>
        <v>S.S.2C.TS.Ap.63</v>
      </c>
      <c r="P176" s="64" t="str">
        <f>VLOOKUP("*"&amp;P$5&amp;".Ap."&amp;P175,Check[],1,FALSE)</f>
        <v>O.S.3A.TS.Ap.64</v>
      </c>
      <c r="Q176" s="64" t="str">
        <f>VLOOKUP("*"&amp;Q$5&amp;".Ap."&amp;Q175,Check[],1,FALSE)</f>
        <v>O.S.2D.TS.Ap.65</v>
      </c>
      <c r="R176" s="64" t="str">
        <f t="shared" ref="R176" si="1233">Q176</f>
        <v>O.S.2D.TS.Ap.65</v>
      </c>
      <c r="S176" s="64" t="str">
        <f>VLOOKUP("*"&amp;S$5&amp;".Ap."&amp;S175,Check[],1,FALSE)</f>
        <v>S.S.2E.TS.Ap.66</v>
      </c>
      <c r="T176" s="64" t="str">
        <f t="shared" ref="T176" si="1234">S176</f>
        <v>S.S.2E.TS.Ap.66</v>
      </c>
      <c r="U176" s="64" t="str">
        <f>VLOOKUP("*"&amp;U$5&amp;".Ap."&amp;U175,Check[],1,FALSE)</f>
        <v>O.S.2F.TS.Ap.67</v>
      </c>
      <c r="V176" s="64" t="str">
        <f>VLOOKUP("*"&amp;V$5&amp;".Ap."&amp;V175,Check[],1,FALSE)</f>
        <v>O.S.4A.TS.Ap.68</v>
      </c>
      <c r="W176" s="64" t="str">
        <f t="shared" ref="W176" si="1235">V176</f>
        <v>O.S.4A.TS.Ap.68</v>
      </c>
      <c r="X176" s="64" t="str">
        <f>VLOOKUP("*"&amp;X$5&amp;".Ap."&amp;X175,Check[],1,FALSE)</f>
        <v>V.GMS.S.2G.TS.Ap.69</v>
      </c>
      <c r="Y176" s="64" t="str">
        <f t="shared" ref="Y176" si="1236">X176</f>
        <v>V.GMS.S.2G.TS.Ap.69</v>
      </c>
      <c r="Z176" s="64" t="str">
        <f>VLOOKUP("*"&amp;Z$5&amp;".Ap."&amp;Z175,Check[],1,FALSE)</f>
        <v>V.GMS.S.4B.TS.Ap.70</v>
      </c>
      <c r="AA176" s="65" t="str">
        <f t="shared" si="907"/>
        <v>V.GMS.S.4B.TS.Ap.70</v>
      </c>
      <c r="AB176" s="50"/>
      <c r="AC176" s="50"/>
      <c r="AD176" s="50"/>
      <c r="AE176" s="50"/>
      <c r="AF176" s="50"/>
      <c r="AG176" s="50"/>
      <c r="AH176" s="50"/>
      <c r="AI176" s="50"/>
      <c r="AJ176" s="50"/>
      <c r="AK176" s="50"/>
      <c r="AL176" s="50"/>
      <c r="AM176" s="50"/>
      <c r="AN176" s="61"/>
      <c r="AO176" s="74" t="str">
        <f>VLOOKUP("*"&amp;AO$5&amp;".Ap."&amp;AO175,Check[],1,FALSE)</f>
        <v>S.S.4B.TN.Ap.63</v>
      </c>
      <c r="AP176" s="72" t="str">
        <f>VLOOKUP("*"&amp;AP$5&amp;".Ap."&amp;AP175,Check[],1,FALSE)</f>
        <v>S.S.2G.TN.Ap.64</v>
      </c>
      <c r="AQ176" s="68" t="str">
        <f t="shared" ref="AQ176" si="1237">AP176</f>
        <v>S.S.2G.TN.Ap.64</v>
      </c>
      <c r="AR176" s="64" t="str">
        <f>VLOOKUP("*"&amp;AR$5&amp;".Ap."&amp;AR175,Check[],1,FALSE)</f>
        <v>S.S.4A.TN.Ap.65</v>
      </c>
      <c r="AS176" s="64" t="str">
        <f>VLOOKUP("*"&amp;AS$5&amp;".Ap."&amp;AS175,Check[],1,FALSE)</f>
        <v>O.S.2F.TN.Ap.66</v>
      </c>
      <c r="AT176" s="72" t="str">
        <f>VLOOKUP("*"&amp;AT$5&amp;".Ap."&amp;AT175,Check[],1,FALSE)</f>
        <v>S.S.2E.TN.Ap.67</v>
      </c>
      <c r="AU176" s="68" t="str">
        <f t="shared" ref="AU176" si="1238">AT176</f>
        <v>S.S.2E.TN.Ap.67</v>
      </c>
      <c r="AV176" s="72" t="str">
        <f>VLOOKUP("*"&amp;AV$5&amp;".Ap."&amp;AV175,Check[],1,FALSE)</f>
        <v>S.S.2D.TN.Ap.68</v>
      </c>
      <c r="AW176" s="68" t="str">
        <f t="shared" ref="AW176" si="1239">AV176</f>
        <v>S.S.2D.TN.Ap.68</v>
      </c>
      <c r="AX176" s="64" t="str">
        <f>VLOOKUP("*"&amp;AX$5&amp;".Ap."&amp;AX175,Check[],1,FALSE)</f>
        <v>S.S.3A.TN.Ap.59</v>
      </c>
      <c r="AY176" s="72" t="str">
        <f>VLOOKUP("*"&amp;AY$5&amp;".Ap."&amp;AY175,Check[],1,FALSE)</f>
        <v>S.S.2C.TN.Ap.60</v>
      </c>
      <c r="AZ176" s="68" t="str">
        <f t="shared" ref="AZ176" si="1240">AY176</f>
        <v>S.S.2C.TN.Ap.60</v>
      </c>
      <c r="BA176" s="72" t="str">
        <f>VLOOKUP("*"&amp;BA$5&amp;".Ap."&amp;BA175,Check[],1,FALSE)</f>
        <v>S.S.2B.TN.Ap.61</v>
      </c>
      <c r="BB176" s="68" t="str">
        <f t="shared" ref="BB176" si="1241">BA176</f>
        <v>S.S.2B.TN.Ap.61</v>
      </c>
      <c r="BC176" s="75" t="str">
        <f>VLOOKUP("*"&amp;BC$5&amp;".Ap."&amp;BC175,Check[],1,FALSE)</f>
        <v>S.S.2A.TN.Ap.62</v>
      </c>
      <c r="BD176" s="62"/>
      <c r="BE176" s="55"/>
      <c r="BF176" s="55"/>
      <c r="BG176" s="62"/>
      <c r="BH176" s="1495"/>
      <c r="BI176" s="1495"/>
      <c r="BJ176" s="1495"/>
      <c r="BK176" s="57"/>
      <c r="BL176" s="364" t="s">
        <v>89</v>
      </c>
      <c r="BM176" s="332">
        <f t="shared" ref="BM176" si="1242">BM180+1</f>
        <v>8</v>
      </c>
      <c r="BN176" s="1777"/>
      <c r="BP176" s="53" t="s">
        <v>89</v>
      </c>
    </row>
    <row r="177" spans="1:68" s="8" customFormat="1" ht="12" customHeight="1" x14ac:dyDescent="0.3">
      <c r="A177" s="1711"/>
      <c r="B177" s="333"/>
      <c r="C177" s="282" t="s">
        <v>65</v>
      </c>
      <c r="D177" s="25"/>
      <c r="E177" s="1495"/>
      <c r="F177" s="1495"/>
      <c r="G177" s="1495"/>
      <c r="H177" s="21"/>
      <c r="I177" s="21"/>
      <c r="J177" s="21"/>
      <c r="K177" s="21"/>
      <c r="L177" s="257">
        <f>VLOOKUP(L176,Check[],5,FALSE)</f>
        <v>61</v>
      </c>
      <c r="M177" s="237">
        <f>VLOOKUP(M176,Check[],5,FALSE)</f>
        <v>62</v>
      </c>
      <c r="N177" s="237"/>
      <c r="O177" s="248">
        <f>VLOOKUP(O176,Check[],5,FALSE)</f>
        <v>63</v>
      </c>
      <c r="P177" s="248">
        <f>VLOOKUP(P176,Check[],5,FALSE)</f>
        <v>64</v>
      </c>
      <c r="Q177" s="237">
        <f>VLOOKUP(Q176,Check[],5,FALSE)</f>
        <v>65</v>
      </c>
      <c r="R177" s="237"/>
      <c r="S177" s="237">
        <f>VLOOKUP(S176,Check[],5,FALSE)</f>
        <v>66</v>
      </c>
      <c r="T177" s="237"/>
      <c r="U177" s="248">
        <f>VLOOKUP(U176,Check[],5,FALSE)</f>
        <v>67</v>
      </c>
      <c r="V177" s="237">
        <f>VLOOKUP(V176,Check[],5,FALSE)</f>
        <v>68</v>
      </c>
      <c r="W177" s="237"/>
      <c r="X177" s="237">
        <f>VLOOKUP(X176,Check[],5,FALSE)</f>
        <v>69</v>
      </c>
      <c r="Y177" s="237"/>
      <c r="Z177" s="237">
        <f>VLOOKUP(Z176,Check[],5,FALSE)</f>
        <v>70</v>
      </c>
      <c r="AA177" s="233"/>
      <c r="AB177" s="19"/>
      <c r="AC177" s="19"/>
      <c r="AD177" s="19"/>
      <c r="AE177" s="19"/>
      <c r="AF177" s="19"/>
      <c r="AG177" s="19"/>
      <c r="AH177" s="19"/>
      <c r="AI177" s="19"/>
      <c r="AJ177" s="19"/>
      <c r="AK177" s="19"/>
      <c r="AL177" s="19"/>
      <c r="AM177" s="19"/>
      <c r="AN177" s="247"/>
      <c r="AO177" s="258">
        <f>VLOOKUP(AO176,Check[],5,FALSE)</f>
        <v>63</v>
      </c>
      <c r="AP177" s="243">
        <f>VLOOKUP(AP176,Check[],5,FALSE)</f>
        <v>64</v>
      </c>
      <c r="AQ177" s="240"/>
      <c r="AR177" s="248">
        <f>VLOOKUP(AR176,Check[],5,FALSE)</f>
        <v>65</v>
      </c>
      <c r="AS177" s="248">
        <f>VLOOKUP(AS176,Check[],5,FALSE)</f>
        <v>66</v>
      </c>
      <c r="AT177" s="243">
        <f>VLOOKUP(AT176,Check[],5,FALSE)</f>
        <v>67</v>
      </c>
      <c r="AU177" s="240"/>
      <c r="AV177" s="243">
        <f>VLOOKUP(AV176,Check[],5,FALSE)</f>
        <v>68</v>
      </c>
      <c r="AW177" s="240"/>
      <c r="AX177" s="248">
        <f>VLOOKUP(AX176,Check[],5,FALSE)</f>
        <v>59</v>
      </c>
      <c r="AY177" s="243">
        <f>VLOOKUP(AY176,Check[],5,FALSE)</f>
        <v>60</v>
      </c>
      <c r="AZ177" s="240"/>
      <c r="BA177" s="243">
        <f>VLOOKUP(BA176,Check[],5,FALSE)</f>
        <v>61</v>
      </c>
      <c r="BB177" s="240"/>
      <c r="BC177" s="259">
        <f>VLOOKUP(BC176,Check[],5,FALSE)</f>
        <v>62</v>
      </c>
      <c r="BD177" s="37"/>
      <c r="BE177" s="21"/>
      <c r="BF177" s="21"/>
      <c r="BG177" s="37"/>
      <c r="BH177" s="1495"/>
      <c r="BI177" s="1495"/>
      <c r="BJ177" s="1495"/>
      <c r="BK177" s="31"/>
      <c r="BL177" s="365" t="s">
        <v>65</v>
      </c>
      <c r="BM177" s="333"/>
      <c r="BN177" s="1777"/>
      <c r="BP177" s="236" t="s">
        <v>1078</v>
      </c>
    </row>
    <row r="178" spans="1:68" s="196" customFormat="1" ht="15" customHeight="1" thickBot="1" x14ac:dyDescent="0.4">
      <c r="A178" s="1712"/>
      <c r="B178" s="198">
        <f t="shared" ref="B178" si="1243">B182+3.48</f>
        <v>34.36</v>
      </c>
      <c r="C178" s="283" t="s">
        <v>1</v>
      </c>
      <c r="D178" s="204"/>
      <c r="E178" s="1496"/>
      <c r="F178" s="1496"/>
      <c r="G178" s="1496"/>
      <c r="H178" s="203"/>
      <c r="I178" s="203"/>
      <c r="J178" s="203"/>
      <c r="K178" s="203"/>
      <c r="L178" s="220">
        <f>VLOOKUP(L176,Check[],6,FALSE)</f>
        <v>801</v>
      </c>
      <c r="M178" s="199">
        <f>VLOOKUP(M176,Check[],6,FALSE)</f>
        <v>802</v>
      </c>
      <c r="N178" s="199"/>
      <c r="O178" s="193">
        <f>VLOOKUP(O176,Check[],6,FALSE)</f>
        <v>803</v>
      </c>
      <c r="P178" s="193">
        <f>VLOOKUP(P176,Check[],6,FALSE)</f>
        <v>804</v>
      </c>
      <c r="Q178" s="199">
        <f>VLOOKUP(Q176,Check[],6,FALSE)</f>
        <v>805</v>
      </c>
      <c r="R178" s="199"/>
      <c r="S178" s="199">
        <f>VLOOKUP(S176,Check[],6,FALSE)</f>
        <v>806</v>
      </c>
      <c r="T178" s="199"/>
      <c r="U178" s="193">
        <f>VLOOKUP(U176,Check[],6,FALSE)</f>
        <v>807</v>
      </c>
      <c r="V178" s="199">
        <f>VLOOKUP(V176,Check[],6,FALSE)</f>
        <v>808</v>
      </c>
      <c r="W178" s="199"/>
      <c r="X178" s="199">
        <f>VLOOKUP(X176,Check[],6,FALSE)</f>
        <v>809</v>
      </c>
      <c r="Y178" s="199"/>
      <c r="Z178" s="199">
        <f>VLOOKUP(Z176,Check[],6,FALSE)</f>
        <v>810</v>
      </c>
      <c r="AA178" s="191"/>
      <c r="AB178" s="192"/>
      <c r="AC178" s="192"/>
      <c r="AD178" s="192"/>
      <c r="AE178" s="192"/>
      <c r="AF178" s="192"/>
      <c r="AG178" s="192"/>
      <c r="AH178" s="192"/>
      <c r="AI178" s="192"/>
      <c r="AJ178" s="192"/>
      <c r="AK178" s="192"/>
      <c r="AL178" s="192"/>
      <c r="AM178" s="192"/>
      <c r="AN178" s="215"/>
      <c r="AO178" s="221">
        <f>VLOOKUP(AO176,Check[],6,FALSE)</f>
        <v>802</v>
      </c>
      <c r="AP178" s="211">
        <f>VLOOKUP(AP176,Check[],6,FALSE)</f>
        <v>803</v>
      </c>
      <c r="AQ178" s="202"/>
      <c r="AR178" s="193">
        <f>VLOOKUP(AR176,Check[],6,FALSE)</f>
        <v>804</v>
      </c>
      <c r="AS178" s="193">
        <f>VLOOKUP(AS176,Check[],6,FALSE)</f>
        <v>805</v>
      </c>
      <c r="AT178" s="211">
        <f>VLOOKUP(AT176,Check[],6,FALSE)</f>
        <v>806</v>
      </c>
      <c r="AU178" s="202"/>
      <c r="AV178" s="211">
        <f>VLOOKUP(AV176,Check[],6,FALSE)</f>
        <v>807</v>
      </c>
      <c r="AW178" s="202"/>
      <c r="AX178" s="193">
        <f>VLOOKUP(AX176,Check[],6,FALSE)</f>
        <v>808</v>
      </c>
      <c r="AY178" s="211">
        <f>VLOOKUP(AY176,Check[],6,FALSE)</f>
        <v>809</v>
      </c>
      <c r="AZ178" s="202"/>
      <c r="BA178" s="211">
        <f>VLOOKUP(BA176,Check[],6,FALSE)</f>
        <v>810</v>
      </c>
      <c r="BB178" s="202"/>
      <c r="BC178" s="222">
        <f>VLOOKUP(BC176,Check[],6,FALSE)</f>
        <v>801</v>
      </c>
      <c r="BD178" s="218"/>
      <c r="BE178" s="203"/>
      <c r="BF178" s="203"/>
      <c r="BG178" s="218"/>
      <c r="BH178" s="1496"/>
      <c r="BI178" s="1496"/>
      <c r="BJ178" s="1496"/>
      <c r="BK178" s="205"/>
      <c r="BL178" s="366" t="s">
        <v>1</v>
      </c>
      <c r="BM178" s="198">
        <f t="shared" ref="BM178" si="1244">BM182+3.48</f>
        <v>34.36</v>
      </c>
      <c r="BN178" s="1778"/>
      <c r="BP178" s="197" t="s">
        <v>1</v>
      </c>
    </row>
    <row r="179" spans="1:68" s="110" customFormat="1" ht="21.95" customHeight="1" x14ac:dyDescent="0.45">
      <c r="A179" s="1711"/>
      <c r="B179" s="331" t="str">
        <f t="shared" ref="B179" si="1245">_xlfn.CONCAT("קומה ",B180)</f>
        <v>קומה 7</v>
      </c>
      <c r="C179" s="281" t="s">
        <v>0</v>
      </c>
      <c r="D179" s="117"/>
      <c r="E179" s="1491" t="s">
        <v>1076</v>
      </c>
      <c r="F179" s="1491" t="s">
        <v>1076</v>
      </c>
      <c r="G179" s="1491" t="s">
        <v>1076</v>
      </c>
      <c r="H179" s="116"/>
      <c r="I179" s="116"/>
      <c r="J179" s="116"/>
      <c r="K179" s="116"/>
      <c r="L179" s="176">
        <f t="shared" ref="L179:M179" si="1246">L183+10</f>
        <v>51</v>
      </c>
      <c r="M179" s="112">
        <f t="shared" si="1246"/>
        <v>52</v>
      </c>
      <c r="N179" s="112"/>
      <c r="O179" s="159">
        <f t="shared" ref="O179:Q179" si="1247">O183+10</f>
        <v>53</v>
      </c>
      <c r="P179" s="159">
        <f t="shared" si="1247"/>
        <v>54</v>
      </c>
      <c r="Q179" s="112">
        <f t="shared" si="1247"/>
        <v>55</v>
      </c>
      <c r="R179" s="112"/>
      <c r="S179" s="112">
        <f t="shared" ref="S179" si="1248">S183+10</f>
        <v>56</v>
      </c>
      <c r="T179" s="112"/>
      <c r="U179" s="159">
        <f t="shared" ref="U179:V179" si="1249">U183+10</f>
        <v>57</v>
      </c>
      <c r="V179" s="112">
        <f t="shared" si="1249"/>
        <v>58</v>
      </c>
      <c r="W179" s="112"/>
      <c r="X179" s="112">
        <f t="shared" ref="X179" si="1250">X183+10</f>
        <v>59</v>
      </c>
      <c r="Y179" s="112"/>
      <c r="Z179" s="112">
        <f t="shared" si="1180"/>
        <v>60</v>
      </c>
      <c r="AA179" s="121"/>
      <c r="AB179" s="107"/>
      <c r="AC179" s="107"/>
      <c r="AD179" s="107"/>
      <c r="AE179" s="107"/>
      <c r="AF179" s="107"/>
      <c r="AG179" s="107"/>
      <c r="AH179" s="107"/>
      <c r="AI179" s="107"/>
      <c r="AJ179" s="107"/>
      <c r="AK179" s="107"/>
      <c r="AL179" s="107"/>
      <c r="AM179" s="107"/>
      <c r="AN179" s="137"/>
      <c r="AO179" s="177">
        <f t="shared" ref="AO179:AP179" si="1251">AO183+10</f>
        <v>53</v>
      </c>
      <c r="AP179" s="123">
        <f t="shared" si="1251"/>
        <v>54</v>
      </c>
      <c r="AQ179" s="115"/>
      <c r="AR179" s="159">
        <f t="shared" ref="AR179:AT179" si="1252">AR183+10</f>
        <v>55</v>
      </c>
      <c r="AS179" s="159">
        <f t="shared" si="1252"/>
        <v>56</v>
      </c>
      <c r="AT179" s="123">
        <f t="shared" si="1252"/>
        <v>57</v>
      </c>
      <c r="AU179" s="115"/>
      <c r="AV179" s="123">
        <f t="shared" ref="AV179" si="1253">AV183+10</f>
        <v>58</v>
      </c>
      <c r="AW179" s="115"/>
      <c r="AX179" s="159">
        <f t="shared" ref="AX179:BA179" si="1254">AX183+10</f>
        <v>49</v>
      </c>
      <c r="AY179" s="123">
        <f t="shared" ref="AY179" si="1255">AY183+10</f>
        <v>50</v>
      </c>
      <c r="AZ179" s="115"/>
      <c r="BA179" s="123">
        <f t="shared" si="1254"/>
        <v>51</v>
      </c>
      <c r="BB179" s="115"/>
      <c r="BC179" s="178">
        <f t="shared" ref="BC179" si="1256">BC183+10</f>
        <v>52</v>
      </c>
      <c r="BD179" s="163"/>
      <c r="BE179" s="116"/>
      <c r="BF179" s="116"/>
      <c r="BG179" s="163"/>
      <c r="BH179" s="1491" t="s">
        <v>1076</v>
      </c>
      <c r="BI179" s="1491" t="s">
        <v>1076</v>
      </c>
      <c r="BJ179" s="1491" t="s">
        <v>1076</v>
      </c>
      <c r="BK179" s="119"/>
      <c r="BL179" s="364" t="s">
        <v>0</v>
      </c>
      <c r="BM179" s="331" t="str">
        <f t="shared" ref="BM179" si="1257">_xlfn.CONCAT("קומה ",BM180)</f>
        <v>קומה 7</v>
      </c>
      <c r="BN179" s="1777"/>
      <c r="BP179" s="111" t="s">
        <v>0</v>
      </c>
    </row>
    <row r="180" spans="1:68" s="52" customFormat="1" ht="9.9499999999999993" hidden="1" customHeight="1" x14ac:dyDescent="0.2">
      <c r="A180" s="1711"/>
      <c r="B180" s="332">
        <f t="shared" ref="B180" si="1258">B184+1</f>
        <v>7</v>
      </c>
      <c r="C180" s="281" t="s">
        <v>89</v>
      </c>
      <c r="D180" s="56"/>
      <c r="E180" s="1492"/>
      <c r="F180" s="1492"/>
      <c r="G180" s="1492"/>
      <c r="H180" s="55"/>
      <c r="I180" s="55"/>
      <c r="J180" s="55"/>
      <c r="K180" s="55"/>
      <c r="L180" s="66" t="str">
        <f>VLOOKUP("*"&amp;L$5&amp;".Ap."&amp;L179,Check[],1,FALSE)</f>
        <v>S.S.2A.TS.Ap.51</v>
      </c>
      <c r="M180" s="64" t="str">
        <f>VLOOKUP("*"&amp;M$5&amp;".Ap."&amp;M179,Check[],1,FALSE)</f>
        <v>S.S.2B.TS.Ap.52</v>
      </c>
      <c r="N180" s="64" t="str">
        <f t="shared" ref="N180" si="1259">M180</f>
        <v>S.S.2B.TS.Ap.52</v>
      </c>
      <c r="O180" s="64" t="str">
        <f>VLOOKUP("*"&amp;O$5&amp;".Ap."&amp;O179,Check[],1,FALSE)</f>
        <v>S.S.2C.TS.Ap.53</v>
      </c>
      <c r="P180" s="64" t="str">
        <f>VLOOKUP("*"&amp;P$5&amp;".Ap."&amp;P179,Check[],1,FALSE)</f>
        <v>O.S.3A.TS.Ap.54</v>
      </c>
      <c r="Q180" s="64" t="str">
        <f>VLOOKUP("*"&amp;Q$5&amp;".Ap."&amp;Q179,Check[],1,FALSE)</f>
        <v>S.S.2D.TS.Ap.55</v>
      </c>
      <c r="R180" s="64" t="str">
        <f t="shared" ref="R180" si="1260">Q180</f>
        <v>S.S.2D.TS.Ap.55</v>
      </c>
      <c r="S180" s="64" t="str">
        <f>VLOOKUP("*"&amp;S$5&amp;".Ap."&amp;S179,Check[],1,FALSE)</f>
        <v>S.S.2E.TS.Ap.56</v>
      </c>
      <c r="T180" s="64" t="str">
        <f t="shared" ref="T180" si="1261">S180</f>
        <v>S.S.2E.TS.Ap.56</v>
      </c>
      <c r="U180" s="64" t="str">
        <f>VLOOKUP("*"&amp;U$5&amp;".Ap."&amp;U179,Check[],1,FALSE)</f>
        <v>S.S.2F.TS.Ap.57</v>
      </c>
      <c r="V180" s="64" t="str">
        <f>VLOOKUP("*"&amp;V$5&amp;".Ap."&amp;V179,Check[],1,FALSE)</f>
        <v>V.GMS.S.4A.TS.Ap.58</v>
      </c>
      <c r="W180" s="64" t="str">
        <f t="shared" ref="W180" si="1262">V180</f>
        <v>V.GMS.S.4A.TS.Ap.58</v>
      </c>
      <c r="X180" s="64" t="str">
        <f>VLOOKUP("*"&amp;X$5&amp;".Ap."&amp;X179,Check[],1,FALSE)</f>
        <v>V.GMS.S.2G.TS.Ap.59</v>
      </c>
      <c r="Y180" s="64" t="str">
        <f t="shared" ref="Y180" si="1263">X180</f>
        <v>V.GMS.S.2G.TS.Ap.59</v>
      </c>
      <c r="Z180" s="64" t="str">
        <f>VLOOKUP("*"&amp;Z$5&amp;".Ap."&amp;Z179,Check[],1,FALSE)</f>
        <v>V.GMS.S.4B.TS.Ap.60</v>
      </c>
      <c r="AA180" s="65" t="str">
        <f t="shared" si="907"/>
        <v>V.GMS.S.4B.TS.Ap.60</v>
      </c>
      <c r="AB180" s="50"/>
      <c r="AC180" s="50"/>
      <c r="AD180" s="50"/>
      <c r="AE180" s="50"/>
      <c r="AF180" s="50"/>
      <c r="AG180" s="50"/>
      <c r="AH180" s="50"/>
      <c r="AI180" s="50"/>
      <c r="AJ180" s="50"/>
      <c r="AK180" s="50"/>
      <c r="AL180" s="50"/>
      <c r="AM180" s="50"/>
      <c r="AN180" s="61"/>
      <c r="AO180" s="74" t="str">
        <f>VLOOKUP("*"&amp;AO$5&amp;".Ap."&amp;AO179,Check[],1,FALSE)</f>
        <v>S.S.4B.TN.Ap.53</v>
      </c>
      <c r="AP180" s="72" t="str">
        <f>VLOOKUP("*"&amp;AP$5&amp;".Ap."&amp;AP179,Check[],1,FALSE)</f>
        <v>S.S.2G.TN.Ap.54</v>
      </c>
      <c r="AQ180" s="68" t="str">
        <f t="shared" ref="AQ180" si="1264">AP180</f>
        <v>S.S.2G.TN.Ap.54</v>
      </c>
      <c r="AR180" s="64" t="str">
        <f>VLOOKUP("*"&amp;AR$5&amp;".Ap."&amp;AR179,Check[],1,FALSE)</f>
        <v>S.S.4A.TN.Ap.55</v>
      </c>
      <c r="AS180" s="64" t="str">
        <f>VLOOKUP("*"&amp;AS$5&amp;".Ap."&amp;AS179,Check[],1,FALSE)</f>
        <v>S.S.2F.TN.Ap.56</v>
      </c>
      <c r="AT180" s="72" t="str">
        <f>VLOOKUP("*"&amp;AT$5&amp;".Ap."&amp;AT179,Check[],1,FALSE)</f>
        <v>S.S.2E.TN.Ap.57</v>
      </c>
      <c r="AU180" s="68" t="str">
        <f t="shared" ref="AU180" si="1265">AT180</f>
        <v>S.S.2E.TN.Ap.57</v>
      </c>
      <c r="AV180" s="72" t="str">
        <f>VLOOKUP("*"&amp;AV$5&amp;".Ap."&amp;AV179,Check[],1,FALSE)</f>
        <v>S.S.2D.TN.Ap.58</v>
      </c>
      <c r="AW180" s="68" t="str">
        <f t="shared" ref="AW180" si="1266">AV180</f>
        <v>S.S.2D.TN.Ap.58</v>
      </c>
      <c r="AX180" s="64" t="str">
        <f>VLOOKUP("*"&amp;AX$5&amp;".Ap."&amp;AX179,Check[],1,FALSE)</f>
        <v>S.S.3A.TN.Ap.49</v>
      </c>
      <c r="AY180" s="72" t="str">
        <f>VLOOKUP("*"&amp;AY$5&amp;".Ap."&amp;AY179,Check[],1,FALSE)</f>
        <v>S.S.2C.TN.Ap.50</v>
      </c>
      <c r="AZ180" s="68" t="str">
        <f t="shared" ref="AZ180" si="1267">AY180</f>
        <v>S.S.2C.TN.Ap.50</v>
      </c>
      <c r="BA180" s="72" t="str">
        <f>VLOOKUP("*"&amp;BA$5&amp;".Ap."&amp;BA179,Check[],1,FALSE)</f>
        <v>S.S.2B.TN.Ap.51</v>
      </c>
      <c r="BB180" s="68" t="str">
        <f t="shared" ref="BB180" si="1268">BA180</f>
        <v>S.S.2B.TN.Ap.51</v>
      </c>
      <c r="BC180" s="75" t="str">
        <f>VLOOKUP("*"&amp;BC$5&amp;".Ap."&amp;BC179,Check[],1,FALSE)</f>
        <v>S.S.2A.TN.Ap.52</v>
      </c>
      <c r="BD180" s="62"/>
      <c r="BE180" s="55"/>
      <c r="BF180" s="55"/>
      <c r="BG180" s="62"/>
      <c r="BH180" s="1492"/>
      <c r="BI180" s="1492"/>
      <c r="BJ180" s="1492"/>
      <c r="BK180" s="57"/>
      <c r="BL180" s="364" t="s">
        <v>89</v>
      </c>
      <c r="BM180" s="332">
        <f t="shared" ref="BM180" si="1269">BM184+1</f>
        <v>7</v>
      </c>
      <c r="BN180" s="1777"/>
      <c r="BP180" s="53" t="s">
        <v>89</v>
      </c>
    </row>
    <row r="181" spans="1:68" s="8" customFormat="1" ht="12" customHeight="1" x14ac:dyDescent="0.3">
      <c r="A181" s="1711"/>
      <c r="B181" s="333"/>
      <c r="C181" s="282" t="s">
        <v>65</v>
      </c>
      <c r="D181" s="25"/>
      <c r="E181" s="1492"/>
      <c r="F181" s="1492"/>
      <c r="G181" s="1492"/>
      <c r="H181" s="21"/>
      <c r="I181" s="21"/>
      <c r="J181" s="21"/>
      <c r="K181" s="21"/>
      <c r="L181" s="257">
        <f>VLOOKUP(L180,Check[],5,FALSE)</f>
        <v>51</v>
      </c>
      <c r="M181" s="237">
        <f>VLOOKUP(M180,Check[],5,FALSE)</f>
        <v>52</v>
      </c>
      <c r="N181" s="237"/>
      <c r="O181" s="248">
        <f>VLOOKUP(O180,Check[],5,FALSE)</f>
        <v>53</v>
      </c>
      <c r="P181" s="248">
        <f>VLOOKUP(P180,Check[],5,FALSE)</f>
        <v>54</v>
      </c>
      <c r="Q181" s="237">
        <f>VLOOKUP(Q180,Check[],5,FALSE)</f>
        <v>55</v>
      </c>
      <c r="R181" s="237"/>
      <c r="S181" s="237">
        <f>VLOOKUP(S180,Check[],5,FALSE)</f>
        <v>56</v>
      </c>
      <c r="T181" s="237"/>
      <c r="U181" s="248">
        <f>VLOOKUP(U180,Check[],5,FALSE)</f>
        <v>57</v>
      </c>
      <c r="V181" s="237">
        <f>VLOOKUP(V180,Check[],5,FALSE)</f>
        <v>58</v>
      </c>
      <c r="W181" s="237"/>
      <c r="X181" s="237">
        <f>VLOOKUP(X180,Check[],5,FALSE)</f>
        <v>59</v>
      </c>
      <c r="Y181" s="237"/>
      <c r="Z181" s="237">
        <f>VLOOKUP(Z180,Check[],5,FALSE)</f>
        <v>60</v>
      </c>
      <c r="AA181" s="233"/>
      <c r="AB181" s="19"/>
      <c r="AC181" s="19"/>
      <c r="AD181" s="19"/>
      <c r="AE181" s="19"/>
      <c r="AF181" s="19"/>
      <c r="AG181" s="19"/>
      <c r="AH181" s="19"/>
      <c r="AI181" s="19"/>
      <c r="AJ181" s="19"/>
      <c r="AK181" s="19"/>
      <c r="AL181" s="19"/>
      <c r="AM181" s="19"/>
      <c r="AN181" s="247"/>
      <c r="AO181" s="258">
        <f>VLOOKUP(AO180,Check[],5,FALSE)</f>
        <v>53</v>
      </c>
      <c r="AP181" s="243">
        <f>VLOOKUP(AP180,Check[],5,FALSE)</f>
        <v>54</v>
      </c>
      <c r="AQ181" s="240"/>
      <c r="AR181" s="248">
        <f>VLOOKUP(AR180,Check[],5,FALSE)</f>
        <v>55</v>
      </c>
      <c r="AS181" s="248">
        <f>VLOOKUP(AS180,Check[],5,FALSE)</f>
        <v>56</v>
      </c>
      <c r="AT181" s="243">
        <f>VLOOKUP(AT180,Check[],5,FALSE)</f>
        <v>57</v>
      </c>
      <c r="AU181" s="240"/>
      <c r="AV181" s="243">
        <f>VLOOKUP(AV180,Check[],5,FALSE)</f>
        <v>58</v>
      </c>
      <c r="AW181" s="240"/>
      <c r="AX181" s="248">
        <f>VLOOKUP(AX180,Check[],5,FALSE)</f>
        <v>49</v>
      </c>
      <c r="AY181" s="243">
        <f>VLOOKUP(AY180,Check[],5,FALSE)</f>
        <v>50</v>
      </c>
      <c r="AZ181" s="240"/>
      <c r="BA181" s="243">
        <f>VLOOKUP(BA180,Check[],5,FALSE)</f>
        <v>51</v>
      </c>
      <c r="BB181" s="240"/>
      <c r="BC181" s="259">
        <f>VLOOKUP(BC180,Check[],5,FALSE)</f>
        <v>52</v>
      </c>
      <c r="BD181" s="37"/>
      <c r="BE181" s="21"/>
      <c r="BF181" s="21"/>
      <c r="BG181" s="37"/>
      <c r="BH181" s="1492"/>
      <c r="BI181" s="1492"/>
      <c r="BJ181" s="1492"/>
      <c r="BK181" s="31"/>
      <c r="BL181" s="365" t="s">
        <v>65</v>
      </c>
      <c r="BM181" s="333"/>
      <c r="BN181" s="1777"/>
      <c r="BP181" s="236" t="s">
        <v>1078</v>
      </c>
    </row>
    <row r="182" spans="1:68" s="196" customFormat="1" ht="15" customHeight="1" thickBot="1" x14ac:dyDescent="0.4">
      <c r="A182" s="1712"/>
      <c r="B182" s="198">
        <f t="shared" ref="B182" si="1270">B186+3.48</f>
        <v>30.880000000000003</v>
      </c>
      <c r="C182" s="283" t="s">
        <v>1</v>
      </c>
      <c r="D182" s="204"/>
      <c r="E182" s="1493"/>
      <c r="F182" s="1493"/>
      <c r="G182" s="1493"/>
      <c r="H182" s="203"/>
      <c r="I182" s="203"/>
      <c r="J182" s="203"/>
      <c r="K182" s="203"/>
      <c r="L182" s="220">
        <f>VLOOKUP(L180,Check[],6,FALSE)</f>
        <v>701</v>
      </c>
      <c r="M182" s="199">
        <f>VLOOKUP(M180,Check[],6,FALSE)</f>
        <v>702</v>
      </c>
      <c r="N182" s="199"/>
      <c r="O182" s="193">
        <f>VLOOKUP(O180,Check[],6,FALSE)</f>
        <v>703</v>
      </c>
      <c r="P182" s="193">
        <f>VLOOKUP(P180,Check[],6,FALSE)</f>
        <v>704</v>
      </c>
      <c r="Q182" s="199">
        <f>VLOOKUP(Q180,Check[],6,FALSE)</f>
        <v>705</v>
      </c>
      <c r="R182" s="199"/>
      <c r="S182" s="199">
        <f>VLOOKUP(S180,Check[],6,FALSE)</f>
        <v>706</v>
      </c>
      <c r="T182" s="199"/>
      <c r="U182" s="193">
        <f>VLOOKUP(U180,Check[],6,FALSE)</f>
        <v>707</v>
      </c>
      <c r="V182" s="199">
        <f>VLOOKUP(V180,Check[],6,FALSE)</f>
        <v>708</v>
      </c>
      <c r="W182" s="199"/>
      <c r="X182" s="199">
        <f>VLOOKUP(X180,Check[],6,FALSE)</f>
        <v>709</v>
      </c>
      <c r="Y182" s="199"/>
      <c r="Z182" s="199">
        <f>VLOOKUP(Z180,Check[],6,FALSE)</f>
        <v>710</v>
      </c>
      <c r="AA182" s="191"/>
      <c r="AB182" s="192"/>
      <c r="AC182" s="192"/>
      <c r="AD182" s="192"/>
      <c r="AE182" s="192"/>
      <c r="AF182" s="192"/>
      <c r="AG182" s="192"/>
      <c r="AH182" s="192"/>
      <c r="AI182" s="192"/>
      <c r="AJ182" s="192"/>
      <c r="AK182" s="192"/>
      <c r="AL182" s="192"/>
      <c r="AM182" s="192"/>
      <c r="AN182" s="215"/>
      <c r="AO182" s="221">
        <f>VLOOKUP(AO180,Check[],6,FALSE)</f>
        <v>702</v>
      </c>
      <c r="AP182" s="211">
        <f>VLOOKUP(AP180,Check[],6,FALSE)</f>
        <v>703</v>
      </c>
      <c r="AQ182" s="202"/>
      <c r="AR182" s="193">
        <f>VLOOKUP(AR180,Check[],6,FALSE)</f>
        <v>704</v>
      </c>
      <c r="AS182" s="193">
        <f>VLOOKUP(AS180,Check[],6,FALSE)</f>
        <v>705</v>
      </c>
      <c r="AT182" s="211">
        <f>VLOOKUP(AT180,Check[],6,FALSE)</f>
        <v>706</v>
      </c>
      <c r="AU182" s="202"/>
      <c r="AV182" s="211">
        <f>VLOOKUP(AV180,Check[],6,FALSE)</f>
        <v>707</v>
      </c>
      <c r="AW182" s="202"/>
      <c r="AX182" s="193">
        <f>VLOOKUP(AX180,Check[],6,FALSE)</f>
        <v>708</v>
      </c>
      <c r="AY182" s="211">
        <f>VLOOKUP(AY180,Check[],6,FALSE)</f>
        <v>709</v>
      </c>
      <c r="AZ182" s="202"/>
      <c r="BA182" s="211">
        <f>VLOOKUP(BA180,Check[],6,FALSE)</f>
        <v>710</v>
      </c>
      <c r="BB182" s="202"/>
      <c r="BC182" s="222">
        <f>VLOOKUP(BC180,Check[],6,FALSE)</f>
        <v>701</v>
      </c>
      <c r="BD182" s="218"/>
      <c r="BE182" s="203"/>
      <c r="BF182" s="203"/>
      <c r="BG182" s="218"/>
      <c r="BH182" s="1493"/>
      <c r="BI182" s="1493"/>
      <c r="BJ182" s="1493"/>
      <c r="BK182" s="205"/>
      <c r="BL182" s="366" t="s">
        <v>1</v>
      </c>
      <c r="BM182" s="198">
        <f t="shared" ref="BM182" si="1271">BM186+3.48</f>
        <v>30.880000000000003</v>
      </c>
      <c r="BN182" s="1778"/>
      <c r="BP182" s="197" t="s">
        <v>1</v>
      </c>
    </row>
    <row r="183" spans="1:68" s="110" customFormat="1" ht="21.95" customHeight="1" x14ac:dyDescent="0.45">
      <c r="A183" s="1711"/>
      <c r="B183" s="331" t="str">
        <f t="shared" ref="B183" si="1272">_xlfn.CONCAT("קומה ",B184)</f>
        <v>קומה 6</v>
      </c>
      <c r="C183" s="281" t="s">
        <v>0</v>
      </c>
      <c r="D183" s="117"/>
      <c r="E183" s="1494"/>
      <c r="F183" s="1494"/>
      <c r="G183" s="1494"/>
      <c r="H183" s="116"/>
      <c r="I183" s="116"/>
      <c r="J183" s="116"/>
      <c r="K183" s="116"/>
      <c r="L183" s="176">
        <f t="shared" ref="L183:M183" si="1273">L187+10</f>
        <v>41</v>
      </c>
      <c r="M183" s="112">
        <f t="shared" si="1273"/>
        <v>42</v>
      </c>
      <c r="N183" s="112"/>
      <c r="O183" s="159">
        <f t="shared" ref="O183:Q183" si="1274">O187+10</f>
        <v>43</v>
      </c>
      <c r="P183" s="159">
        <f t="shared" si="1274"/>
        <v>44</v>
      </c>
      <c r="Q183" s="112">
        <f t="shared" si="1274"/>
        <v>45</v>
      </c>
      <c r="R183" s="112"/>
      <c r="S183" s="112">
        <f t="shared" ref="S183" si="1275">S187+10</f>
        <v>46</v>
      </c>
      <c r="T183" s="112"/>
      <c r="U183" s="159">
        <f t="shared" ref="U183:V183" si="1276">U187+10</f>
        <v>47</v>
      </c>
      <c r="V183" s="112">
        <f t="shared" si="1276"/>
        <v>48</v>
      </c>
      <c r="W183" s="112"/>
      <c r="X183" s="112">
        <f t="shared" ref="X183" si="1277">X187+10</f>
        <v>49</v>
      </c>
      <c r="Y183" s="112"/>
      <c r="Z183" s="112">
        <f t="shared" si="1180"/>
        <v>50</v>
      </c>
      <c r="AA183" s="121"/>
      <c r="AB183" s="1455" t="s">
        <v>1073</v>
      </c>
      <c r="AC183" s="107"/>
      <c r="AD183" s="107"/>
      <c r="AE183" s="107"/>
      <c r="AF183" s="107"/>
      <c r="AG183" s="107"/>
      <c r="AH183" s="107"/>
      <c r="AI183" s="107"/>
      <c r="AJ183" s="107"/>
      <c r="AK183" s="107"/>
      <c r="AL183" s="107"/>
      <c r="AM183" s="107"/>
      <c r="AN183" s="1457" t="s">
        <v>1073</v>
      </c>
      <c r="AO183" s="177">
        <f t="shared" ref="AO183:AP183" si="1278">AO187+10</f>
        <v>43</v>
      </c>
      <c r="AP183" s="123">
        <f t="shared" si="1278"/>
        <v>44</v>
      </c>
      <c r="AQ183" s="115"/>
      <c r="AR183" s="159">
        <f t="shared" ref="AR183:AT183" si="1279">AR187+10</f>
        <v>45</v>
      </c>
      <c r="AS183" s="159">
        <f t="shared" si="1279"/>
        <v>46</v>
      </c>
      <c r="AT183" s="123">
        <f t="shared" si="1279"/>
        <v>47</v>
      </c>
      <c r="AU183" s="115"/>
      <c r="AV183" s="123">
        <f t="shared" ref="AV183" si="1280">AV187+10</f>
        <v>48</v>
      </c>
      <c r="AW183" s="115"/>
      <c r="AX183" s="159">
        <f t="shared" ref="AX183:BA183" si="1281">AX187+10</f>
        <v>39</v>
      </c>
      <c r="AY183" s="123">
        <f t="shared" ref="AY183" si="1282">AY187+10</f>
        <v>40</v>
      </c>
      <c r="AZ183" s="115"/>
      <c r="BA183" s="123">
        <f t="shared" si="1281"/>
        <v>41</v>
      </c>
      <c r="BB183" s="115"/>
      <c r="BC183" s="178">
        <f t="shared" ref="BC183" si="1283">BC187+10</f>
        <v>42</v>
      </c>
      <c r="BD183" s="163"/>
      <c r="BE183" s="116"/>
      <c r="BF183" s="116"/>
      <c r="BG183" s="163"/>
      <c r="BH183" s="1494"/>
      <c r="BI183" s="1494"/>
      <c r="BJ183" s="1494"/>
      <c r="BK183" s="119"/>
      <c r="BL183" s="364" t="s">
        <v>0</v>
      </c>
      <c r="BM183" s="331" t="str">
        <f t="shared" ref="BM183" si="1284">_xlfn.CONCAT("קומה ",BM184)</f>
        <v>קומה 6</v>
      </c>
      <c r="BN183" s="1777"/>
      <c r="BP183" s="111" t="s">
        <v>0</v>
      </c>
    </row>
    <row r="184" spans="1:68" s="52" customFormat="1" ht="9.9499999999999993" hidden="1" customHeight="1" x14ac:dyDescent="0.2">
      <c r="A184" s="1711"/>
      <c r="B184" s="332">
        <f t="shared" ref="B184" si="1285">B188+1</f>
        <v>6</v>
      </c>
      <c r="C184" s="281" t="s">
        <v>89</v>
      </c>
      <c r="D184" s="56"/>
      <c r="E184" s="1495"/>
      <c r="F184" s="1495"/>
      <c r="G184" s="1495"/>
      <c r="H184" s="55"/>
      <c r="I184" s="55"/>
      <c r="J184" s="55"/>
      <c r="K184" s="55"/>
      <c r="L184" s="66" t="str">
        <f>VLOOKUP("*"&amp;L$5&amp;".Ap."&amp;L183,Check[],1,FALSE)</f>
        <v>S.S.2A.TS.Ap.41</v>
      </c>
      <c r="M184" s="64" t="str">
        <f>VLOOKUP("*"&amp;M$5&amp;".Ap."&amp;M183,Check[],1,FALSE)</f>
        <v>O.S.2B.TS.Ap.42</v>
      </c>
      <c r="N184" s="64" t="str">
        <f t="shared" ref="N184" si="1286">M184</f>
        <v>O.S.2B.TS.Ap.42</v>
      </c>
      <c r="O184" s="64" t="str">
        <f>VLOOKUP("*"&amp;O$5&amp;".Ap."&amp;O183,Check[],1,FALSE)</f>
        <v>O.S.2C.TS.Ap.43</v>
      </c>
      <c r="P184" s="64" t="str">
        <f>VLOOKUP("*"&amp;P$5&amp;".Ap."&amp;P183,Check[],1,FALSE)</f>
        <v>O.S.3A.TS.Ap.44</v>
      </c>
      <c r="Q184" s="64" t="str">
        <f>VLOOKUP("*"&amp;Q$5&amp;".Ap."&amp;Q183,Check[],1,FALSE)</f>
        <v>O.S.2D.TS.Ap.45</v>
      </c>
      <c r="R184" s="64" t="str">
        <f t="shared" ref="R184" si="1287">Q184</f>
        <v>O.S.2D.TS.Ap.45</v>
      </c>
      <c r="S184" s="64" t="str">
        <f>VLOOKUP("*"&amp;S$5&amp;".Ap."&amp;S183,Check[],1,FALSE)</f>
        <v>O.S.2E.TS.Ap.46</v>
      </c>
      <c r="T184" s="64" t="str">
        <f t="shared" ref="T184" si="1288">S184</f>
        <v>O.S.2E.TS.Ap.46</v>
      </c>
      <c r="U184" s="64" t="str">
        <f>VLOOKUP("*"&amp;U$5&amp;".Ap."&amp;U183,Check[],1,FALSE)</f>
        <v>S.S.2F.TS.Ap.47</v>
      </c>
      <c r="V184" s="64" t="str">
        <f>VLOOKUP("*"&amp;V$5&amp;".Ap."&amp;V183,Check[],1,FALSE)</f>
        <v>O.S.4A.TS.Ap.48</v>
      </c>
      <c r="W184" s="64" t="str">
        <f t="shared" ref="W184" si="1289">V184</f>
        <v>O.S.4A.TS.Ap.48</v>
      </c>
      <c r="X184" s="64" t="str">
        <f>VLOOKUP("*"&amp;X$5&amp;".Ap."&amp;X183,Check[],1,FALSE)</f>
        <v>V.GMS.S.2G.TS.Ap.49</v>
      </c>
      <c r="Y184" s="64" t="str">
        <f t="shared" ref="Y184" si="1290">X184</f>
        <v>V.GMS.S.2G.TS.Ap.49</v>
      </c>
      <c r="Z184" s="64" t="str">
        <f>VLOOKUP("*"&amp;Z$5&amp;".Ap."&amp;Z183,Check[],1,FALSE)</f>
        <v>O.S.4B.TS.Ap.50</v>
      </c>
      <c r="AA184" s="65" t="str">
        <f t="shared" si="907"/>
        <v>O.S.4B.TS.Ap.50</v>
      </c>
      <c r="AB184" s="1456"/>
      <c r="AC184" s="50"/>
      <c r="AD184" s="50"/>
      <c r="AE184" s="50"/>
      <c r="AF184" s="50"/>
      <c r="AG184" s="50"/>
      <c r="AH184" s="50"/>
      <c r="AI184" s="50"/>
      <c r="AJ184" s="50"/>
      <c r="AK184" s="50"/>
      <c r="AL184" s="50"/>
      <c r="AM184" s="50"/>
      <c r="AN184" s="1458"/>
      <c r="AO184" s="74" t="str">
        <f>VLOOKUP("*"&amp;AO$5&amp;".Ap."&amp;AO183,Check[],1,FALSE)</f>
        <v>S.S.4B.TN.Ap.43</v>
      </c>
      <c r="AP184" s="72" t="str">
        <f>VLOOKUP("*"&amp;AP$5&amp;".Ap."&amp;AP183,Check[],1,FALSE)</f>
        <v>S.S.2G.TN.Ap.44</v>
      </c>
      <c r="AQ184" s="68" t="str">
        <f t="shared" ref="AQ184" si="1291">AP184</f>
        <v>S.S.2G.TN.Ap.44</v>
      </c>
      <c r="AR184" s="64" t="str">
        <f>VLOOKUP("*"&amp;AR$5&amp;".Ap."&amp;AR183,Check[],1,FALSE)</f>
        <v>S.S.4A.TN.Ap.45</v>
      </c>
      <c r="AS184" s="64" t="str">
        <f>VLOOKUP("*"&amp;AS$5&amp;".Ap."&amp;AS183,Check[],1,FALSE)</f>
        <v>S.S.2F.TN.Ap.46</v>
      </c>
      <c r="AT184" s="72" t="str">
        <f>VLOOKUP("*"&amp;AT$5&amp;".Ap."&amp;AT183,Check[],1,FALSE)</f>
        <v>S.S.2E.TN.Ap.47</v>
      </c>
      <c r="AU184" s="68" t="str">
        <f t="shared" ref="AU184" si="1292">AT184</f>
        <v>S.S.2E.TN.Ap.47</v>
      </c>
      <c r="AV184" s="72" t="str">
        <f>VLOOKUP("*"&amp;AV$5&amp;".Ap."&amp;AV183,Check[],1,FALSE)</f>
        <v>S.S.2D.TN.Ap.48</v>
      </c>
      <c r="AW184" s="68" t="str">
        <f t="shared" ref="AW184" si="1293">AV184</f>
        <v>S.S.2D.TN.Ap.48</v>
      </c>
      <c r="AX184" s="64" t="str">
        <f>VLOOKUP("*"&amp;AX$5&amp;".Ap."&amp;AX183,Check[],1,FALSE)</f>
        <v>S.S.3A.TN.Ap.39</v>
      </c>
      <c r="AY184" s="72" t="str">
        <f>VLOOKUP("*"&amp;AY$5&amp;".Ap."&amp;AY183,Check[],1,FALSE)</f>
        <v>S.S.2C.TN.Ap.40</v>
      </c>
      <c r="AZ184" s="68" t="str">
        <f t="shared" ref="AZ184" si="1294">AY184</f>
        <v>S.S.2C.TN.Ap.40</v>
      </c>
      <c r="BA184" s="72" t="str">
        <f>VLOOKUP("*"&amp;BA$5&amp;".Ap."&amp;BA183,Check[],1,FALSE)</f>
        <v>S.S.2B.TN.Ap.41</v>
      </c>
      <c r="BB184" s="68" t="str">
        <f t="shared" ref="BB184" si="1295">BA184</f>
        <v>S.S.2B.TN.Ap.41</v>
      </c>
      <c r="BC184" s="75" t="str">
        <f>VLOOKUP("*"&amp;BC$5&amp;".Ap."&amp;BC183,Check[],1,FALSE)</f>
        <v>S.S.2A.TN.Ap.42</v>
      </c>
      <c r="BD184" s="62"/>
      <c r="BE184" s="55"/>
      <c r="BF184" s="55"/>
      <c r="BG184" s="62"/>
      <c r="BH184" s="1495"/>
      <c r="BI184" s="1495"/>
      <c r="BJ184" s="1495"/>
      <c r="BK184" s="57"/>
      <c r="BL184" s="364" t="s">
        <v>89</v>
      </c>
      <c r="BM184" s="332">
        <f t="shared" ref="BM184" si="1296">BM188+1</f>
        <v>6</v>
      </c>
      <c r="BN184" s="1777"/>
      <c r="BP184" s="53" t="s">
        <v>89</v>
      </c>
    </row>
    <row r="185" spans="1:68" s="8" customFormat="1" ht="12" customHeight="1" x14ac:dyDescent="0.3">
      <c r="A185" s="1711"/>
      <c r="B185" s="333"/>
      <c r="C185" s="282" t="s">
        <v>65</v>
      </c>
      <c r="D185" s="25"/>
      <c r="E185" s="1495"/>
      <c r="F185" s="1495"/>
      <c r="G185" s="1495"/>
      <c r="H185" s="21"/>
      <c r="I185" s="21"/>
      <c r="J185" s="21"/>
      <c r="K185" s="21"/>
      <c r="L185" s="257">
        <f>VLOOKUP(L184,Check[],5,FALSE)</f>
        <v>41</v>
      </c>
      <c r="M185" s="237">
        <f>VLOOKUP(M184,Check[],5,FALSE)</f>
        <v>42</v>
      </c>
      <c r="N185" s="237"/>
      <c r="O185" s="248">
        <f>VLOOKUP(O184,Check[],5,FALSE)</f>
        <v>43</v>
      </c>
      <c r="P185" s="248">
        <f>VLOOKUP(P184,Check[],5,FALSE)</f>
        <v>44</v>
      </c>
      <c r="Q185" s="237">
        <f>VLOOKUP(Q184,Check[],5,FALSE)</f>
        <v>45</v>
      </c>
      <c r="R185" s="237"/>
      <c r="S185" s="237">
        <f>VLOOKUP(S184,Check[],5,FALSE)</f>
        <v>46</v>
      </c>
      <c r="T185" s="237"/>
      <c r="U185" s="248">
        <f>VLOOKUP(U184,Check[],5,FALSE)</f>
        <v>47</v>
      </c>
      <c r="V185" s="237">
        <f>VLOOKUP(V184,Check[],5,FALSE)</f>
        <v>48</v>
      </c>
      <c r="W185" s="237"/>
      <c r="X185" s="237">
        <f>VLOOKUP(X184,Check[],5,FALSE)</f>
        <v>49</v>
      </c>
      <c r="Y185" s="237"/>
      <c r="Z185" s="237">
        <f>VLOOKUP(Z184,Check[],5,FALSE)</f>
        <v>50</v>
      </c>
      <c r="AA185" s="233"/>
      <c r="AB185" s="1456"/>
      <c r="AC185" s="19"/>
      <c r="AD185" s="19"/>
      <c r="AE185" s="19"/>
      <c r="AF185" s="19"/>
      <c r="AG185" s="19"/>
      <c r="AH185" s="19"/>
      <c r="AI185" s="19"/>
      <c r="AJ185" s="19"/>
      <c r="AK185" s="19"/>
      <c r="AL185" s="19"/>
      <c r="AM185" s="19"/>
      <c r="AN185" s="1458"/>
      <c r="AO185" s="258">
        <f>VLOOKUP(AO184,Check[],5,FALSE)</f>
        <v>43</v>
      </c>
      <c r="AP185" s="243">
        <f>VLOOKUP(AP184,Check[],5,FALSE)</f>
        <v>44</v>
      </c>
      <c r="AQ185" s="240"/>
      <c r="AR185" s="248">
        <f>VLOOKUP(AR184,Check[],5,FALSE)</f>
        <v>45</v>
      </c>
      <c r="AS185" s="248">
        <f>VLOOKUP(AS184,Check[],5,FALSE)</f>
        <v>46</v>
      </c>
      <c r="AT185" s="243">
        <f>VLOOKUP(AT184,Check[],5,FALSE)</f>
        <v>47</v>
      </c>
      <c r="AU185" s="240"/>
      <c r="AV185" s="243">
        <f>VLOOKUP(AV184,Check[],5,FALSE)</f>
        <v>48</v>
      </c>
      <c r="AW185" s="240"/>
      <c r="AX185" s="248">
        <f>VLOOKUP(AX184,Check[],5,FALSE)</f>
        <v>39</v>
      </c>
      <c r="AY185" s="243">
        <f>VLOOKUP(AY184,Check[],5,FALSE)</f>
        <v>40</v>
      </c>
      <c r="AZ185" s="240"/>
      <c r="BA185" s="243">
        <f>VLOOKUP(BA184,Check[],5,FALSE)</f>
        <v>41</v>
      </c>
      <c r="BB185" s="240"/>
      <c r="BC185" s="259">
        <f>VLOOKUP(BC184,Check[],5,FALSE)</f>
        <v>42</v>
      </c>
      <c r="BD185" s="37"/>
      <c r="BE185" s="21"/>
      <c r="BF185" s="21"/>
      <c r="BG185" s="37"/>
      <c r="BH185" s="1495"/>
      <c r="BI185" s="1495"/>
      <c r="BJ185" s="1495"/>
      <c r="BK185" s="31"/>
      <c r="BL185" s="365" t="s">
        <v>65</v>
      </c>
      <c r="BM185" s="333"/>
      <c r="BN185" s="1777"/>
      <c r="BP185" s="236" t="s">
        <v>1078</v>
      </c>
    </row>
    <row r="186" spans="1:68" s="196" customFormat="1" ht="15" customHeight="1" thickBot="1" x14ac:dyDescent="0.4">
      <c r="A186" s="1712"/>
      <c r="B186" s="198">
        <f t="shared" ref="B186" si="1297">B190+3.48</f>
        <v>27.400000000000002</v>
      </c>
      <c r="C186" s="283" t="s">
        <v>1</v>
      </c>
      <c r="D186" s="204"/>
      <c r="E186" s="1496"/>
      <c r="F186" s="1496"/>
      <c r="G186" s="1496"/>
      <c r="H186" s="203"/>
      <c r="I186" s="203"/>
      <c r="J186" s="203"/>
      <c r="K186" s="203"/>
      <c r="L186" s="220">
        <f>VLOOKUP(L184,Check[],6,FALSE)</f>
        <v>601</v>
      </c>
      <c r="M186" s="199">
        <f>VLOOKUP(M184,Check[],6,FALSE)</f>
        <v>602</v>
      </c>
      <c r="N186" s="199"/>
      <c r="O186" s="193">
        <f>VLOOKUP(O184,Check[],6,FALSE)</f>
        <v>603</v>
      </c>
      <c r="P186" s="193">
        <f>VLOOKUP(P184,Check[],6,FALSE)</f>
        <v>604</v>
      </c>
      <c r="Q186" s="199">
        <f>VLOOKUP(Q184,Check[],6,FALSE)</f>
        <v>605</v>
      </c>
      <c r="R186" s="199"/>
      <c r="S186" s="199">
        <f>VLOOKUP(S184,Check[],6,FALSE)</f>
        <v>606</v>
      </c>
      <c r="T186" s="199"/>
      <c r="U186" s="193">
        <f>VLOOKUP(U184,Check[],6,FALSE)</f>
        <v>607</v>
      </c>
      <c r="V186" s="199">
        <f>VLOOKUP(V184,Check[],6,FALSE)</f>
        <v>608</v>
      </c>
      <c r="W186" s="199"/>
      <c r="X186" s="199">
        <f>VLOOKUP(X184,Check[],6,FALSE)</f>
        <v>609</v>
      </c>
      <c r="Y186" s="199"/>
      <c r="Z186" s="199">
        <f>VLOOKUP(Z184,Check[],6,FALSE)</f>
        <v>610</v>
      </c>
      <c r="AA186" s="191"/>
      <c r="AB186" s="1456"/>
      <c r="AC186" s="192"/>
      <c r="AD186" s="192"/>
      <c r="AE186" s="192"/>
      <c r="AF186" s="192"/>
      <c r="AG186" s="192"/>
      <c r="AH186" s="192"/>
      <c r="AI186" s="192"/>
      <c r="AJ186" s="192"/>
      <c r="AK186" s="192"/>
      <c r="AL186" s="192"/>
      <c r="AM186" s="192"/>
      <c r="AN186" s="1458"/>
      <c r="AO186" s="221">
        <f>VLOOKUP(AO184,Check[],6,FALSE)</f>
        <v>602</v>
      </c>
      <c r="AP186" s="211">
        <f>VLOOKUP(AP184,Check[],6,FALSE)</f>
        <v>603</v>
      </c>
      <c r="AQ186" s="202"/>
      <c r="AR186" s="193">
        <f>VLOOKUP(AR184,Check[],6,FALSE)</f>
        <v>604</v>
      </c>
      <c r="AS186" s="193">
        <f>VLOOKUP(AS184,Check[],6,FALSE)</f>
        <v>605</v>
      </c>
      <c r="AT186" s="211">
        <f>VLOOKUP(AT184,Check[],6,FALSE)</f>
        <v>606</v>
      </c>
      <c r="AU186" s="202"/>
      <c r="AV186" s="211">
        <f>VLOOKUP(AV184,Check[],6,FALSE)</f>
        <v>607</v>
      </c>
      <c r="AW186" s="202"/>
      <c r="AX186" s="193">
        <f>VLOOKUP(AX184,Check[],6,FALSE)</f>
        <v>608</v>
      </c>
      <c r="AY186" s="211">
        <f>VLOOKUP(AY184,Check[],6,FALSE)</f>
        <v>609</v>
      </c>
      <c r="AZ186" s="202"/>
      <c r="BA186" s="211">
        <f>VLOOKUP(BA184,Check[],6,FALSE)</f>
        <v>610</v>
      </c>
      <c r="BB186" s="202"/>
      <c r="BC186" s="222">
        <f>VLOOKUP(BC184,Check[],6,FALSE)</f>
        <v>601</v>
      </c>
      <c r="BD186" s="218"/>
      <c r="BE186" s="203"/>
      <c r="BF186" s="203"/>
      <c r="BG186" s="218"/>
      <c r="BH186" s="1496"/>
      <c r="BI186" s="1496"/>
      <c r="BJ186" s="1496"/>
      <c r="BK186" s="205"/>
      <c r="BL186" s="366" t="s">
        <v>1</v>
      </c>
      <c r="BM186" s="198">
        <f t="shared" ref="BM186" si="1298">BM190+3.48</f>
        <v>27.400000000000002</v>
      </c>
      <c r="BN186" s="1778"/>
      <c r="BP186" s="197" t="s">
        <v>1</v>
      </c>
    </row>
    <row r="187" spans="1:68" s="110" customFormat="1" ht="21.95" customHeight="1" x14ac:dyDescent="0.45">
      <c r="A187" s="1711"/>
      <c r="B187" s="331" t="str">
        <f t="shared" ref="B187" si="1299">_xlfn.CONCAT("קומה ",B188)</f>
        <v>קומה 5</v>
      </c>
      <c r="C187" s="281" t="s">
        <v>0</v>
      </c>
      <c r="D187" s="117"/>
      <c r="E187" s="1494"/>
      <c r="F187" s="1494"/>
      <c r="G187" s="1494"/>
      <c r="H187" s="116"/>
      <c r="I187" s="116"/>
      <c r="J187" s="116"/>
      <c r="K187" s="116"/>
      <c r="L187" s="176">
        <f t="shared" ref="L187:M187" si="1300">L191+10</f>
        <v>31</v>
      </c>
      <c r="M187" s="112">
        <f t="shared" si="1300"/>
        <v>32</v>
      </c>
      <c r="N187" s="112"/>
      <c r="O187" s="159">
        <f t="shared" ref="O187:Q187" si="1301">O191+10</f>
        <v>33</v>
      </c>
      <c r="P187" s="159">
        <f t="shared" si="1301"/>
        <v>34</v>
      </c>
      <c r="Q187" s="112">
        <f t="shared" si="1301"/>
        <v>35</v>
      </c>
      <c r="R187" s="112"/>
      <c r="S187" s="112">
        <f t="shared" ref="S187" si="1302">S191+10</f>
        <v>36</v>
      </c>
      <c r="T187" s="112"/>
      <c r="U187" s="159">
        <f t="shared" ref="U187:V187" si="1303">U191+10</f>
        <v>37</v>
      </c>
      <c r="V187" s="112">
        <f t="shared" si="1303"/>
        <v>38</v>
      </c>
      <c r="W187" s="112"/>
      <c r="X187" s="112">
        <f t="shared" ref="X187" si="1304">X191+10</f>
        <v>39</v>
      </c>
      <c r="Y187" s="112"/>
      <c r="Z187" s="112">
        <f t="shared" ref="Z187" si="1305">Z191+10</f>
        <v>40</v>
      </c>
      <c r="AA187" s="121"/>
      <c r="AB187" s="1456"/>
      <c r="AC187" s="107"/>
      <c r="AD187" s="107"/>
      <c r="AE187" s="107"/>
      <c r="AF187" s="107"/>
      <c r="AG187" s="107"/>
      <c r="AH187" s="107"/>
      <c r="AI187" s="107"/>
      <c r="AJ187" s="107"/>
      <c r="AK187" s="107"/>
      <c r="AL187" s="107"/>
      <c r="AM187" s="107"/>
      <c r="AN187" s="1458"/>
      <c r="AO187" s="177">
        <f t="shared" ref="AO187:AP187" si="1306">AO191+10</f>
        <v>33</v>
      </c>
      <c r="AP187" s="123">
        <f t="shared" si="1306"/>
        <v>34</v>
      </c>
      <c r="AQ187" s="115"/>
      <c r="AR187" s="159">
        <f t="shared" ref="AR187:AT187" si="1307">AR191+10</f>
        <v>35</v>
      </c>
      <c r="AS187" s="159">
        <f t="shared" si="1307"/>
        <v>36</v>
      </c>
      <c r="AT187" s="123">
        <f t="shared" si="1307"/>
        <v>37</v>
      </c>
      <c r="AU187" s="115"/>
      <c r="AV187" s="123">
        <f t="shared" ref="AV187" si="1308">AV191+10</f>
        <v>38</v>
      </c>
      <c r="AW187" s="115"/>
      <c r="AX187" s="159">
        <f t="shared" ref="AX187:BA187" si="1309">AX191+10</f>
        <v>29</v>
      </c>
      <c r="AY187" s="123">
        <f t="shared" ref="AY187" si="1310">AY191+10</f>
        <v>30</v>
      </c>
      <c r="AZ187" s="115"/>
      <c r="BA187" s="123">
        <f t="shared" si="1309"/>
        <v>31</v>
      </c>
      <c r="BB187" s="115"/>
      <c r="BC187" s="178">
        <f t="shared" ref="BC187" si="1311">BC191+10</f>
        <v>32</v>
      </c>
      <c r="BD187" s="163"/>
      <c r="BE187" s="116"/>
      <c r="BF187" s="116"/>
      <c r="BG187" s="163"/>
      <c r="BH187" s="1494"/>
      <c r="BI187" s="1494"/>
      <c r="BJ187" s="1494"/>
      <c r="BK187" s="119"/>
      <c r="BL187" s="364" t="s">
        <v>0</v>
      </c>
      <c r="BM187" s="331" t="str">
        <f t="shared" ref="BM187" si="1312">_xlfn.CONCAT("קומה ",BM188)</f>
        <v>קומה 5</v>
      </c>
      <c r="BN187" s="1777"/>
      <c r="BP187" s="111" t="s">
        <v>0</v>
      </c>
    </row>
    <row r="188" spans="1:68" s="52" customFormat="1" ht="9.9499999999999993" hidden="1" customHeight="1" x14ac:dyDescent="0.2">
      <c r="A188" s="1711"/>
      <c r="B188" s="332">
        <f t="shared" ref="B188" si="1313">B192+1</f>
        <v>5</v>
      </c>
      <c r="C188" s="281" t="s">
        <v>89</v>
      </c>
      <c r="D188" s="56"/>
      <c r="E188" s="1495"/>
      <c r="F188" s="1495"/>
      <c r="G188" s="1495"/>
      <c r="H188" s="55"/>
      <c r="I188" s="55"/>
      <c r="J188" s="55"/>
      <c r="K188" s="55"/>
      <c r="L188" s="66" t="str">
        <f>VLOOKUP("*"&amp;L$5&amp;".Ap."&amp;L187,Check[],1,FALSE)</f>
        <v>O.S.2A.TS.Ap.31</v>
      </c>
      <c r="M188" s="64" t="str">
        <f>VLOOKUP("*"&amp;M$5&amp;".Ap."&amp;M187,Check[],1,FALSE)</f>
        <v>O.S.2B.TS.Ap.32</v>
      </c>
      <c r="N188" s="64" t="str">
        <f t="shared" ref="N188" si="1314">M188</f>
        <v>O.S.2B.TS.Ap.32</v>
      </c>
      <c r="O188" s="64" t="str">
        <f>VLOOKUP("*"&amp;O$5&amp;".Ap."&amp;O187,Check[],1,FALSE)</f>
        <v>O.S.2C.TS.Ap.33</v>
      </c>
      <c r="P188" s="64" t="str">
        <f>VLOOKUP("*"&amp;P$5&amp;".Ap."&amp;P187,Check[],1,FALSE)</f>
        <v>O.S.3A.TS.Ap.34</v>
      </c>
      <c r="Q188" s="64" t="str">
        <f>VLOOKUP("*"&amp;Q$5&amp;".Ap."&amp;Q187,Check[],1,FALSE)</f>
        <v>S.S.2D.TS.Ap.35</v>
      </c>
      <c r="R188" s="64" t="str">
        <f t="shared" ref="R188" si="1315">Q188</f>
        <v>S.S.2D.TS.Ap.35</v>
      </c>
      <c r="S188" s="64" t="str">
        <f>VLOOKUP("*"&amp;S$5&amp;".Ap."&amp;S187,Check[],1,FALSE)</f>
        <v>S.S.2E.TS.Ap.36</v>
      </c>
      <c r="T188" s="64" t="str">
        <f t="shared" ref="T188" si="1316">S188</f>
        <v>S.S.2E.TS.Ap.36</v>
      </c>
      <c r="U188" s="64" t="str">
        <f>VLOOKUP("*"&amp;U$5&amp;".Ap."&amp;U187,Check[],1,FALSE)</f>
        <v>O.S.2F.TS.Ap.37</v>
      </c>
      <c r="V188" s="64" t="str">
        <f>VLOOKUP("*"&amp;V$5&amp;".Ap."&amp;V187,Check[],1,FALSE)</f>
        <v>V.GMS.S.4A.TS.Ap.38</v>
      </c>
      <c r="W188" s="64" t="str">
        <f t="shared" ref="W188" si="1317">V188</f>
        <v>V.GMS.S.4A.TS.Ap.38</v>
      </c>
      <c r="X188" s="64" t="str">
        <f>VLOOKUP("*"&amp;X$5&amp;".Ap."&amp;X187,Check[],1,FALSE)</f>
        <v>O.S.2G.TS.Ap.39</v>
      </c>
      <c r="Y188" s="64" t="str">
        <f t="shared" ref="Y188" si="1318">X188</f>
        <v>O.S.2G.TS.Ap.39</v>
      </c>
      <c r="Z188" s="64" t="str">
        <f>VLOOKUP("*"&amp;Z$5&amp;".Ap."&amp;Z187,Check[],1,FALSE)</f>
        <v>V.GMS.S.4B.TS.Ap.40</v>
      </c>
      <c r="AA188" s="65" t="str">
        <f t="shared" ref="AA188" si="1319">Z188</f>
        <v>V.GMS.S.4B.TS.Ap.40</v>
      </c>
      <c r="AB188" s="1456"/>
      <c r="AC188" s="50"/>
      <c r="AD188" s="50"/>
      <c r="AE188" s="50"/>
      <c r="AF188" s="50"/>
      <c r="AG188" s="50"/>
      <c r="AH188" s="50"/>
      <c r="AI188" s="50"/>
      <c r="AJ188" s="50"/>
      <c r="AK188" s="50"/>
      <c r="AL188" s="50"/>
      <c r="AM188" s="50"/>
      <c r="AN188" s="1458"/>
      <c r="AO188" s="74" t="str">
        <f>VLOOKUP("*"&amp;AO$5&amp;".Ap."&amp;AO187,Check[],1,FALSE)</f>
        <v>S.S.4B.TN.Ap.33</v>
      </c>
      <c r="AP188" s="72" t="str">
        <f>VLOOKUP("*"&amp;AP$5&amp;".Ap."&amp;AP187,Check[],1,FALSE)</f>
        <v>O.S.2G.TN.Ap.34</v>
      </c>
      <c r="AQ188" s="68" t="str">
        <f t="shared" ref="AQ188" si="1320">AP188</f>
        <v>O.S.2G.TN.Ap.34</v>
      </c>
      <c r="AR188" s="64" t="str">
        <f>VLOOKUP("*"&amp;AR$5&amp;".Ap."&amp;AR187,Check[],1,FALSE)</f>
        <v>S.S.4A.TN.Ap.35</v>
      </c>
      <c r="AS188" s="64" t="str">
        <f>VLOOKUP("*"&amp;AS$5&amp;".Ap."&amp;AS187,Check[],1,FALSE)</f>
        <v>O.S.2F.TN.Ap.36</v>
      </c>
      <c r="AT188" s="72" t="str">
        <f>VLOOKUP("*"&amp;AT$5&amp;".Ap."&amp;AT187,Check[],1,FALSE)</f>
        <v>S.S.2E.TN.Ap.37</v>
      </c>
      <c r="AU188" s="68" t="str">
        <f t="shared" ref="AU188" si="1321">AT188</f>
        <v>S.S.2E.TN.Ap.37</v>
      </c>
      <c r="AV188" s="72" t="str">
        <f>VLOOKUP("*"&amp;AV$5&amp;".Ap."&amp;AV187,Check[],1,FALSE)</f>
        <v>S.S.2D.TN.Ap.38</v>
      </c>
      <c r="AW188" s="68" t="str">
        <f t="shared" ref="AW188" si="1322">AV188</f>
        <v>S.S.2D.TN.Ap.38</v>
      </c>
      <c r="AX188" s="64" t="str">
        <f>VLOOKUP("*"&amp;AX$5&amp;".Ap."&amp;AX187,Check[],1,FALSE)</f>
        <v>S.S.3A.TN.Ap.29</v>
      </c>
      <c r="AY188" s="72" t="str">
        <f>VLOOKUP("*"&amp;AY$5&amp;".Ap."&amp;AY187,Check[],1,FALSE)</f>
        <v>O.S.2C.TN.Ap.30</v>
      </c>
      <c r="AZ188" s="68" t="str">
        <f t="shared" ref="AZ188" si="1323">AY188</f>
        <v>O.S.2C.TN.Ap.30</v>
      </c>
      <c r="BA188" s="72" t="str">
        <f>VLOOKUP("*"&amp;BA$5&amp;".Ap."&amp;BA187,Check[],1,FALSE)</f>
        <v>S.S.2B.TN.Ap.31</v>
      </c>
      <c r="BB188" s="68" t="str">
        <f t="shared" ref="BB188" si="1324">BA188</f>
        <v>S.S.2B.TN.Ap.31</v>
      </c>
      <c r="BC188" s="75" t="str">
        <f>VLOOKUP("*"&amp;BC$5&amp;".Ap."&amp;BC187,Check[],1,FALSE)</f>
        <v>O.S.2A.TN.Ap.32</v>
      </c>
      <c r="BD188" s="62"/>
      <c r="BE188" s="55"/>
      <c r="BF188" s="55"/>
      <c r="BG188" s="62"/>
      <c r="BH188" s="1495"/>
      <c r="BI188" s="1495"/>
      <c r="BJ188" s="1495"/>
      <c r="BK188" s="57"/>
      <c r="BL188" s="364" t="s">
        <v>89</v>
      </c>
      <c r="BM188" s="332">
        <f t="shared" ref="BM188" si="1325">BM192+1</f>
        <v>5</v>
      </c>
      <c r="BN188" s="1777"/>
      <c r="BP188" s="53" t="s">
        <v>89</v>
      </c>
    </row>
    <row r="189" spans="1:68" s="8" customFormat="1" ht="12" customHeight="1" x14ac:dyDescent="0.3">
      <c r="A189" s="1711"/>
      <c r="B189" s="333"/>
      <c r="C189" s="282" t="s">
        <v>65</v>
      </c>
      <c r="D189" s="25"/>
      <c r="E189" s="1495"/>
      <c r="F189" s="1495"/>
      <c r="G189" s="1495"/>
      <c r="H189" s="21"/>
      <c r="I189" s="21"/>
      <c r="J189" s="21"/>
      <c r="K189" s="21"/>
      <c r="L189" s="257">
        <f>VLOOKUP(L188,Check[],5,FALSE)</f>
        <v>31</v>
      </c>
      <c r="M189" s="237">
        <f>VLOOKUP(M188,Check[],5,FALSE)</f>
        <v>32</v>
      </c>
      <c r="N189" s="237"/>
      <c r="O189" s="248">
        <f>VLOOKUP(O188,Check[],5,FALSE)</f>
        <v>33</v>
      </c>
      <c r="P189" s="248">
        <f>VLOOKUP(P188,Check[],5,FALSE)</f>
        <v>34</v>
      </c>
      <c r="Q189" s="237">
        <f>VLOOKUP(Q188,Check[],5,FALSE)</f>
        <v>35</v>
      </c>
      <c r="R189" s="237"/>
      <c r="S189" s="237">
        <f>VLOOKUP(S188,Check[],5,FALSE)</f>
        <v>36</v>
      </c>
      <c r="T189" s="237"/>
      <c r="U189" s="248">
        <f>VLOOKUP(U188,Check[],5,FALSE)</f>
        <v>37</v>
      </c>
      <c r="V189" s="237">
        <f>VLOOKUP(V188,Check[],5,FALSE)</f>
        <v>38</v>
      </c>
      <c r="W189" s="237"/>
      <c r="X189" s="237">
        <f>VLOOKUP(X188,Check[],5,FALSE)</f>
        <v>39</v>
      </c>
      <c r="Y189" s="237"/>
      <c r="Z189" s="237">
        <f>VLOOKUP(Z188,Check[],5,FALSE)</f>
        <v>40</v>
      </c>
      <c r="AA189" s="233"/>
      <c r="AB189" s="1456"/>
      <c r="AC189" s="19"/>
      <c r="AD189" s="19"/>
      <c r="AE189" s="19"/>
      <c r="AF189" s="19"/>
      <c r="AG189" s="19"/>
      <c r="AH189" s="19"/>
      <c r="AI189" s="19"/>
      <c r="AJ189" s="19"/>
      <c r="AK189" s="19"/>
      <c r="AL189" s="19"/>
      <c r="AM189" s="19"/>
      <c r="AN189" s="1458"/>
      <c r="AO189" s="258">
        <f>VLOOKUP(AO188,Check[],5,FALSE)</f>
        <v>33</v>
      </c>
      <c r="AP189" s="243">
        <f>VLOOKUP(AP188,Check[],5,FALSE)</f>
        <v>34</v>
      </c>
      <c r="AQ189" s="240"/>
      <c r="AR189" s="248">
        <f>VLOOKUP(AR188,Check[],5,FALSE)</f>
        <v>35</v>
      </c>
      <c r="AS189" s="248">
        <f>VLOOKUP(AS188,Check[],5,FALSE)</f>
        <v>36</v>
      </c>
      <c r="AT189" s="243">
        <f>VLOOKUP(AT188,Check[],5,FALSE)</f>
        <v>37</v>
      </c>
      <c r="AU189" s="240"/>
      <c r="AV189" s="243">
        <f>VLOOKUP(AV188,Check[],5,FALSE)</f>
        <v>38</v>
      </c>
      <c r="AW189" s="240"/>
      <c r="AX189" s="248">
        <f>VLOOKUP(AX188,Check[],5,FALSE)</f>
        <v>29</v>
      </c>
      <c r="AY189" s="243">
        <f>VLOOKUP(AY188,Check[],5,FALSE)</f>
        <v>30</v>
      </c>
      <c r="AZ189" s="240"/>
      <c r="BA189" s="243">
        <f>VLOOKUP(BA188,Check[],5,FALSE)</f>
        <v>31</v>
      </c>
      <c r="BB189" s="240"/>
      <c r="BC189" s="259">
        <f>VLOOKUP(BC188,Check[],5,FALSE)</f>
        <v>32</v>
      </c>
      <c r="BD189" s="37"/>
      <c r="BE189" s="21"/>
      <c r="BF189" s="21"/>
      <c r="BG189" s="37"/>
      <c r="BH189" s="1495"/>
      <c r="BI189" s="1495"/>
      <c r="BJ189" s="1495"/>
      <c r="BK189" s="31"/>
      <c r="BL189" s="365" t="s">
        <v>65</v>
      </c>
      <c r="BM189" s="333"/>
      <c r="BN189" s="1777"/>
      <c r="BP189" s="236" t="s">
        <v>1078</v>
      </c>
    </row>
    <row r="190" spans="1:68" s="196" customFormat="1" ht="15" customHeight="1" thickBot="1" x14ac:dyDescent="0.4">
      <c r="A190" s="1712"/>
      <c r="B190" s="198">
        <f t="shared" ref="B190" si="1326">B194+3.48</f>
        <v>23.92</v>
      </c>
      <c r="C190" s="283" t="s">
        <v>1</v>
      </c>
      <c r="D190" s="204"/>
      <c r="E190" s="1496"/>
      <c r="F190" s="1496"/>
      <c r="G190" s="1496"/>
      <c r="H190" s="203"/>
      <c r="I190" s="203"/>
      <c r="J190" s="203"/>
      <c r="K190" s="203"/>
      <c r="L190" s="220">
        <f>VLOOKUP(L188,Check[],6,FALSE)</f>
        <v>501</v>
      </c>
      <c r="M190" s="199">
        <f>VLOOKUP(M188,Check[],6,FALSE)</f>
        <v>502</v>
      </c>
      <c r="N190" s="199"/>
      <c r="O190" s="193">
        <f>VLOOKUP(O188,Check[],6,FALSE)</f>
        <v>503</v>
      </c>
      <c r="P190" s="193">
        <f>VLOOKUP(P188,Check[],6,FALSE)</f>
        <v>504</v>
      </c>
      <c r="Q190" s="199">
        <f>VLOOKUP(Q188,Check[],6,FALSE)</f>
        <v>505</v>
      </c>
      <c r="R190" s="199"/>
      <c r="S190" s="199">
        <f>VLOOKUP(S188,Check[],6,FALSE)</f>
        <v>506</v>
      </c>
      <c r="T190" s="199"/>
      <c r="U190" s="376">
        <f>VLOOKUP(U188,Check[],6,FALSE)</f>
        <v>507</v>
      </c>
      <c r="V190" s="377">
        <f>VLOOKUP(V188,Check[],6,FALSE)</f>
        <v>508</v>
      </c>
      <c r="W190" s="377"/>
      <c r="X190" s="377">
        <f>VLOOKUP(X188,Check[],6,FALSE)</f>
        <v>509</v>
      </c>
      <c r="Y190" s="377"/>
      <c r="Z190" s="377">
        <f>VLOOKUP(Z188,Check[],6,FALSE)</f>
        <v>510</v>
      </c>
      <c r="AA190" s="378"/>
      <c r="AB190" s="373"/>
      <c r="AC190" s="374"/>
      <c r="AD190" s="374"/>
      <c r="AE190" s="374"/>
      <c r="AF190" s="374"/>
      <c r="AG190" s="374"/>
      <c r="AH190" s="374"/>
      <c r="AI190" s="374"/>
      <c r="AJ190" s="374"/>
      <c r="AK190" s="374"/>
      <c r="AL190" s="374"/>
      <c r="AM190" s="374"/>
      <c r="AN190" s="375"/>
      <c r="AO190" s="379">
        <f>VLOOKUP(AO188,Check[],6,FALSE)</f>
        <v>502</v>
      </c>
      <c r="AP190" s="380">
        <f>VLOOKUP(AP188,Check[],6,FALSE)</f>
        <v>503</v>
      </c>
      <c r="AQ190" s="381"/>
      <c r="AR190" s="376">
        <f>VLOOKUP(AR188,Check[],6,FALSE)</f>
        <v>504</v>
      </c>
      <c r="AS190" s="376">
        <f>VLOOKUP(AS188,Check[],6,FALSE)</f>
        <v>505</v>
      </c>
      <c r="AT190" s="211">
        <f>VLOOKUP(AT188,Check[],6,FALSE)</f>
        <v>506</v>
      </c>
      <c r="AU190" s="202"/>
      <c r="AV190" s="211">
        <f>VLOOKUP(AV188,Check[],6,FALSE)</f>
        <v>507</v>
      </c>
      <c r="AW190" s="202"/>
      <c r="AX190" s="193">
        <f>VLOOKUP(AX188,Check[],6,FALSE)</f>
        <v>508</v>
      </c>
      <c r="AY190" s="211">
        <f>VLOOKUP(AY188,Check[],6,FALSE)</f>
        <v>509</v>
      </c>
      <c r="AZ190" s="202"/>
      <c r="BA190" s="211">
        <f>VLOOKUP(BA188,Check[],6,FALSE)</f>
        <v>510</v>
      </c>
      <c r="BB190" s="202"/>
      <c r="BC190" s="222">
        <f>VLOOKUP(BC188,Check[],6,FALSE)</f>
        <v>501</v>
      </c>
      <c r="BD190" s="218"/>
      <c r="BE190" s="203"/>
      <c r="BF190" s="203"/>
      <c r="BG190" s="218"/>
      <c r="BH190" s="1496"/>
      <c r="BI190" s="1496"/>
      <c r="BJ190" s="1496"/>
      <c r="BK190" s="205"/>
      <c r="BL190" s="366" t="s">
        <v>1</v>
      </c>
      <c r="BM190" s="198">
        <f t="shared" ref="BM190" si="1327">BM194+3.48</f>
        <v>23.92</v>
      </c>
      <c r="BN190" s="1778"/>
      <c r="BP190" s="197" t="s">
        <v>1</v>
      </c>
    </row>
    <row r="191" spans="1:68" s="110" customFormat="1" ht="21.95" customHeight="1" thickTop="1" x14ac:dyDescent="0.45">
      <c r="A191" s="1711"/>
      <c r="B191" s="179" t="str">
        <f>_xlfn.CONCAT("קומה ",B192)</f>
        <v>קומה 4</v>
      </c>
      <c r="C191" s="281" t="s">
        <v>0</v>
      </c>
      <c r="D191" s="117"/>
      <c r="E191" s="1491" t="s">
        <v>1076</v>
      </c>
      <c r="F191" s="1491" t="s">
        <v>1076</v>
      </c>
      <c r="G191" s="1491" t="s">
        <v>1076</v>
      </c>
      <c r="H191" s="116"/>
      <c r="I191" s="116"/>
      <c r="J191" s="116"/>
      <c r="K191" s="116"/>
      <c r="L191" s="176">
        <f>L195+10</f>
        <v>21</v>
      </c>
      <c r="M191" s="112">
        <f>M195+10</f>
        <v>22</v>
      </c>
      <c r="N191" s="112"/>
      <c r="O191" s="159">
        <f>O195+10</f>
        <v>23</v>
      </c>
      <c r="P191" s="159">
        <f>P195+10</f>
        <v>24</v>
      </c>
      <c r="Q191" s="112">
        <f>Q195+10</f>
        <v>25</v>
      </c>
      <c r="R191" s="112"/>
      <c r="S191" s="112">
        <f>S195+10</f>
        <v>26</v>
      </c>
      <c r="T191" s="112"/>
      <c r="U191" s="159">
        <f>U195+10</f>
        <v>27</v>
      </c>
      <c r="V191" s="112">
        <f>V195+10</f>
        <v>28</v>
      </c>
      <c r="W191" s="112"/>
      <c r="X191" s="112">
        <f>X195+10</f>
        <v>29</v>
      </c>
      <c r="Y191" s="112"/>
      <c r="Z191" s="112">
        <f>Z195+10</f>
        <v>30</v>
      </c>
      <c r="AA191" s="121"/>
      <c r="AB191" s="1849" t="s">
        <v>1074</v>
      </c>
      <c r="AC191" s="180" t="s">
        <v>1208</v>
      </c>
      <c r="AD191" s="181"/>
      <c r="AE191" s="181"/>
      <c r="AF191" s="181"/>
      <c r="AG191" s="181"/>
      <c r="AH191" s="181"/>
      <c r="AI191" s="181"/>
      <c r="AJ191" s="181"/>
      <c r="AK191" s="181"/>
      <c r="AL191" s="181"/>
      <c r="AM191" s="181"/>
      <c r="AN191" s="1852" t="s">
        <v>1074</v>
      </c>
      <c r="AO191" s="177">
        <f>AO195+10</f>
        <v>23</v>
      </c>
      <c r="AP191" s="123">
        <f>AP195+10</f>
        <v>24</v>
      </c>
      <c r="AQ191" s="115"/>
      <c r="AR191" s="159">
        <f>AR195+10</f>
        <v>25</v>
      </c>
      <c r="AS191" s="159">
        <f>AS195+10</f>
        <v>26</v>
      </c>
      <c r="AT191" s="123">
        <f>AT195+10</f>
        <v>27</v>
      </c>
      <c r="AU191" s="115"/>
      <c r="AV191" s="123">
        <f>AV195+10</f>
        <v>28</v>
      </c>
      <c r="AW191" s="115"/>
      <c r="AX191" s="159">
        <f>AX195+10</f>
        <v>19</v>
      </c>
      <c r="AY191" s="123">
        <f>AY195+10</f>
        <v>20</v>
      </c>
      <c r="AZ191" s="115"/>
      <c r="BA191" s="123">
        <f>BA195+10</f>
        <v>21</v>
      </c>
      <c r="BB191" s="115"/>
      <c r="BC191" s="178">
        <f>BC195+10</f>
        <v>22</v>
      </c>
      <c r="BD191" s="163"/>
      <c r="BE191" s="116"/>
      <c r="BF191" s="116"/>
      <c r="BG191" s="163"/>
      <c r="BH191" s="1491" t="s">
        <v>1076</v>
      </c>
      <c r="BI191" s="1491" t="s">
        <v>1076</v>
      </c>
      <c r="BJ191" s="1491" t="s">
        <v>1076</v>
      </c>
      <c r="BK191" s="119"/>
      <c r="BL191" s="364" t="s">
        <v>0</v>
      </c>
      <c r="BM191" s="331" t="str">
        <f>_xlfn.CONCAT("קומה ",BM192)</f>
        <v>קומה 4</v>
      </c>
      <c r="BN191" s="1777"/>
      <c r="BP191" s="111" t="s">
        <v>0</v>
      </c>
    </row>
    <row r="192" spans="1:68" s="52" customFormat="1" ht="9.9499999999999993" hidden="1" customHeight="1" x14ac:dyDescent="0.2">
      <c r="A192" s="1711"/>
      <c r="B192" s="81">
        <f>B196+1</f>
        <v>4</v>
      </c>
      <c r="C192" s="281" t="s">
        <v>89</v>
      </c>
      <c r="D192" s="56"/>
      <c r="E192" s="1492"/>
      <c r="F192" s="1492"/>
      <c r="G192" s="1492"/>
      <c r="H192" s="55"/>
      <c r="I192" s="55"/>
      <c r="J192" s="55"/>
      <c r="K192" s="55"/>
      <c r="L192" s="66" t="str">
        <f>VLOOKUP("*"&amp;L$5&amp;".Ap."&amp;L191,Check[],1,FALSE)</f>
        <v>O.S.2A.TS.Ap.21</v>
      </c>
      <c r="M192" s="64" t="str">
        <f>VLOOKUP("*"&amp;M$5&amp;".Ap."&amp;M191,Check[],1,FALSE)</f>
        <v>O.S.2B.TS.Ap.22</v>
      </c>
      <c r="N192" s="64" t="str">
        <f>M192</f>
        <v>O.S.2B.TS.Ap.22</v>
      </c>
      <c r="O192" s="64" t="str">
        <f>VLOOKUP("*"&amp;O$5&amp;".Ap."&amp;O191,Check[],1,FALSE)</f>
        <v>O.S.2C.TS.Ap.23</v>
      </c>
      <c r="P192" s="64" t="str">
        <f>VLOOKUP("*"&amp;P$5&amp;".Ap."&amp;P191,Check[],1,FALSE)</f>
        <v>O.S.3A.TS.Ap.24</v>
      </c>
      <c r="Q192" s="64" t="str">
        <f>VLOOKUP("*"&amp;Q$5&amp;".Ap."&amp;Q191,Check[],1,FALSE)</f>
        <v>S.S.2D.TS.Ap.25</v>
      </c>
      <c r="R192" s="64" t="str">
        <f>Q192</f>
        <v>S.S.2D.TS.Ap.25</v>
      </c>
      <c r="S192" s="64" t="str">
        <f>VLOOKUP("*"&amp;S$5&amp;".Ap."&amp;S191,Check[],1,FALSE)</f>
        <v>V.GMS.S.2E.TS.Ap.26</v>
      </c>
      <c r="T192" s="64" t="str">
        <f>S192</f>
        <v>V.GMS.S.2E.TS.Ap.26</v>
      </c>
      <c r="U192" s="64" t="str">
        <f>VLOOKUP("*"&amp;U$5&amp;".Ap."&amp;U191,Check[],1,FALSE)</f>
        <v>O.S.2F.TS.Ap.27</v>
      </c>
      <c r="V192" s="64" t="str">
        <f>VLOOKUP("*"&amp;V$5&amp;".Ap."&amp;V191,Check[],1,FALSE)</f>
        <v>V.GMS.S.4A.TS.Ap.28</v>
      </c>
      <c r="W192" s="64" t="str">
        <f>V192</f>
        <v>V.GMS.S.4A.TS.Ap.28</v>
      </c>
      <c r="X192" s="64" t="str">
        <f>VLOOKUP("*"&amp;X$5&amp;".Ap."&amp;X191,Check[],1,FALSE)</f>
        <v>O.S.2G.TS.Ap.29</v>
      </c>
      <c r="Y192" s="64" t="str">
        <f>X192</f>
        <v>O.S.2G.TS.Ap.29</v>
      </c>
      <c r="Z192" s="64" t="str">
        <f>VLOOKUP("*"&amp;Z$5&amp;".Ap."&amp;Z191,Check[],1,FALSE)</f>
        <v>V.GMS.S.4B.TS.Ap.30</v>
      </c>
      <c r="AA192" s="65" t="str">
        <f>Z192</f>
        <v>V.GMS.S.4B.TS.Ap.30</v>
      </c>
      <c r="AB192" s="1850"/>
      <c r="AC192" s="50"/>
      <c r="AD192" s="50"/>
      <c r="AE192" s="50"/>
      <c r="AF192" s="50"/>
      <c r="AG192" s="50"/>
      <c r="AH192" s="50"/>
      <c r="AI192" s="50"/>
      <c r="AJ192" s="50"/>
      <c r="AK192" s="50"/>
      <c r="AL192" s="50"/>
      <c r="AM192" s="50"/>
      <c r="AN192" s="1853"/>
      <c r="AO192" s="74" t="str">
        <f>VLOOKUP("*"&amp;AO$5&amp;".Ap."&amp;AO191,Check[],1,FALSE)</f>
        <v>S.S.4B.TN.Ap.23</v>
      </c>
      <c r="AP192" s="72" t="str">
        <f>VLOOKUP("*"&amp;AP$5&amp;".Ap."&amp;AP191,Check[],1,FALSE)</f>
        <v>O.S.2G.TN.Ap.24</v>
      </c>
      <c r="AQ192" s="68" t="str">
        <f>AP192</f>
        <v>O.S.2G.TN.Ap.24</v>
      </c>
      <c r="AR192" s="64" t="str">
        <f>VLOOKUP("*"&amp;AR$5&amp;".Ap."&amp;AR191,Check[],1,FALSE)</f>
        <v>S.S.4A.TN.Ap.25</v>
      </c>
      <c r="AS192" s="64" t="str">
        <f>VLOOKUP("*"&amp;AS$5&amp;".Ap."&amp;AS191,Check[],1,FALSE)</f>
        <v>O.S.2F.TN.Ap.26</v>
      </c>
      <c r="AT192" s="72" t="str">
        <f>VLOOKUP("*"&amp;AT$5&amp;".Ap."&amp;AT191,Check[],1,FALSE)</f>
        <v>S.S.2E.TN.Ap.27</v>
      </c>
      <c r="AU192" s="68" t="str">
        <f>AT192</f>
        <v>S.S.2E.TN.Ap.27</v>
      </c>
      <c r="AV192" s="72" t="str">
        <f>VLOOKUP("*"&amp;AV$5&amp;".Ap."&amp;AV191,Check[],1,FALSE)</f>
        <v>S.S.2D.TN.Ap.28</v>
      </c>
      <c r="AW192" s="68" t="str">
        <f>AV192</f>
        <v>S.S.2D.TN.Ap.28</v>
      </c>
      <c r="AX192" s="64" t="str">
        <f>VLOOKUP("*"&amp;AX$5&amp;".Ap."&amp;AX191,Check[],1,FALSE)</f>
        <v>S.S.3A.TN.Ap.19</v>
      </c>
      <c r="AY192" s="72" t="str">
        <f>VLOOKUP("*"&amp;AY$5&amp;".Ap."&amp;AY191,Check[],1,FALSE)</f>
        <v>O.S.2C.TN.Ap.20</v>
      </c>
      <c r="AZ192" s="68" t="str">
        <f>AY192</f>
        <v>O.S.2C.TN.Ap.20</v>
      </c>
      <c r="BA192" s="72" t="str">
        <f>VLOOKUP("*"&amp;BA$5&amp;".Ap."&amp;BA191,Check[],1,FALSE)</f>
        <v>S.S.2B.TN.Ap.21</v>
      </c>
      <c r="BB192" s="68" t="str">
        <f>BA192</f>
        <v>S.S.2B.TN.Ap.21</v>
      </c>
      <c r="BC192" s="75" t="str">
        <f>VLOOKUP("*"&amp;BC$5&amp;".Ap."&amp;BC191,Check[],1,FALSE)</f>
        <v>O.S.2A.TN.Ap.22</v>
      </c>
      <c r="BD192" s="62"/>
      <c r="BE192" s="55"/>
      <c r="BF192" s="55"/>
      <c r="BG192" s="62"/>
      <c r="BH192" s="1492"/>
      <c r="BI192" s="1492"/>
      <c r="BJ192" s="1492"/>
      <c r="BK192" s="57"/>
      <c r="BL192" s="364" t="s">
        <v>89</v>
      </c>
      <c r="BM192" s="332">
        <f>BM196+1</f>
        <v>4</v>
      </c>
      <c r="BN192" s="1777"/>
      <c r="BP192" s="53" t="s">
        <v>89</v>
      </c>
    </row>
    <row r="193" spans="1:68" s="8" customFormat="1" ht="12" customHeight="1" x14ac:dyDescent="0.3">
      <c r="A193" s="1711"/>
      <c r="B193" s="260"/>
      <c r="C193" s="282" t="s">
        <v>65</v>
      </c>
      <c r="D193" s="25"/>
      <c r="E193" s="1492"/>
      <c r="F193" s="1492"/>
      <c r="G193" s="1492"/>
      <c r="H193" s="21"/>
      <c r="I193" s="21"/>
      <c r="J193" s="21"/>
      <c r="K193" s="21"/>
      <c r="L193" s="257">
        <f>VLOOKUP(L192,Check[],5,FALSE)</f>
        <v>21</v>
      </c>
      <c r="M193" s="237">
        <f>VLOOKUP(M192,Check[],5,FALSE)</f>
        <v>22</v>
      </c>
      <c r="N193" s="237"/>
      <c r="O193" s="248">
        <f>VLOOKUP(O192,Check[],5,FALSE)</f>
        <v>23</v>
      </c>
      <c r="P193" s="248">
        <f>VLOOKUP(P192,Check[],5,FALSE)</f>
        <v>24</v>
      </c>
      <c r="Q193" s="237">
        <f>VLOOKUP(Q192,Check[],5,FALSE)</f>
        <v>25</v>
      </c>
      <c r="R193" s="237"/>
      <c r="S193" s="237">
        <f>VLOOKUP(S192,Check[],5,FALSE)</f>
        <v>26</v>
      </c>
      <c r="T193" s="237"/>
      <c r="U193" s="248">
        <f>VLOOKUP(U192,Check[],5,FALSE)</f>
        <v>27</v>
      </c>
      <c r="V193" s="237">
        <f>VLOOKUP(V192,Check[],5,FALSE)</f>
        <v>28</v>
      </c>
      <c r="W193" s="237"/>
      <c r="X193" s="237">
        <f>VLOOKUP(X192,Check[],5,FALSE)</f>
        <v>29</v>
      </c>
      <c r="Y193" s="237"/>
      <c r="Z193" s="237">
        <f>VLOOKUP(Z192,Check[],5,FALSE)</f>
        <v>30</v>
      </c>
      <c r="AA193" s="233"/>
      <c r="AB193" s="1850"/>
      <c r="AC193" s="19"/>
      <c r="AD193" s="19"/>
      <c r="AE193" s="19"/>
      <c r="AF193" s="19"/>
      <c r="AG193" s="19"/>
      <c r="AH193" s="19"/>
      <c r="AI193" s="19"/>
      <c r="AJ193" s="19"/>
      <c r="AK193" s="19"/>
      <c r="AL193" s="19"/>
      <c r="AM193" s="19"/>
      <c r="AN193" s="1853"/>
      <c r="AO193" s="258">
        <f>VLOOKUP(AO192,Check[],5,FALSE)</f>
        <v>23</v>
      </c>
      <c r="AP193" s="243">
        <f>VLOOKUP(AP192,Check[],5,FALSE)</f>
        <v>24</v>
      </c>
      <c r="AQ193" s="240"/>
      <c r="AR193" s="248">
        <f>VLOOKUP(AR192,Check[],5,FALSE)</f>
        <v>25</v>
      </c>
      <c r="AS193" s="248">
        <f>VLOOKUP(AS192,Check[],5,FALSE)</f>
        <v>26</v>
      </c>
      <c r="AT193" s="243">
        <f>VLOOKUP(AT192,Check[],5,FALSE)</f>
        <v>27</v>
      </c>
      <c r="AU193" s="240"/>
      <c r="AV193" s="243">
        <f>VLOOKUP(AV192,Check[],5,FALSE)</f>
        <v>28</v>
      </c>
      <c r="AW193" s="240"/>
      <c r="AX193" s="248">
        <f>VLOOKUP(AX192,Check[],5,FALSE)</f>
        <v>19</v>
      </c>
      <c r="AY193" s="243">
        <f>VLOOKUP(AY192,Check[],5,FALSE)</f>
        <v>20</v>
      </c>
      <c r="AZ193" s="240"/>
      <c r="BA193" s="243">
        <f>VLOOKUP(BA192,Check[],5,FALSE)</f>
        <v>21</v>
      </c>
      <c r="BB193" s="240"/>
      <c r="BC193" s="259">
        <f>VLOOKUP(BC192,Check[],5,FALSE)</f>
        <v>22</v>
      </c>
      <c r="BD193" s="37"/>
      <c r="BE193" s="21"/>
      <c r="BF193" s="21"/>
      <c r="BG193" s="37"/>
      <c r="BH193" s="1492"/>
      <c r="BI193" s="1492"/>
      <c r="BJ193" s="1492"/>
      <c r="BK193" s="31"/>
      <c r="BL193" s="365" t="s">
        <v>65</v>
      </c>
      <c r="BM193" s="333"/>
      <c r="BN193" s="1777"/>
      <c r="BP193" s="236" t="s">
        <v>1078</v>
      </c>
    </row>
    <row r="194" spans="1:68" s="196" customFormat="1" ht="15" customHeight="1" thickBot="1" x14ac:dyDescent="0.4">
      <c r="A194" s="1712"/>
      <c r="B194" s="223">
        <f>B198+3.48</f>
        <v>20.440000000000001</v>
      </c>
      <c r="C194" s="283" t="s">
        <v>1</v>
      </c>
      <c r="D194" s="204"/>
      <c r="E194" s="1493"/>
      <c r="F194" s="1493"/>
      <c r="G194" s="1493"/>
      <c r="H194" s="203"/>
      <c r="I194" s="203"/>
      <c r="J194" s="203"/>
      <c r="K194" s="203"/>
      <c r="L194" s="220">
        <f>VLOOKUP(L192,Check[],6,FALSE)</f>
        <v>401</v>
      </c>
      <c r="M194" s="199">
        <f>VLOOKUP(M192,Check[],6,FALSE)</f>
        <v>402</v>
      </c>
      <c r="N194" s="199"/>
      <c r="O194" s="193">
        <f>VLOOKUP(O192,Check[],6,FALSE)</f>
        <v>403</v>
      </c>
      <c r="P194" s="193">
        <f>VLOOKUP(P192,Check[],6,FALSE)</f>
        <v>404</v>
      </c>
      <c r="Q194" s="199">
        <f>VLOOKUP(Q192,Check[],6,FALSE)</f>
        <v>405</v>
      </c>
      <c r="R194" s="199"/>
      <c r="S194" s="199">
        <f>VLOOKUP(S192,Check[],6,FALSE)</f>
        <v>406</v>
      </c>
      <c r="T194" s="199"/>
      <c r="U194" s="193">
        <f>VLOOKUP(U192,Check[],6,FALSE)</f>
        <v>407</v>
      </c>
      <c r="V194" s="199">
        <f>VLOOKUP(V192,Check[],6,FALSE)</f>
        <v>408</v>
      </c>
      <c r="W194" s="199"/>
      <c r="X194" s="199">
        <f>VLOOKUP(X192,Check[],6,FALSE)</f>
        <v>409</v>
      </c>
      <c r="Y194" s="199"/>
      <c r="Z194" s="199">
        <f>VLOOKUP(Z192,Check[],6,FALSE)</f>
        <v>410</v>
      </c>
      <c r="AA194" s="191"/>
      <c r="AB194" s="1850"/>
      <c r="AC194" s="192"/>
      <c r="AD194" s="192"/>
      <c r="AE194" s="192"/>
      <c r="AF194" s="192"/>
      <c r="AG194" s="192"/>
      <c r="AH194" s="192"/>
      <c r="AI194" s="192"/>
      <c r="AJ194" s="192"/>
      <c r="AK194" s="192"/>
      <c r="AL194" s="192"/>
      <c r="AM194" s="192"/>
      <c r="AN194" s="1853"/>
      <c r="AO194" s="221">
        <f>VLOOKUP(AO192,Check[],6,FALSE)</f>
        <v>402</v>
      </c>
      <c r="AP194" s="211">
        <f>VLOOKUP(AP192,Check[],6,FALSE)</f>
        <v>403</v>
      </c>
      <c r="AQ194" s="202"/>
      <c r="AR194" s="193">
        <f>VLOOKUP(AR192,Check[],6,FALSE)</f>
        <v>404</v>
      </c>
      <c r="AS194" s="193">
        <f>VLOOKUP(AS192,Check[],6,FALSE)</f>
        <v>405</v>
      </c>
      <c r="AT194" s="211">
        <f>VLOOKUP(AT192,Check[],6,FALSE)</f>
        <v>406</v>
      </c>
      <c r="AU194" s="202"/>
      <c r="AV194" s="211">
        <f>VLOOKUP(AV192,Check[],6,FALSE)</f>
        <v>407</v>
      </c>
      <c r="AW194" s="202"/>
      <c r="AX194" s="193">
        <f>VLOOKUP(AX192,Check[],6,FALSE)</f>
        <v>408</v>
      </c>
      <c r="AY194" s="211">
        <f>VLOOKUP(AY192,Check[],6,FALSE)</f>
        <v>409</v>
      </c>
      <c r="AZ194" s="202"/>
      <c r="BA194" s="211">
        <f>VLOOKUP(BA192,Check[],6,FALSE)</f>
        <v>410</v>
      </c>
      <c r="BB194" s="202"/>
      <c r="BC194" s="222">
        <f>VLOOKUP(BC192,Check[],6,FALSE)</f>
        <v>401</v>
      </c>
      <c r="BD194" s="218"/>
      <c r="BE194" s="203"/>
      <c r="BF194" s="203"/>
      <c r="BG194" s="218"/>
      <c r="BH194" s="1493"/>
      <c r="BI194" s="1493"/>
      <c r="BJ194" s="1493"/>
      <c r="BK194" s="205"/>
      <c r="BL194" s="366" t="s">
        <v>1</v>
      </c>
      <c r="BM194" s="198">
        <f>BM198+3.48</f>
        <v>20.440000000000001</v>
      </c>
      <c r="BN194" s="1778"/>
      <c r="BP194" s="197" t="s">
        <v>1</v>
      </c>
    </row>
    <row r="195" spans="1:68" s="110" customFormat="1" ht="21.95" customHeight="1" x14ac:dyDescent="0.45">
      <c r="A195" s="1711"/>
      <c r="B195" s="331" t="str">
        <f>_xlfn.CONCAT("קומה ",B196)</f>
        <v>קומה 3</v>
      </c>
      <c r="C195" s="281" t="s">
        <v>0</v>
      </c>
      <c r="D195" s="117"/>
      <c r="E195" s="1494"/>
      <c r="F195" s="1494"/>
      <c r="G195" s="1494"/>
      <c r="H195" s="116"/>
      <c r="I195" s="116"/>
      <c r="J195" s="116"/>
      <c r="K195" s="116"/>
      <c r="L195" s="176">
        <v>11</v>
      </c>
      <c r="M195" s="112">
        <v>12</v>
      </c>
      <c r="N195" s="112"/>
      <c r="O195" s="159">
        <v>13</v>
      </c>
      <c r="P195" s="159">
        <v>14</v>
      </c>
      <c r="Q195" s="112">
        <v>15</v>
      </c>
      <c r="R195" s="112"/>
      <c r="S195" s="112">
        <v>16</v>
      </c>
      <c r="T195" s="112"/>
      <c r="U195" s="159">
        <v>17</v>
      </c>
      <c r="V195" s="112">
        <v>18</v>
      </c>
      <c r="W195" s="112"/>
      <c r="X195" s="112">
        <v>19</v>
      </c>
      <c r="Y195" s="112"/>
      <c r="Z195" s="112">
        <v>20</v>
      </c>
      <c r="AA195" s="121"/>
      <c r="AB195" s="1850"/>
      <c r="AC195" s="107"/>
      <c r="AD195" s="107"/>
      <c r="AE195" s="107"/>
      <c r="AF195" s="107"/>
      <c r="AG195" s="107"/>
      <c r="AH195" s="107"/>
      <c r="AI195" s="107"/>
      <c r="AJ195" s="107"/>
      <c r="AK195" s="107"/>
      <c r="AL195" s="107"/>
      <c r="AM195" s="107"/>
      <c r="AN195" s="1853"/>
      <c r="AO195" s="177">
        <v>13</v>
      </c>
      <c r="AP195" s="123">
        <v>14</v>
      </c>
      <c r="AQ195" s="115"/>
      <c r="AR195" s="159">
        <v>15</v>
      </c>
      <c r="AS195" s="159">
        <v>16</v>
      </c>
      <c r="AT195" s="123">
        <v>17</v>
      </c>
      <c r="AU195" s="115"/>
      <c r="AV195" s="123">
        <v>18</v>
      </c>
      <c r="AW195" s="115"/>
      <c r="AX195" s="159">
        <v>9</v>
      </c>
      <c r="AY195" s="123">
        <v>10</v>
      </c>
      <c r="AZ195" s="115"/>
      <c r="BA195" s="123">
        <v>11</v>
      </c>
      <c r="BB195" s="115"/>
      <c r="BC195" s="178">
        <v>12</v>
      </c>
      <c r="BD195" s="163"/>
      <c r="BE195" s="116"/>
      <c r="BF195" s="116"/>
      <c r="BG195" s="163"/>
      <c r="BH195" s="1494"/>
      <c r="BI195" s="1494"/>
      <c r="BJ195" s="1494"/>
      <c r="BK195" s="119"/>
      <c r="BL195" s="364" t="s">
        <v>0</v>
      </c>
      <c r="BM195" s="331" t="str">
        <f>_xlfn.CONCAT("קומה ",BM196)</f>
        <v>קומה 3</v>
      </c>
      <c r="BN195" s="1777"/>
      <c r="BP195" s="111" t="s">
        <v>0</v>
      </c>
    </row>
    <row r="196" spans="1:68" s="52" customFormat="1" ht="9.9499999999999993" hidden="1" customHeight="1" x14ac:dyDescent="0.2">
      <c r="A196" s="1711"/>
      <c r="B196" s="332">
        <f>B200+1</f>
        <v>3</v>
      </c>
      <c r="C196" s="281" t="s">
        <v>89</v>
      </c>
      <c r="D196" s="56"/>
      <c r="E196" s="1495"/>
      <c r="F196" s="1495"/>
      <c r="G196" s="1495"/>
      <c r="H196" s="55"/>
      <c r="I196" s="55"/>
      <c r="J196" s="55"/>
      <c r="K196" s="55"/>
      <c r="L196" s="66" t="str">
        <f>VLOOKUP("*"&amp;L$5&amp;".Ap."&amp;L195,Check[],1,FALSE)</f>
        <v>S.S.2A.TS.Ap.11</v>
      </c>
      <c r="M196" s="64" t="str">
        <f>VLOOKUP("*"&amp;M$5&amp;".Ap."&amp;M195,Check[],1,FALSE)</f>
        <v>S.S.2B.TS.Ap.12</v>
      </c>
      <c r="N196" s="64" t="str">
        <f>M196</f>
        <v>S.S.2B.TS.Ap.12</v>
      </c>
      <c r="O196" s="64" t="str">
        <f>VLOOKUP("*"&amp;O$5&amp;".Ap."&amp;O195,Check[],1,FALSE)</f>
        <v>S.S.2C.TS.Ap.13</v>
      </c>
      <c r="P196" s="64" t="str">
        <f>VLOOKUP("*"&amp;P$5&amp;".Ap."&amp;P195,Check[],1,FALSE)</f>
        <v>O.S.3A.TS.Ap.14</v>
      </c>
      <c r="Q196" s="64" t="str">
        <f>VLOOKUP("*"&amp;Q$5&amp;".Ap."&amp;Q195,Check[],1,FALSE)</f>
        <v>S.S.2D.TS.Ap.15</v>
      </c>
      <c r="R196" s="64" t="str">
        <f t="shared" ref="R196" si="1328">Q196</f>
        <v>S.S.2D.TS.Ap.15</v>
      </c>
      <c r="S196" s="64" t="str">
        <f>VLOOKUP("*"&amp;S$5&amp;".Ap."&amp;S195,Check[],1,FALSE)</f>
        <v>V.GMS.S.2E.TS.Ap.16</v>
      </c>
      <c r="T196" s="64" t="str">
        <f t="shared" ref="T196" si="1329">S196</f>
        <v>V.GMS.S.2E.TS.Ap.16</v>
      </c>
      <c r="U196" s="64" t="str">
        <f>VLOOKUP("*"&amp;U$5&amp;".Ap."&amp;U195,Check[],1,FALSE)</f>
        <v>O.S.2F.TS.Ap.17</v>
      </c>
      <c r="V196" s="64" t="str">
        <f>VLOOKUP("*"&amp;V$5&amp;".Ap."&amp;V195,Check[],1,FALSE)</f>
        <v>V.GMS.S.4A.TS.Ap.18</v>
      </c>
      <c r="W196" s="64" t="str">
        <f>V196</f>
        <v>V.GMS.S.4A.TS.Ap.18</v>
      </c>
      <c r="X196" s="64" t="str">
        <f>VLOOKUP("*"&amp;X$5&amp;".Ap."&amp;X195,Check[],1,FALSE)</f>
        <v>O.S.2G.TS.Ap.19</v>
      </c>
      <c r="Y196" s="64" t="str">
        <f>X196</f>
        <v>O.S.2G.TS.Ap.19</v>
      </c>
      <c r="Z196" s="64" t="str">
        <f>VLOOKUP("*"&amp;Z$5&amp;".Ap."&amp;Z195,Check[],1,FALSE)</f>
        <v>V.GMS.S.4B.TS.Ap.20</v>
      </c>
      <c r="AA196" s="65" t="str">
        <f>Z196</f>
        <v>V.GMS.S.4B.TS.Ap.20</v>
      </c>
      <c r="AB196" s="1850"/>
      <c r="AC196" s="50"/>
      <c r="AD196" s="50"/>
      <c r="AE196" s="50"/>
      <c r="AF196" s="50"/>
      <c r="AG196" s="50"/>
      <c r="AH196" s="50"/>
      <c r="AI196" s="50"/>
      <c r="AJ196" s="50"/>
      <c r="AK196" s="50"/>
      <c r="AL196" s="50"/>
      <c r="AM196" s="50"/>
      <c r="AN196" s="1853"/>
      <c r="AO196" s="74" t="str">
        <f>VLOOKUP("*"&amp;AO$5&amp;".Ap."&amp;AO195,Check[],1,FALSE)</f>
        <v>S.S.4B.TN.Ap.13</v>
      </c>
      <c r="AP196" s="72" t="str">
        <f>VLOOKUP("*"&amp;AP$5&amp;".Ap."&amp;AP195,Check[],1,FALSE)</f>
        <v>O.S.2G.TN.Ap.14</v>
      </c>
      <c r="AQ196" s="68" t="str">
        <f>AP196</f>
        <v>O.S.2G.TN.Ap.14</v>
      </c>
      <c r="AR196" s="64" t="str">
        <f>VLOOKUP("*"&amp;AR$5&amp;".Ap."&amp;AR195,Check[],1,FALSE)</f>
        <v>V.GMS.S.4A.TN.Ap.15</v>
      </c>
      <c r="AS196" s="64" t="str">
        <f>VLOOKUP("*"&amp;AS$5&amp;".Ap."&amp;AS195,Check[],1,FALSE)</f>
        <v>S.S.2F.TN.Ap.16</v>
      </c>
      <c r="AT196" s="72" t="str">
        <f>VLOOKUP("*"&amp;AT$5&amp;".Ap."&amp;AT195,Check[],1,FALSE)</f>
        <v>S.S.2E.TN.Ap.17</v>
      </c>
      <c r="AU196" s="68" t="str">
        <f>AT196</f>
        <v>S.S.2E.TN.Ap.17</v>
      </c>
      <c r="AV196" s="72" t="str">
        <f>VLOOKUP("*"&amp;AV$5&amp;".Ap."&amp;AV195,Check[],1,FALSE)</f>
        <v>S.S.2D.TN.Ap.18</v>
      </c>
      <c r="AW196" s="68" t="str">
        <f>AV196</f>
        <v>S.S.2D.TN.Ap.18</v>
      </c>
      <c r="AX196" s="64" t="str">
        <f>VLOOKUP("*"&amp;AX$5&amp;".Ap."&amp;AX195,Check[],1,FALSE)</f>
        <v>S.S.3A.TN.Ap.9</v>
      </c>
      <c r="AY196" s="72" t="str">
        <f>VLOOKUP("*"&amp;AY$5&amp;".Ap."&amp;AY195,Check[],1,FALSE)</f>
        <v>S.S.2C.TN.Ap.10</v>
      </c>
      <c r="AZ196" s="68" t="str">
        <f>AY196</f>
        <v>S.S.2C.TN.Ap.10</v>
      </c>
      <c r="BA196" s="72" t="str">
        <f>VLOOKUP("*"&amp;BA$5&amp;".Ap."&amp;BA195,Check[],1,FALSE)</f>
        <v>O.S.2B.TN.Ap.11</v>
      </c>
      <c r="BB196" s="68" t="str">
        <f>BA196</f>
        <v>O.S.2B.TN.Ap.11</v>
      </c>
      <c r="BC196" s="75" t="str">
        <f>VLOOKUP("*"&amp;BC$5&amp;".Ap."&amp;BC195,Check[],1,FALSE)</f>
        <v>O.S.2A.TN.Ap.12</v>
      </c>
      <c r="BD196" s="62"/>
      <c r="BE196" s="55"/>
      <c r="BF196" s="55"/>
      <c r="BG196" s="62"/>
      <c r="BH196" s="1495"/>
      <c r="BI196" s="1495"/>
      <c r="BJ196" s="1495"/>
      <c r="BK196" s="57"/>
      <c r="BL196" s="364" t="s">
        <v>89</v>
      </c>
      <c r="BM196" s="332">
        <f>BM200+1</f>
        <v>3</v>
      </c>
      <c r="BN196" s="1777"/>
      <c r="BP196" s="53" t="s">
        <v>89</v>
      </c>
    </row>
    <row r="197" spans="1:68" s="8" customFormat="1" ht="12" customHeight="1" x14ac:dyDescent="0.3">
      <c r="A197" s="1711"/>
      <c r="B197" s="333"/>
      <c r="C197" s="282" t="s">
        <v>65</v>
      </c>
      <c r="D197" s="25"/>
      <c r="E197" s="1495"/>
      <c r="F197" s="1495"/>
      <c r="G197" s="1495"/>
      <c r="H197" s="21"/>
      <c r="I197" s="21"/>
      <c r="J197" s="21"/>
      <c r="K197" s="21"/>
      <c r="L197" s="257">
        <f>VLOOKUP(L196,Check[],5,FALSE)</f>
        <v>11</v>
      </c>
      <c r="M197" s="237">
        <f>VLOOKUP(M196,Check[],5,FALSE)</f>
        <v>12</v>
      </c>
      <c r="N197" s="237"/>
      <c r="O197" s="248">
        <f>VLOOKUP(O196,Check[],5,FALSE)</f>
        <v>13</v>
      </c>
      <c r="P197" s="248">
        <f>VLOOKUP(P196,Check[],5,FALSE)</f>
        <v>14</v>
      </c>
      <c r="Q197" s="237">
        <f>VLOOKUP(Q196,Check[],5,FALSE)</f>
        <v>15</v>
      </c>
      <c r="R197" s="237"/>
      <c r="S197" s="237">
        <f>VLOOKUP(S196,Check[],5,FALSE)</f>
        <v>16</v>
      </c>
      <c r="T197" s="237"/>
      <c r="U197" s="248">
        <f>VLOOKUP(U196,Check[],5,FALSE)</f>
        <v>17</v>
      </c>
      <c r="V197" s="237">
        <f>VLOOKUP(V196,Check[],5,FALSE)</f>
        <v>18</v>
      </c>
      <c r="W197" s="237"/>
      <c r="X197" s="237">
        <f>VLOOKUP(X196,Check[],5,FALSE)</f>
        <v>19</v>
      </c>
      <c r="Y197" s="237"/>
      <c r="Z197" s="237">
        <f>VLOOKUP(Z196,Check[],5,FALSE)</f>
        <v>20</v>
      </c>
      <c r="AA197" s="233"/>
      <c r="AB197" s="1850"/>
      <c r="AC197" s="19"/>
      <c r="AD197" s="19"/>
      <c r="AE197" s="19"/>
      <c r="AF197" s="19"/>
      <c r="AG197" s="19"/>
      <c r="AH197" s="19"/>
      <c r="AI197" s="19"/>
      <c r="AJ197" s="19"/>
      <c r="AK197" s="19"/>
      <c r="AL197" s="19"/>
      <c r="AM197" s="19"/>
      <c r="AN197" s="1853"/>
      <c r="AO197" s="258">
        <f>VLOOKUP(AO196,Check[],5,FALSE)</f>
        <v>13</v>
      </c>
      <c r="AP197" s="243">
        <f>VLOOKUP(AP196,Check[],5,FALSE)</f>
        <v>14</v>
      </c>
      <c r="AQ197" s="240"/>
      <c r="AR197" s="248">
        <f>VLOOKUP(AR196,Check[],5,FALSE)</f>
        <v>15</v>
      </c>
      <c r="AS197" s="248">
        <f>VLOOKUP(AS196,Check[],5,FALSE)</f>
        <v>16</v>
      </c>
      <c r="AT197" s="243">
        <f>VLOOKUP(AT196,Check[],5,FALSE)</f>
        <v>17</v>
      </c>
      <c r="AU197" s="240"/>
      <c r="AV197" s="243">
        <f>VLOOKUP(AV196,Check[],5,FALSE)</f>
        <v>18</v>
      </c>
      <c r="AW197" s="240"/>
      <c r="AX197" s="248">
        <f>VLOOKUP(AX196,Check[],5,FALSE)</f>
        <v>9</v>
      </c>
      <c r="AY197" s="243">
        <f>VLOOKUP(AY196,Check[],5,FALSE)</f>
        <v>10</v>
      </c>
      <c r="AZ197" s="240"/>
      <c r="BA197" s="243">
        <f>VLOOKUP(BA196,Check[],5,FALSE)</f>
        <v>11</v>
      </c>
      <c r="BB197" s="240"/>
      <c r="BC197" s="259">
        <f>VLOOKUP(BC196,Check[],5,FALSE)</f>
        <v>12</v>
      </c>
      <c r="BD197" s="37"/>
      <c r="BE197" s="21"/>
      <c r="BF197" s="21"/>
      <c r="BG197" s="37"/>
      <c r="BH197" s="1495"/>
      <c r="BI197" s="1495"/>
      <c r="BJ197" s="1495"/>
      <c r="BK197" s="31"/>
      <c r="BL197" s="365" t="s">
        <v>65</v>
      </c>
      <c r="BM197" s="333"/>
      <c r="BN197" s="1777"/>
      <c r="BP197" s="236" t="s">
        <v>1078</v>
      </c>
    </row>
    <row r="198" spans="1:68" s="196" customFormat="1" ht="15" customHeight="1" thickBot="1" x14ac:dyDescent="0.4">
      <c r="A198" s="1712"/>
      <c r="B198" s="198">
        <v>16.96</v>
      </c>
      <c r="C198" s="283" t="s">
        <v>1</v>
      </c>
      <c r="D198" s="204"/>
      <c r="E198" s="1496"/>
      <c r="F198" s="1496"/>
      <c r="G198" s="1496"/>
      <c r="H198" s="203"/>
      <c r="I198" s="203"/>
      <c r="J198" s="203"/>
      <c r="K198" s="203"/>
      <c r="L198" s="225">
        <f>VLOOKUP(L196,Check[],6,FALSE)</f>
        <v>301</v>
      </c>
      <c r="M198" s="199">
        <f>VLOOKUP(M196,Check[],6,FALSE)</f>
        <v>302</v>
      </c>
      <c r="N198" s="199"/>
      <c r="O198" s="193">
        <f>VLOOKUP(O196,Check[],6,FALSE)</f>
        <v>303</v>
      </c>
      <c r="P198" s="193">
        <f>VLOOKUP(P196,Check[],6,FALSE)</f>
        <v>304</v>
      </c>
      <c r="Q198" s="199">
        <f>VLOOKUP(Q196,Check[],6,FALSE)</f>
        <v>305</v>
      </c>
      <c r="R198" s="199"/>
      <c r="S198" s="199">
        <f>VLOOKUP(S196,Check[],6,FALSE)</f>
        <v>306</v>
      </c>
      <c r="T198" s="199"/>
      <c r="U198" s="193">
        <f>VLOOKUP(U196,Check[],6,FALSE)</f>
        <v>307</v>
      </c>
      <c r="V198" s="338">
        <f>VLOOKUP(V196,Check[],6,FALSE)</f>
        <v>308</v>
      </c>
      <c r="W198" s="338"/>
      <c r="X198" s="338">
        <f>VLOOKUP(X196,Check[],6,FALSE)</f>
        <v>309</v>
      </c>
      <c r="Y198" s="338"/>
      <c r="Z198" s="338">
        <f>VLOOKUP(Z196,Check[],6,FALSE)</f>
        <v>310</v>
      </c>
      <c r="AA198" s="339"/>
      <c r="AB198" s="1851"/>
      <c r="AC198" s="192"/>
      <c r="AD198" s="192"/>
      <c r="AE198" s="192"/>
      <c r="AF198" s="192"/>
      <c r="AG198" s="192"/>
      <c r="AH198" s="192"/>
      <c r="AI198" s="192"/>
      <c r="AJ198" s="192"/>
      <c r="AK198" s="192"/>
      <c r="AL198" s="192"/>
      <c r="AM198" s="192"/>
      <c r="AN198" s="1854"/>
      <c r="AO198" s="221">
        <f>VLOOKUP(AO196,Check[],6,FALSE)</f>
        <v>302</v>
      </c>
      <c r="AP198" s="211">
        <f>VLOOKUP(AP196,Check[],6,FALSE)</f>
        <v>303</v>
      </c>
      <c r="AQ198" s="202"/>
      <c r="AR198" s="193">
        <f>VLOOKUP(AR196,Check[],6,FALSE)</f>
        <v>304</v>
      </c>
      <c r="AS198" s="193">
        <f>VLOOKUP(AS196,Check[],6,FALSE)</f>
        <v>305</v>
      </c>
      <c r="AT198" s="211">
        <f>VLOOKUP(AT196,Check[],6,FALSE)</f>
        <v>306</v>
      </c>
      <c r="AU198" s="202"/>
      <c r="AV198" s="211">
        <f>VLOOKUP(AV196,Check[],6,FALSE)</f>
        <v>307</v>
      </c>
      <c r="AW198" s="202"/>
      <c r="AX198" s="193">
        <f>VLOOKUP(AX196,Check[],6,FALSE)</f>
        <v>308</v>
      </c>
      <c r="AY198" s="211">
        <f>VLOOKUP(AY196,Check[],6,FALSE)</f>
        <v>309</v>
      </c>
      <c r="AZ198" s="202"/>
      <c r="BA198" s="211">
        <f>VLOOKUP(BA196,Check[],6,FALSE)</f>
        <v>310</v>
      </c>
      <c r="BB198" s="202"/>
      <c r="BC198" s="222">
        <f>VLOOKUP(BC196,Check[],6,FALSE)</f>
        <v>301</v>
      </c>
      <c r="BD198" s="218"/>
      <c r="BE198" s="203"/>
      <c r="BF198" s="203"/>
      <c r="BG198" s="218"/>
      <c r="BH198" s="1496"/>
      <c r="BI198" s="1496"/>
      <c r="BJ198" s="1496"/>
      <c r="BK198" s="205"/>
      <c r="BL198" s="366" t="s">
        <v>1</v>
      </c>
      <c r="BM198" s="198">
        <v>16.96</v>
      </c>
      <c r="BN198" s="1778"/>
      <c r="BP198" s="197" t="s">
        <v>1</v>
      </c>
    </row>
    <row r="199" spans="1:68" s="110" customFormat="1" ht="21.95" customHeight="1" x14ac:dyDescent="0.45">
      <c r="A199" s="1706" t="s">
        <v>58</v>
      </c>
      <c r="B199" s="334" t="str">
        <f>_xlfn.CONCAT("קומה ",B200)</f>
        <v>קומה 2</v>
      </c>
      <c r="C199" s="284" t="s">
        <v>0</v>
      </c>
      <c r="D199" s="117"/>
      <c r="E199" s="1494"/>
      <c r="F199" s="1494"/>
      <c r="G199" s="1494"/>
      <c r="H199" s="116"/>
      <c r="I199" s="116"/>
      <c r="J199" s="116"/>
      <c r="K199" s="116"/>
      <c r="L199" s="182">
        <v>4</v>
      </c>
      <c r="M199" s="112">
        <v>5</v>
      </c>
      <c r="N199" s="112"/>
      <c r="O199" s="159">
        <v>6</v>
      </c>
      <c r="P199" s="159">
        <v>7</v>
      </c>
      <c r="Q199" s="112">
        <v>8</v>
      </c>
      <c r="R199" s="112"/>
      <c r="S199" s="112">
        <v>9</v>
      </c>
      <c r="T199" s="112"/>
      <c r="U199" s="183">
        <v>10</v>
      </c>
      <c r="V199" s="1855" t="s">
        <v>46</v>
      </c>
      <c r="W199" s="1856"/>
      <c r="X199" s="1856"/>
      <c r="Y199" s="1856"/>
      <c r="Z199" s="1856"/>
      <c r="AA199" s="1857"/>
      <c r="AB199" s="184" t="s">
        <v>50</v>
      </c>
      <c r="AC199" s="185"/>
      <c r="AD199" s="185"/>
      <c r="AE199" s="185"/>
      <c r="AF199" s="185"/>
      <c r="AG199" s="185"/>
      <c r="AH199" s="185"/>
      <c r="AI199" s="185"/>
      <c r="AJ199" s="185"/>
      <c r="AK199" s="185"/>
      <c r="AL199" s="185"/>
      <c r="AM199" s="185"/>
      <c r="AN199" s="186"/>
      <c r="AO199" s="177">
        <v>4</v>
      </c>
      <c r="AP199" s="112">
        <v>5</v>
      </c>
      <c r="AQ199" s="112"/>
      <c r="AR199" s="159">
        <v>6</v>
      </c>
      <c r="AS199" s="112">
        <v>7</v>
      </c>
      <c r="AT199" s="112"/>
      <c r="AU199" s="112"/>
      <c r="AV199" s="112">
        <v>1</v>
      </c>
      <c r="AW199" s="112"/>
      <c r="AX199" s="112"/>
      <c r="AY199" s="112">
        <v>2</v>
      </c>
      <c r="AZ199" s="112"/>
      <c r="BA199" s="112">
        <v>3</v>
      </c>
      <c r="BB199" s="112"/>
      <c r="BC199" s="178">
        <v>8</v>
      </c>
      <c r="BD199" s="163"/>
      <c r="BE199" s="116"/>
      <c r="BF199" s="116"/>
      <c r="BG199" s="163"/>
      <c r="BH199" s="1494"/>
      <c r="BI199" s="1494"/>
      <c r="BJ199" s="1494"/>
      <c r="BK199" s="119"/>
      <c r="BL199" s="367" t="s">
        <v>0</v>
      </c>
      <c r="BM199" s="334" t="str">
        <f>_xlfn.CONCAT("קומה ",BM200)</f>
        <v>קומה 2</v>
      </c>
      <c r="BN199" s="1708" t="s">
        <v>59</v>
      </c>
      <c r="BP199" s="111" t="s">
        <v>0</v>
      </c>
    </row>
    <row r="200" spans="1:68" s="52" customFormat="1" ht="9.9499999999999993" hidden="1" customHeight="1" x14ac:dyDescent="0.2">
      <c r="A200" s="1706"/>
      <c r="B200" s="335">
        <f>B204+1</f>
        <v>2</v>
      </c>
      <c r="C200" s="284" t="s">
        <v>89</v>
      </c>
      <c r="D200" s="56"/>
      <c r="E200" s="1495"/>
      <c r="F200" s="1495"/>
      <c r="G200" s="1495"/>
      <c r="H200" s="55"/>
      <c r="I200" s="55"/>
      <c r="J200" s="55"/>
      <c r="K200" s="55"/>
      <c r="L200" s="63" t="str">
        <f>VLOOKUP("*"&amp;L$5&amp;".Ap."&amp;L199,Check[],1,FALSE)</f>
        <v>S.S.2A.TS.Ap.4</v>
      </c>
      <c r="M200" s="64" t="str">
        <f>VLOOKUP("*"&amp;M$5&amp;".Ap."&amp;M199,Check[],1,FALSE)</f>
        <v>O.S.2B.TS.Ap.5</v>
      </c>
      <c r="N200" s="64" t="str">
        <f>M200</f>
        <v>O.S.2B.TS.Ap.5</v>
      </c>
      <c r="O200" s="64" t="str">
        <f>VLOOKUP("*"&amp;O$5&amp;".Ap."&amp;O199,Check[],1,FALSE)</f>
        <v>O.S.2C.TS.Ap.6</v>
      </c>
      <c r="P200" s="64" t="str">
        <f>VLOOKUP("*"&amp;P$5&amp;".Ap."&amp;P199,Check[],1,FALSE)</f>
        <v>O.S.3A.TS.Ap.7</v>
      </c>
      <c r="Q200" s="64" t="str">
        <f>VLOOKUP("*"&amp;Q$5&amp;".Ap."&amp;Q199,Check[],1,FALSE)</f>
        <v>O.S.2D.TS.Ap.8</v>
      </c>
      <c r="R200" s="64" t="str">
        <f>Q200</f>
        <v>O.S.2D.TS.Ap.8</v>
      </c>
      <c r="S200" s="64" t="str">
        <f>VLOOKUP("*"&amp;S$5&amp;".Ap."&amp;S199,Check[],1,FALSE)</f>
        <v>V.GMS.S.2E.TS.Ap.9</v>
      </c>
      <c r="T200" s="64" t="str">
        <f>S200</f>
        <v>V.GMS.S.2E.TS.Ap.9</v>
      </c>
      <c r="U200" s="65" t="str">
        <f>VLOOKUP("*"&amp;U$5&amp;".Ap."&amp;U199,Check[],1,FALSE)</f>
        <v>V.GMS.S.2F.TS.Ap.10</v>
      </c>
      <c r="V200" s="1855"/>
      <c r="W200" s="1856"/>
      <c r="X200" s="1856"/>
      <c r="Y200" s="1856"/>
      <c r="Z200" s="1856"/>
      <c r="AA200" s="1857"/>
      <c r="AB200" s="50"/>
      <c r="AC200" s="50"/>
      <c r="AD200" s="50"/>
      <c r="AE200" s="50"/>
      <c r="AF200" s="50"/>
      <c r="AG200" s="50"/>
      <c r="AH200" s="50"/>
      <c r="AI200" s="50"/>
      <c r="AJ200" s="50"/>
      <c r="AK200" s="50"/>
      <c r="AL200" s="50"/>
      <c r="AM200" s="50"/>
      <c r="AN200" s="61"/>
      <c r="AO200" s="74" t="str">
        <f>VLOOKUP("*"&amp;AO$5&amp;".Ap."&amp;AO199,Check[],1,FALSE)</f>
        <v>S.S.4B.TN.Ap.4</v>
      </c>
      <c r="AP200" s="64" t="str">
        <f>VLOOKUP("*"&amp;AP$5&amp;".Ap."&amp;AP199,Check[],1,FALSE)</f>
        <v>O.S.2G.TN.Ap.5</v>
      </c>
      <c r="AQ200" s="64" t="str">
        <f>AP200</f>
        <v>O.S.2G.TN.Ap.5</v>
      </c>
      <c r="AR200" s="64" t="str">
        <f>VLOOKUP("*"&amp;AR$5&amp;".Ap."&amp;AR199,Check[],1,FALSE)</f>
        <v>V.GMS.S.4A.TN.Ap.6</v>
      </c>
      <c r="AS200" s="64" t="str">
        <f>VLOOKUP("*"&amp;AS$5&amp;".Ap."&amp;AS199,Check[],1,FALSE)</f>
        <v>O.S.4H.TN.Ap.7</v>
      </c>
      <c r="AT200" s="64" t="str">
        <f t="shared" ref="AT200:AU200" si="1330">AS200</f>
        <v>O.S.4H.TN.Ap.7</v>
      </c>
      <c r="AU200" s="64" t="str">
        <f t="shared" si="1330"/>
        <v>O.S.4H.TN.Ap.7</v>
      </c>
      <c r="AV200" s="64" t="str">
        <f>VLOOKUP("*"&amp;AV$5&amp;".Ap."&amp;AV199,Check[],1,FALSE)</f>
        <v>O.S.4G.TN.Ap.1</v>
      </c>
      <c r="AW200" s="64" t="str">
        <f t="shared" ref="AW200:AX200" si="1331">AV200</f>
        <v>O.S.4G.TN.Ap.1</v>
      </c>
      <c r="AX200" s="64" t="str">
        <f t="shared" si="1331"/>
        <v>O.S.4G.TN.Ap.1</v>
      </c>
      <c r="AY200" s="64" t="str">
        <f>VLOOKUP("*"&amp;AY$5&amp;".Ap."&amp;AY199,Check[],1,FALSE)</f>
        <v>S.S.2C.TN.Ap.2</v>
      </c>
      <c r="AZ200" s="64" t="str">
        <f>AY200</f>
        <v>S.S.2C.TN.Ap.2</v>
      </c>
      <c r="BA200" s="64" t="str">
        <f>VLOOKUP("*"&amp;BA$5&amp;".Ap."&amp;BA199,Check[],1,FALSE)</f>
        <v>S.S.2B.TN.Ap.3</v>
      </c>
      <c r="BB200" s="64" t="str">
        <f>BA200</f>
        <v>S.S.2B.TN.Ap.3</v>
      </c>
      <c r="BC200" s="75" t="str">
        <f>VLOOKUP("*"&amp;BC$5&amp;".Ap."&amp;BC199,Check[],1,FALSE)</f>
        <v>S.S.2A.TN.Ap.8</v>
      </c>
      <c r="BD200" s="62"/>
      <c r="BE200" s="55"/>
      <c r="BF200" s="55"/>
      <c r="BG200" s="62"/>
      <c r="BH200" s="1495"/>
      <c r="BI200" s="1495"/>
      <c r="BJ200" s="1495"/>
      <c r="BK200" s="57"/>
      <c r="BL200" s="367" t="s">
        <v>89</v>
      </c>
      <c r="BM200" s="335">
        <f>BM204+1</f>
        <v>2</v>
      </c>
      <c r="BN200" s="1709"/>
      <c r="BP200" s="53" t="s">
        <v>89</v>
      </c>
    </row>
    <row r="201" spans="1:68" s="8" customFormat="1" ht="12" customHeight="1" thickBot="1" x14ac:dyDescent="0.35">
      <c r="A201" s="1706"/>
      <c r="B201" s="336"/>
      <c r="C201" s="285" t="s">
        <v>65</v>
      </c>
      <c r="D201" s="25"/>
      <c r="E201" s="1495"/>
      <c r="F201" s="1495"/>
      <c r="G201" s="1495"/>
      <c r="H201" s="21"/>
      <c r="I201" s="21"/>
      <c r="J201" s="21"/>
      <c r="K201" s="21"/>
      <c r="L201" s="261">
        <f>VLOOKUP(L200,Check[],5,FALSE)</f>
        <v>4</v>
      </c>
      <c r="M201" s="237">
        <f>VLOOKUP(M200,Check[],5,FALSE)</f>
        <v>5</v>
      </c>
      <c r="N201" s="237"/>
      <c r="O201" s="248">
        <f>VLOOKUP(O200,Check[],5,FALSE)</f>
        <v>6</v>
      </c>
      <c r="P201" s="248">
        <f>VLOOKUP(P200,Check[],5,FALSE)</f>
        <v>7</v>
      </c>
      <c r="Q201" s="237">
        <f>VLOOKUP(Q200,Check[],5,FALSE)</f>
        <v>8</v>
      </c>
      <c r="R201" s="237"/>
      <c r="S201" s="237">
        <f>VLOOKUP(S200,Check[],5,FALSE)</f>
        <v>9</v>
      </c>
      <c r="T201" s="237"/>
      <c r="U201" s="262">
        <f>VLOOKUP(U200,Check[],5,FALSE)</f>
        <v>10</v>
      </c>
      <c r="V201" s="1855"/>
      <c r="W201" s="1856"/>
      <c r="X201" s="1856"/>
      <c r="Y201" s="1856"/>
      <c r="Z201" s="1856"/>
      <c r="AA201" s="1857"/>
      <c r="AB201" s="373"/>
      <c r="AC201" s="374"/>
      <c r="AD201" s="374"/>
      <c r="AE201" s="374"/>
      <c r="AF201" s="374"/>
      <c r="AG201" s="374"/>
      <c r="AH201" s="374"/>
      <c r="AI201" s="374"/>
      <c r="AJ201" s="374"/>
      <c r="AK201" s="374"/>
      <c r="AL201" s="374"/>
      <c r="AM201" s="374"/>
      <c r="AN201" s="375"/>
      <c r="AO201" s="258">
        <f>VLOOKUP(AO200,Check[],5,FALSE)</f>
        <v>4</v>
      </c>
      <c r="AP201" s="237">
        <f>VLOOKUP(AP200,Check[],5,FALSE)</f>
        <v>5</v>
      </c>
      <c r="AQ201" s="237"/>
      <c r="AR201" s="248">
        <f>VLOOKUP(AR200,Check[],5,FALSE)</f>
        <v>6</v>
      </c>
      <c r="AS201" s="237">
        <f>VLOOKUP(AS200,Check[],5,FALSE)</f>
        <v>7</v>
      </c>
      <c r="AT201" s="237"/>
      <c r="AU201" s="237"/>
      <c r="AV201" s="237">
        <f>VLOOKUP(AV200,Check[],5,FALSE)</f>
        <v>1</v>
      </c>
      <c r="AW201" s="237"/>
      <c r="AX201" s="237"/>
      <c r="AY201" s="237">
        <f>VLOOKUP(AY200,Check[],5,FALSE)</f>
        <v>2</v>
      </c>
      <c r="AZ201" s="237"/>
      <c r="BA201" s="237">
        <f>VLOOKUP(BA200,Check[],5,FALSE)</f>
        <v>3</v>
      </c>
      <c r="BB201" s="237"/>
      <c r="BC201" s="259">
        <f>VLOOKUP(BC200,Check[],5,FALSE)</f>
        <v>8</v>
      </c>
      <c r="BD201" s="37"/>
      <c r="BE201" s="21"/>
      <c r="BF201" s="21"/>
      <c r="BG201" s="37"/>
      <c r="BH201" s="1495"/>
      <c r="BI201" s="1495"/>
      <c r="BJ201" s="1495"/>
      <c r="BK201" s="31"/>
      <c r="BL201" s="368" t="s">
        <v>65</v>
      </c>
      <c r="BM201" s="336"/>
      <c r="BN201" s="1709"/>
      <c r="BP201" s="236" t="s">
        <v>1078</v>
      </c>
    </row>
    <row r="202" spans="1:68" s="196" customFormat="1" ht="15" customHeight="1" thickTop="1" thickBot="1" x14ac:dyDescent="0.4">
      <c r="A202" s="1707"/>
      <c r="B202" s="224">
        <v>13.36</v>
      </c>
      <c r="C202" s="286" t="s">
        <v>1</v>
      </c>
      <c r="D202" s="204"/>
      <c r="E202" s="1496"/>
      <c r="F202" s="1496"/>
      <c r="G202" s="1496"/>
      <c r="H202" s="203"/>
      <c r="I202" s="203"/>
      <c r="J202" s="203"/>
      <c r="K202" s="203"/>
      <c r="L202" s="340">
        <f>VLOOKUP(L200,Check[],6,FALSE)</f>
        <v>201</v>
      </c>
      <c r="M202" s="338">
        <f>VLOOKUP(M200,Check[],6,FALSE)</f>
        <v>202</v>
      </c>
      <c r="N202" s="338"/>
      <c r="O202" s="193">
        <f>VLOOKUP(O200,Check[],6,FALSE)</f>
        <v>203</v>
      </c>
      <c r="P202" s="193">
        <f>VLOOKUP(P200,Check[],6,FALSE)</f>
        <v>204</v>
      </c>
      <c r="Q202" s="199">
        <f>VLOOKUP(Q200,Check[],6,FALSE)</f>
        <v>205</v>
      </c>
      <c r="R202" s="199"/>
      <c r="S202" s="199">
        <f>VLOOKUP(S200,Check[],6,FALSE)</f>
        <v>206</v>
      </c>
      <c r="T202" s="199"/>
      <c r="U202" s="226">
        <f>VLOOKUP(U200,Check[],6,FALSE)</f>
        <v>207</v>
      </c>
      <c r="V202" s="1858"/>
      <c r="W202" s="1859"/>
      <c r="X202" s="1859"/>
      <c r="Y202" s="1859"/>
      <c r="Z202" s="1859"/>
      <c r="AA202" s="1860"/>
      <c r="AB202" s="227"/>
      <c r="AC202" s="228"/>
      <c r="AD202" s="228"/>
      <c r="AE202" s="228"/>
      <c r="AF202" s="228"/>
      <c r="AG202" s="228"/>
      <c r="AH202" s="228"/>
      <c r="AI202" s="228"/>
      <c r="AJ202" s="228"/>
      <c r="AK202" s="228"/>
      <c r="AL202" s="228"/>
      <c r="AM202" s="228"/>
      <c r="AN202" s="229"/>
      <c r="AO202" s="337">
        <f>VLOOKUP(AO200,Check[],6,FALSE)</f>
        <v>202</v>
      </c>
      <c r="AP202" s="338">
        <f>VLOOKUP(AP200,Check[],6,FALSE)</f>
        <v>203</v>
      </c>
      <c r="AQ202" s="338"/>
      <c r="AR202" s="341">
        <f>VLOOKUP(AR200,Check[],6,FALSE)</f>
        <v>204</v>
      </c>
      <c r="AS202" s="338">
        <f>VLOOKUP(AS200,Check[],6,FALSE)</f>
        <v>205</v>
      </c>
      <c r="AT202" s="338"/>
      <c r="AU202" s="338"/>
      <c r="AV202" s="338">
        <f>VLOOKUP(AV200,Check[],6,FALSE)</f>
        <v>206</v>
      </c>
      <c r="AW202" s="338"/>
      <c r="AX202" s="338"/>
      <c r="AY202" s="338">
        <f>VLOOKUP(AY200,Check[],6,FALSE)</f>
        <v>207</v>
      </c>
      <c r="AZ202" s="338"/>
      <c r="BA202" s="338">
        <f>VLOOKUP(BA200,Check[],6,FALSE)</f>
        <v>208</v>
      </c>
      <c r="BB202" s="338"/>
      <c r="BC202" s="342">
        <f>VLOOKUP(BC200,Check[],6,FALSE)</f>
        <v>201</v>
      </c>
      <c r="BD202" s="218"/>
      <c r="BE202" s="203"/>
      <c r="BF202" s="203"/>
      <c r="BG202" s="218"/>
      <c r="BH202" s="1496"/>
      <c r="BI202" s="1496"/>
      <c r="BJ202" s="1496"/>
      <c r="BK202" s="205"/>
      <c r="BL202" s="369" t="s">
        <v>1</v>
      </c>
      <c r="BM202" s="224">
        <v>13.36</v>
      </c>
      <c r="BN202" s="1710"/>
      <c r="BP202" s="197" t="s">
        <v>1</v>
      </c>
    </row>
    <row r="203" spans="1:68" s="110" customFormat="1" ht="21.95" customHeight="1" thickTop="1" x14ac:dyDescent="0.45">
      <c r="A203" s="1711" t="s">
        <v>57</v>
      </c>
      <c r="B203" s="162" t="str">
        <f>_xlfn.CONCAT("קומה ",B204)</f>
        <v>קומה 1</v>
      </c>
      <c r="C203" s="281" t="s">
        <v>0</v>
      </c>
      <c r="D203" s="117"/>
      <c r="E203" s="116"/>
      <c r="F203" s="116"/>
      <c r="G203" s="116"/>
      <c r="H203" s="116"/>
      <c r="I203" s="116"/>
      <c r="J203" s="116"/>
      <c r="K203" s="116"/>
      <c r="L203" s="1753" t="s">
        <v>128</v>
      </c>
      <c r="M203" s="1756" t="s">
        <v>1077</v>
      </c>
      <c r="N203" s="1757"/>
      <c r="O203" s="176">
        <v>1</v>
      </c>
      <c r="P203" s="112">
        <v>2</v>
      </c>
      <c r="Q203" s="112"/>
      <c r="R203" s="112"/>
      <c r="S203" s="112">
        <v>3</v>
      </c>
      <c r="T203" s="112"/>
      <c r="U203" s="121"/>
      <c r="V203" s="1728" t="s">
        <v>46</v>
      </c>
      <c r="W203" s="1729"/>
      <c r="X203" s="1734" t="s">
        <v>47</v>
      </c>
      <c r="Y203" s="1729"/>
      <c r="Z203" s="1846" t="s">
        <v>1081</v>
      </c>
      <c r="AA203" s="1725" t="s">
        <v>1083</v>
      </c>
      <c r="AB203" s="295"/>
      <c r="AC203" s="296"/>
      <c r="AD203" s="1936" t="s">
        <v>1206</v>
      </c>
      <c r="AE203" s="1937"/>
      <c r="AF203" s="1937"/>
      <c r="AG203" s="1937"/>
      <c r="AH203" s="1937"/>
      <c r="AI203" s="1937"/>
      <c r="AJ203" s="1937"/>
      <c r="AK203" s="1937"/>
      <c r="AL203" s="1937"/>
      <c r="AM203" s="1747" t="s">
        <v>49</v>
      </c>
      <c r="AN203" s="1748"/>
      <c r="AO203" s="299"/>
      <c r="AP203" s="300"/>
      <c r="AQ203" s="300"/>
      <c r="AR203" s="300"/>
      <c r="AS203" s="300"/>
      <c r="AT203" s="300"/>
      <c r="AU203" s="300"/>
      <c r="AV203" s="300"/>
      <c r="AW203" s="300"/>
      <c r="AX203" s="300"/>
      <c r="AY203" s="1812">
        <v>33</v>
      </c>
      <c r="AZ203" s="300"/>
      <c r="BA203" s="301"/>
      <c r="BB203" s="302"/>
      <c r="BC203" s="303"/>
      <c r="BD203" s="163"/>
      <c r="BE203" s="116"/>
      <c r="BF203" s="116"/>
      <c r="BG203" s="163"/>
      <c r="BH203" s="116"/>
      <c r="BI203" s="116"/>
      <c r="BJ203" s="116"/>
      <c r="BK203" s="119"/>
      <c r="BL203" s="364" t="s">
        <v>0</v>
      </c>
      <c r="BM203" s="352" t="str">
        <f>_xlfn.CONCAT("קומה ",BM204)</f>
        <v>קומה 1</v>
      </c>
      <c r="BN203" s="343" t="s">
        <v>83</v>
      </c>
      <c r="BP203" s="111" t="s">
        <v>0</v>
      </c>
    </row>
    <row r="204" spans="1:68" s="52" customFormat="1" ht="9.9499999999999993" hidden="1" customHeight="1" x14ac:dyDescent="0.2">
      <c r="A204" s="1711"/>
      <c r="B204" s="80">
        <v>1</v>
      </c>
      <c r="C204" s="281" t="s">
        <v>89</v>
      </c>
      <c r="D204" s="56"/>
      <c r="E204" s="55"/>
      <c r="F204" s="55"/>
      <c r="G204" s="55"/>
      <c r="H204" s="55"/>
      <c r="I204" s="55"/>
      <c r="J204" s="55"/>
      <c r="K204" s="55"/>
      <c r="L204" s="1754"/>
      <c r="M204" s="1758"/>
      <c r="N204" s="1759"/>
      <c r="O204" s="66" t="str">
        <f>VLOOKUP("*"&amp;O$5&amp;".Ap."&amp;O203,Check[],1,FALSE)</f>
        <v>O.S.2C.TS.Ap.1</v>
      </c>
      <c r="P204" s="64" t="str">
        <f>VLOOKUP("*"&amp;P$5&amp;".Ap."&amp;P203,Check[],1,FALSE)</f>
        <v>O.S.4G.TS.Ap.2</v>
      </c>
      <c r="Q204" s="64" t="str">
        <f>P204</f>
        <v>O.S.4G.TS.Ap.2</v>
      </c>
      <c r="R204" s="64" t="str">
        <f>Q204</f>
        <v>O.S.4G.TS.Ap.2</v>
      </c>
      <c r="S204" s="64" t="str">
        <f>VLOOKUP("*"&amp;S$5&amp;".Ap."&amp;S203,Check[],1,FALSE)</f>
        <v>O.S.4H.TS.Ap.3</v>
      </c>
      <c r="T204" s="64" t="str">
        <f>S204</f>
        <v>O.S.4H.TS.Ap.3</v>
      </c>
      <c r="U204" s="65" t="str">
        <f>T204</f>
        <v>O.S.4H.TS.Ap.3</v>
      </c>
      <c r="V204" s="1730"/>
      <c r="W204" s="1731"/>
      <c r="X204" s="1735"/>
      <c r="Y204" s="1731"/>
      <c r="Z204" s="1847"/>
      <c r="AA204" s="1726"/>
      <c r="AB204" s="296"/>
      <c r="AC204" s="296"/>
      <c r="AD204" s="1938"/>
      <c r="AE204" s="1938"/>
      <c r="AF204" s="1938"/>
      <c r="AG204" s="1938"/>
      <c r="AH204" s="1938"/>
      <c r="AI204" s="1938"/>
      <c r="AJ204" s="1938"/>
      <c r="AK204" s="1938"/>
      <c r="AL204" s="1938"/>
      <c r="AM204" s="1749"/>
      <c r="AN204" s="1750"/>
      <c r="AO204" s="299"/>
      <c r="AP204" s="300"/>
      <c r="AQ204" s="300"/>
      <c r="AR204" s="300"/>
      <c r="AS204" s="300"/>
      <c r="AT204" s="300"/>
      <c r="AU204" s="300"/>
      <c r="AV204" s="300"/>
      <c r="AW204" s="300"/>
      <c r="AX204" s="300"/>
      <c r="AY204" s="1812"/>
      <c r="AZ204" s="300"/>
      <c r="BA204" s="301"/>
      <c r="BB204" s="302"/>
      <c r="BC204" s="303"/>
      <c r="BD204" s="62"/>
      <c r="BE204" s="55"/>
      <c r="BF204" s="55"/>
      <c r="BG204" s="62"/>
      <c r="BH204" s="55"/>
      <c r="BI204" s="55"/>
      <c r="BJ204" s="55"/>
      <c r="BK204" s="57"/>
      <c r="BL204" s="364" t="s">
        <v>89</v>
      </c>
      <c r="BM204" s="353">
        <v>1</v>
      </c>
      <c r="BN204" s="344">
        <v>1</v>
      </c>
      <c r="BP204" s="53" t="s">
        <v>89</v>
      </c>
    </row>
    <row r="205" spans="1:68" s="8" customFormat="1" ht="12" customHeight="1" x14ac:dyDescent="0.3">
      <c r="A205" s="1711"/>
      <c r="B205" s="250"/>
      <c r="C205" s="282" t="s">
        <v>65</v>
      </c>
      <c r="D205" s="25"/>
      <c r="E205" s="21"/>
      <c r="F205" s="21"/>
      <c r="G205" s="21"/>
      <c r="H205" s="21"/>
      <c r="I205" s="21"/>
      <c r="J205" s="21"/>
      <c r="K205" s="21"/>
      <c r="L205" s="1754"/>
      <c r="M205" s="1758"/>
      <c r="N205" s="1759"/>
      <c r="O205" s="257">
        <f>VLOOKUP(O204,Check[],5,FALSE)</f>
        <v>1</v>
      </c>
      <c r="P205" s="237">
        <f>VLOOKUP(P204,Check[],5,FALSE)</f>
        <v>2</v>
      </c>
      <c r="Q205" s="237"/>
      <c r="R205" s="237"/>
      <c r="S205" s="237">
        <f>VLOOKUP(S204,Check[],5,FALSE)</f>
        <v>3</v>
      </c>
      <c r="T205" s="237"/>
      <c r="U205" s="233"/>
      <c r="V205" s="1730"/>
      <c r="W205" s="1731"/>
      <c r="X205" s="1735"/>
      <c r="Y205" s="1731"/>
      <c r="Z205" s="1847"/>
      <c r="AA205" s="1726"/>
      <c r="AB205" s="1743" t="s">
        <v>48</v>
      </c>
      <c r="AC205" s="1744"/>
      <c r="AD205" s="1938"/>
      <c r="AE205" s="1938"/>
      <c r="AF205" s="1938"/>
      <c r="AG205" s="1938"/>
      <c r="AH205" s="1938"/>
      <c r="AI205" s="1938"/>
      <c r="AJ205" s="1938"/>
      <c r="AK205" s="1938"/>
      <c r="AL205" s="1938"/>
      <c r="AM205" s="1751"/>
      <c r="AN205" s="1752"/>
      <c r="AO205" s="304" t="s">
        <v>129</v>
      </c>
      <c r="AP205" s="305"/>
      <c r="AQ205" s="305"/>
      <c r="AR205" s="305"/>
      <c r="AS205" s="305"/>
      <c r="AT205" s="305"/>
      <c r="AU205" s="305"/>
      <c r="AV205" s="305"/>
      <c r="AW205" s="305"/>
      <c r="AX205" s="305"/>
      <c r="AY205" s="1812"/>
      <c r="AZ205" s="305"/>
      <c r="BA205" s="306" t="s">
        <v>110</v>
      </c>
      <c r="BB205" s="307"/>
      <c r="BC205" s="308"/>
      <c r="BD205" s="37"/>
      <c r="BE205" s="21"/>
      <c r="BF205" s="21"/>
      <c r="BG205" s="37"/>
      <c r="BH205" s="21"/>
      <c r="BI205" s="21"/>
      <c r="BJ205" s="21"/>
      <c r="BK205" s="31"/>
      <c r="BL205" s="365" t="s">
        <v>65</v>
      </c>
      <c r="BM205" s="354"/>
      <c r="BN205" s="345"/>
      <c r="BP205" s="236" t="s">
        <v>1078</v>
      </c>
    </row>
    <row r="206" spans="1:68" s="196" customFormat="1" ht="15" customHeight="1" thickBot="1" x14ac:dyDescent="0.4">
      <c r="A206" s="1712"/>
      <c r="B206" s="217">
        <v>9.76</v>
      </c>
      <c r="C206" s="283" t="s">
        <v>1</v>
      </c>
      <c r="D206" s="204"/>
      <c r="E206" s="203"/>
      <c r="F206" s="203"/>
      <c r="G206" s="203"/>
      <c r="H206" s="203"/>
      <c r="I206" s="203"/>
      <c r="J206" s="203"/>
      <c r="K206" s="203"/>
      <c r="L206" s="1755"/>
      <c r="M206" s="1760"/>
      <c r="N206" s="1761"/>
      <c r="O206" s="337">
        <f>VLOOKUP(O204,Check[],6,FALSE)</f>
        <v>101</v>
      </c>
      <c r="P206" s="338">
        <f>VLOOKUP(P204,Check[],6,FALSE)</f>
        <v>102</v>
      </c>
      <c r="Q206" s="338"/>
      <c r="R206" s="338"/>
      <c r="S206" s="338">
        <f>VLOOKUP(S204,Check[],6,FALSE)</f>
        <v>103</v>
      </c>
      <c r="T206" s="338"/>
      <c r="U206" s="339"/>
      <c r="V206" s="1732"/>
      <c r="W206" s="1733"/>
      <c r="X206" s="1736"/>
      <c r="Y206" s="1733"/>
      <c r="Z206" s="1848"/>
      <c r="AA206" s="1727"/>
      <c r="AB206" s="1745"/>
      <c r="AC206" s="1746"/>
      <c r="AD206" s="1939"/>
      <c r="AE206" s="1939"/>
      <c r="AF206" s="1939"/>
      <c r="AG206" s="1939"/>
      <c r="AH206" s="1939"/>
      <c r="AI206" s="1939"/>
      <c r="AJ206" s="1939"/>
      <c r="AK206" s="1939"/>
      <c r="AL206" s="1939"/>
      <c r="AM206" s="296"/>
      <c r="AN206" s="297"/>
      <c r="AO206" s="299"/>
      <c r="AP206" s="300"/>
      <c r="AQ206" s="300"/>
      <c r="AR206" s="300"/>
      <c r="AS206" s="300"/>
      <c r="AT206" s="300"/>
      <c r="AU206" s="300"/>
      <c r="AV206" s="300"/>
      <c r="AW206" s="300"/>
      <c r="AX206" s="300"/>
      <c r="AY206" s="1813"/>
      <c r="AZ206" s="300"/>
      <c r="BA206" s="301"/>
      <c r="BB206" s="302"/>
      <c r="BC206" s="303"/>
      <c r="BD206" s="218"/>
      <c r="BE206" s="203"/>
      <c r="BF206" s="203"/>
      <c r="BG206" s="218"/>
      <c r="BH206" s="203"/>
      <c r="BI206" s="203"/>
      <c r="BJ206" s="203"/>
      <c r="BK206" s="205"/>
      <c r="BL206" s="366" t="s">
        <v>1</v>
      </c>
      <c r="BM206" s="355">
        <v>9.76</v>
      </c>
      <c r="BN206" s="346">
        <v>8.85</v>
      </c>
      <c r="BP206" s="197" t="s">
        <v>1</v>
      </c>
    </row>
    <row r="207" spans="1:68" ht="18" customHeight="1" x14ac:dyDescent="0.3">
      <c r="A207" s="1630" t="s">
        <v>37</v>
      </c>
      <c r="B207" s="1631"/>
      <c r="C207" s="1632"/>
      <c r="D207" s="24"/>
      <c r="E207" s="29"/>
      <c r="F207" s="29"/>
      <c r="G207" s="29"/>
      <c r="H207" s="29"/>
      <c r="I207" s="29"/>
      <c r="J207" s="29"/>
      <c r="K207" s="29"/>
      <c r="L207" s="1638" t="s">
        <v>189</v>
      </c>
      <c r="M207" s="1638"/>
      <c r="N207" s="1638"/>
      <c r="O207" s="1639"/>
      <c r="P207" s="1723" t="s">
        <v>113</v>
      </c>
      <c r="Q207" s="1610"/>
      <c r="R207" s="1610"/>
      <c r="S207" s="1610"/>
      <c r="T207" s="324">
        <v>31</v>
      </c>
      <c r="U207" s="1686" t="s">
        <v>112</v>
      </c>
      <c r="V207" s="1737" t="s">
        <v>110</v>
      </c>
      <c r="W207" s="1738"/>
      <c r="X207" s="1715" t="s">
        <v>191</v>
      </c>
      <c r="Y207" s="1716"/>
      <c r="Z207" s="1716"/>
      <c r="AA207" s="1675" t="s">
        <v>1084</v>
      </c>
      <c r="AB207" s="1861" t="s">
        <v>189</v>
      </c>
      <c r="AC207" s="1862"/>
      <c r="AD207" s="1862"/>
      <c r="AE207" s="1862"/>
      <c r="AF207" s="1862"/>
      <c r="AG207" s="1862"/>
      <c r="AH207" s="1862"/>
      <c r="AI207" s="1862"/>
      <c r="AJ207" s="1862"/>
      <c r="AK207" s="1862"/>
      <c r="AL207" s="1862"/>
      <c r="AM207" s="1863"/>
      <c r="AN207" s="287">
        <v>32</v>
      </c>
      <c r="AO207" s="1678" t="s">
        <v>129</v>
      </c>
      <c r="AP207" s="1678"/>
      <c r="AQ207" s="1678"/>
      <c r="AR207" s="1678"/>
      <c r="AS207" s="1678"/>
      <c r="AT207" s="1678"/>
      <c r="AU207" s="1678"/>
      <c r="AV207" s="1678"/>
      <c r="AW207" s="1678"/>
      <c r="AX207" s="1679"/>
      <c r="AY207" s="1814" t="s">
        <v>83</v>
      </c>
      <c r="AZ207" s="1696" t="s">
        <v>189</v>
      </c>
      <c r="BA207" s="1696"/>
      <c r="BB207" s="1696"/>
      <c r="BC207" s="1697"/>
      <c r="BD207" s="39"/>
      <c r="BE207" s="29"/>
      <c r="BF207" s="29"/>
      <c r="BG207" s="39"/>
      <c r="BH207" s="29"/>
      <c r="BI207" s="29"/>
      <c r="BJ207" s="29"/>
      <c r="BK207" s="33"/>
      <c r="BL207" s="1630" t="s">
        <v>37</v>
      </c>
      <c r="BM207" s="1631"/>
      <c r="BN207" s="1632"/>
      <c r="BP207" s="44" t="s">
        <v>0</v>
      </c>
    </row>
    <row r="208" spans="1:68" ht="18" customHeight="1" x14ac:dyDescent="0.3">
      <c r="A208" s="1525">
        <v>4.8</v>
      </c>
      <c r="B208" s="1526"/>
      <c r="C208" s="1527"/>
      <c r="D208" s="25"/>
      <c r="E208" s="21"/>
      <c r="F208" s="21"/>
      <c r="G208" s="21"/>
      <c r="H208" s="21"/>
      <c r="I208" s="21"/>
      <c r="J208" s="21"/>
      <c r="K208" s="21"/>
      <c r="L208" s="1638"/>
      <c r="M208" s="1638"/>
      <c r="N208" s="1638"/>
      <c r="O208" s="1639"/>
      <c r="P208" s="1723"/>
      <c r="Q208" s="1610"/>
      <c r="R208" s="1721" t="s">
        <v>190</v>
      </c>
      <c r="S208" s="1721"/>
      <c r="T208" s="1764" t="s">
        <v>45</v>
      </c>
      <c r="U208" s="1686"/>
      <c r="V208" s="1739"/>
      <c r="W208" s="1740"/>
      <c r="X208" s="1717"/>
      <c r="Y208" s="1718"/>
      <c r="Z208" s="1718"/>
      <c r="AA208" s="1676"/>
      <c r="AB208" s="1864" t="s">
        <v>111</v>
      </c>
      <c r="AC208" s="1865"/>
      <c r="AD208" s="1865"/>
      <c r="AE208" s="1865"/>
      <c r="AF208" s="1865"/>
      <c r="AG208" s="1865"/>
      <c r="AH208" s="1865"/>
      <c r="AI208" s="1865"/>
      <c r="AJ208" s="1865"/>
      <c r="AK208" s="1865"/>
      <c r="AL208" s="1865"/>
      <c r="AM208" s="1866"/>
      <c r="AN208" s="1762" t="s">
        <v>1082</v>
      </c>
      <c r="AO208" s="1681"/>
      <c r="AP208" s="1681"/>
      <c r="AQ208" s="1681"/>
      <c r="AR208" s="1681"/>
      <c r="AS208" s="1681"/>
      <c r="AT208" s="1681"/>
      <c r="AU208" s="1681"/>
      <c r="AV208" s="1681"/>
      <c r="AW208" s="1681"/>
      <c r="AX208" s="1682"/>
      <c r="AY208" s="1815"/>
      <c r="AZ208" s="1698"/>
      <c r="BA208" s="1698"/>
      <c r="BB208" s="1698"/>
      <c r="BC208" s="1699"/>
      <c r="BD208" s="37"/>
      <c r="BE208" s="21"/>
      <c r="BF208" s="21"/>
      <c r="BG208" s="37"/>
      <c r="BH208" s="21"/>
      <c r="BI208" s="21"/>
      <c r="BJ208" s="21"/>
      <c r="BK208" s="31"/>
      <c r="BL208" s="1525">
        <v>4.8</v>
      </c>
      <c r="BM208" s="1526"/>
      <c r="BN208" s="1527"/>
      <c r="BP208" s="45" t="s">
        <v>1078</v>
      </c>
    </row>
    <row r="209" spans="1:68" ht="18" customHeight="1" thickBot="1" x14ac:dyDescent="0.35">
      <c r="A209" s="1574"/>
      <c r="B209" s="1575"/>
      <c r="C209" s="1576"/>
      <c r="D209" s="26"/>
      <c r="E209" s="23"/>
      <c r="F209" s="23"/>
      <c r="G209" s="23"/>
      <c r="H209" s="23"/>
      <c r="I209" s="23"/>
      <c r="J209" s="23"/>
      <c r="K209" s="23"/>
      <c r="L209" s="1689"/>
      <c r="M209" s="1689"/>
      <c r="N209" s="1689"/>
      <c r="O209" s="1713"/>
      <c r="P209" s="1724"/>
      <c r="Q209" s="1611"/>
      <c r="R209" s="1722"/>
      <c r="S209" s="1722"/>
      <c r="T209" s="1765"/>
      <c r="U209" s="1714"/>
      <c r="V209" s="1741"/>
      <c r="W209" s="1742"/>
      <c r="X209" s="1719"/>
      <c r="Y209" s="1720"/>
      <c r="Z209" s="1720"/>
      <c r="AA209" s="290" t="s">
        <v>84</v>
      </c>
      <c r="AB209" s="1867" t="s">
        <v>117</v>
      </c>
      <c r="AC209" s="1868"/>
      <c r="AD209" s="1868"/>
      <c r="AE209" s="1868"/>
      <c r="AF209" s="1868"/>
      <c r="AG209" s="1868"/>
      <c r="AH209" s="1868"/>
      <c r="AI209" s="1868"/>
      <c r="AJ209" s="1868"/>
      <c r="AK209" s="1868"/>
      <c r="AL209" s="1868"/>
      <c r="AM209" s="1869"/>
      <c r="AN209" s="1763"/>
      <c r="AO209" s="1825"/>
      <c r="AP209" s="1825"/>
      <c r="AQ209" s="1825"/>
      <c r="AR209" s="1825"/>
      <c r="AS209" s="1825"/>
      <c r="AT209" s="1825"/>
      <c r="AU209" s="1825"/>
      <c r="AV209" s="1825"/>
      <c r="AW209" s="1825"/>
      <c r="AX209" s="1826"/>
      <c r="AY209" s="1816"/>
      <c r="AZ209" s="1700"/>
      <c r="BA209" s="1700"/>
      <c r="BB209" s="1700"/>
      <c r="BC209" s="1701"/>
      <c r="BD209" s="38"/>
      <c r="BE209" s="23"/>
      <c r="BF209" s="23"/>
      <c r="BG209" s="38"/>
      <c r="BH209" s="23"/>
      <c r="BI209" s="23"/>
      <c r="BJ209" s="23"/>
      <c r="BK209" s="32"/>
      <c r="BL209" s="1574"/>
      <c r="BM209" s="1575"/>
      <c r="BN209" s="1576"/>
      <c r="BP209" s="44" t="s">
        <v>1</v>
      </c>
    </row>
    <row r="210" spans="1:68" ht="18" customHeight="1" x14ac:dyDescent="0.3">
      <c r="A210" s="1569" t="s">
        <v>36</v>
      </c>
      <c r="B210" s="1570"/>
      <c r="C210" s="1571"/>
      <c r="D210" s="27"/>
      <c r="E210" s="30"/>
      <c r="F210" s="30"/>
      <c r="G210" s="30"/>
      <c r="H210" s="30"/>
      <c r="I210" s="30"/>
      <c r="J210" s="30"/>
      <c r="K210" s="30"/>
      <c r="L210" s="1636" t="s">
        <v>116</v>
      </c>
      <c r="M210" s="1636"/>
      <c r="N210" s="1636"/>
      <c r="O210" s="1637"/>
      <c r="P210" s="1642" t="s">
        <v>118</v>
      </c>
      <c r="Q210" s="1642"/>
      <c r="R210" s="1665"/>
      <c r="S210" s="1665"/>
      <c r="T210" s="1675" t="s">
        <v>1082</v>
      </c>
      <c r="U210" s="289" t="s">
        <v>193</v>
      </c>
      <c r="V210" s="1644" t="s">
        <v>114</v>
      </c>
      <c r="W210" s="287">
        <v>29</v>
      </c>
      <c r="X210" s="287">
        <v>30</v>
      </c>
      <c r="Y210" s="1610" t="s">
        <v>115</v>
      </c>
      <c r="Z210" s="1610"/>
      <c r="AA210" s="1610"/>
      <c r="AB210" s="1663" t="s">
        <v>116</v>
      </c>
      <c r="AC210" s="1636"/>
      <c r="AD210" s="1636"/>
      <c r="AE210" s="1636"/>
      <c r="AF210" s="1636"/>
      <c r="AG210" s="1636"/>
      <c r="AH210" s="1636"/>
      <c r="AI210" s="1636"/>
      <c r="AJ210" s="1636"/>
      <c r="AK210" s="1636"/>
      <c r="AL210" s="1636"/>
      <c r="AM210" s="1664"/>
      <c r="AN210" s="1673" t="s">
        <v>45</v>
      </c>
      <c r="AO210" s="1647" t="s">
        <v>119</v>
      </c>
      <c r="AP210" s="1647"/>
      <c r="AQ210" s="1647"/>
      <c r="AR210" s="1647"/>
      <c r="AS210" s="1822" t="s">
        <v>120</v>
      </c>
      <c r="AT210" s="1677" t="s">
        <v>129</v>
      </c>
      <c r="AU210" s="1678"/>
      <c r="AV210" s="1678"/>
      <c r="AW210" s="1678"/>
      <c r="AX210" s="1679"/>
      <c r="AY210" s="1814"/>
      <c r="AZ210" s="1636" t="s">
        <v>116</v>
      </c>
      <c r="BA210" s="1636"/>
      <c r="BB210" s="1636"/>
      <c r="BC210" s="1664"/>
      <c r="BD210" s="40"/>
      <c r="BE210" s="30"/>
      <c r="BF210" s="30"/>
      <c r="BG210" s="40"/>
      <c r="BH210" s="30"/>
      <c r="BI210" s="30"/>
      <c r="BJ210" s="30"/>
      <c r="BK210" s="34"/>
      <c r="BL210" s="1569" t="s">
        <v>36</v>
      </c>
      <c r="BM210" s="1570"/>
      <c r="BN210" s="1571"/>
      <c r="BP210" s="45" t="s">
        <v>0</v>
      </c>
    </row>
    <row r="211" spans="1:68" ht="18" customHeight="1" thickBot="1" x14ac:dyDescent="0.35">
      <c r="A211" s="1525">
        <v>0</v>
      </c>
      <c r="B211" s="1526"/>
      <c r="C211" s="1527"/>
      <c r="D211" s="28"/>
      <c r="E211" s="22"/>
      <c r="F211" s="22"/>
      <c r="G211" s="22"/>
      <c r="H211" s="22"/>
      <c r="I211" s="22"/>
      <c r="J211" s="22"/>
      <c r="K211" s="22"/>
      <c r="L211" s="1638"/>
      <c r="M211" s="1638"/>
      <c r="N211" s="1638"/>
      <c r="O211" s="1639"/>
      <c r="P211" s="1610"/>
      <c r="Q211" s="1610"/>
      <c r="R211" s="1666" t="s">
        <v>190</v>
      </c>
      <c r="S211" s="1667"/>
      <c r="T211" s="1676"/>
      <c r="U211" s="1686" t="s">
        <v>194</v>
      </c>
      <c r="V211" s="1645"/>
      <c r="W211" s="1704"/>
      <c r="X211" s="1704"/>
      <c r="Y211" s="1610"/>
      <c r="Z211" s="1610"/>
      <c r="AA211" s="1610"/>
      <c r="AB211" s="1688"/>
      <c r="AC211" s="1689"/>
      <c r="AD211" s="1689"/>
      <c r="AE211" s="1689"/>
      <c r="AF211" s="1689"/>
      <c r="AG211" s="1690" t="s">
        <v>192</v>
      </c>
      <c r="AH211" s="1691"/>
      <c r="AI211" s="1692"/>
      <c r="AJ211" s="298"/>
      <c r="AK211" s="298"/>
      <c r="AL211" s="298"/>
      <c r="AM211" s="298"/>
      <c r="AN211" s="1674"/>
      <c r="AO211" s="1648"/>
      <c r="AP211" s="1648"/>
      <c r="AQ211" s="1648"/>
      <c r="AR211" s="1648"/>
      <c r="AS211" s="1823"/>
      <c r="AT211" s="1680"/>
      <c r="AU211" s="1681"/>
      <c r="AV211" s="1681"/>
      <c r="AW211" s="1681"/>
      <c r="AX211" s="1682"/>
      <c r="AY211" s="1815"/>
      <c r="AZ211" s="1638"/>
      <c r="BA211" s="1638"/>
      <c r="BB211" s="1638"/>
      <c r="BC211" s="1702"/>
      <c r="BD211" s="36"/>
      <c r="BE211" s="22"/>
      <c r="BF211" s="22"/>
      <c r="BG211" s="36"/>
      <c r="BH211" s="22"/>
      <c r="BI211" s="22"/>
      <c r="BJ211" s="22"/>
      <c r="BK211" s="35"/>
      <c r="BL211" s="1525">
        <v>0</v>
      </c>
      <c r="BM211" s="1526"/>
      <c r="BN211" s="97">
        <v>0.4</v>
      </c>
      <c r="BP211" s="44" t="s">
        <v>1078</v>
      </c>
    </row>
    <row r="212" spans="1:68" ht="18" customHeight="1" thickBot="1" x14ac:dyDescent="0.35">
      <c r="A212" s="1585"/>
      <c r="B212" s="1586"/>
      <c r="C212" s="1587"/>
      <c r="D212" s="25"/>
      <c r="E212" s="21"/>
      <c r="F212" s="21"/>
      <c r="G212" s="21"/>
      <c r="H212" s="21"/>
      <c r="I212" s="21"/>
      <c r="J212" s="21"/>
      <c r="K212" s="21"/>
      <c r="L212" s="1640"/>
      <c r="M212" s="1640"/>
      <c r="N212" s="1640"/>
      <c r="O212" s="1641"/>
      <c r="P212" s="1643"/>
      <c r="Q212" s="1643"/>
      <c r="R212" s="1668"/>
      <c r="S212" s="1669"/>
      <c r="T212" s="288">
        <v>31</v>
      </c>
      <c r="U212" s="1687"/>
      <c r="V212" s="1646"/>
      <c r="W212" s="1705"/>
      <c r="X212" s="1705"/>
      <c r="Y212" s="1643"/>
      <c r="Z212" s="1643"/>
      <c r="AA212" s="1643"/>
      <c r="AB212" s="1643"/>
      <c r="AC212" s="1670"/>
      <c r="AD212" s="1693" t="s">
        <v>117</v>
      </c>
      <c r="AE212" s="1694"/>
      <c r="AF212" s="1694"/>
      <c r="AG212" s="1694"/>
      <c r="AH212" s="1694"/>
      <c r="AI212" s="1694"/>
      <c r="AJ212" s="1694"/>
      <c r="AK212" s="1694"/>
      <c r="AL212" s="1694"/>
      <c r="AM212" s="1695"/>
      <c r="AN212" s="288">
        <v>32</v>
      </c>
      <c r="AO212" s="1649"/>
      <c r="AP212" s="1649"/>
      <c r="AQ212" s="1649"/>
      <c r="AR212" s="1649"/>
      <c r="AS212" s="1824"/>
      <c r="AT212" s="1683"/>
      <c r="AU212" s="1684"/>
      <c r="AV212" s="1684"/>
      <c r="AW212" s="1684"/>
      <c r="AX212" s="1685"/>
      <c r="AY212" s="1816"/>
      <c r="AZ212" s="1640"/>
      <c r="BA212" s="1640"/>
      <c r="BB212" s="1640"/>
      <c r="BC212" s="1703"/>
      <c r="BD212" s="37"/>
      <c r="BE212" s="21"/>
      <c r="BF212" s="21"/>
      <c r="BG212" s="37"/>
      <c r="BH212" s="21"/>
      <c r="BI212" s="21"/>
      <c r="BJ212" s="21"/>
      <c r="BK212" s="31"/>
      <c r="BL212" s="1671"/>
      <c r="BM212" s="1672"/>
      <c r="BN212" s="347" t="s">
        <v>83</v>
      </c>
      <c r="BP212" s="45" t="s">
        <v>1</v>
      </c>
    </row>
    <row r="213" spans="1:68" ht="18" customHeight="1" thickTop="1" x14ac:dyDescent="0.3">
      <c r="A213" s="1630" t="s">
        <v>38</v>
      </c>
      <c r="B213" s="1631"/>
      <c r="C213" s="1632"/>
      <c r="D213" s="24"/>
      <c r="E213" s="29"/>
      <c r="F213" s="29"/>
      <c r="G213" s="29"/>
      <c r="H213" s="29"/>
      <c r="I213" s="29"/>
      <c r="J213" s="29"/>
      <c r="K213" s="29"/>
      <c r="L213" s="1545" t="s">
        <v>205</v>
      </c>
      <c r="M213" s="1547" t="s">
        <v>203</v>
      </c>
      <c r="N213" s="1548"/>
      <c r="O213" s="1549"/>
      <c r="P213" s="1550" t="s">
        <v>202</v>
      </c>
      <c r="Q213" s="1552" t="s">
        <v>201</v>
      </c>
      <c r="R213" s="1553"/>
      <c r="S213" s="1554"/>
      <c r="T213" s="1654" t="s">
        <v>44</v>
      </c>
      <c r="U213" s="1655"/>
      <c r="V213" s="1645" t="s">
        <v>121</v>
      </c>
      <c r="W213" s="1616" t="s">
        <v>45</v>
      </c>
      <c r="X213" s="1616" t="s">
        <v>45</v>
      </c>
      <c r="Y213" s="1609"/>
      <c r="Z213" s="1609"/>
      <c r="AA213" s="1609"/>
      <c r="AB213" s="1659" t="s">
        <v>123</v>
      </c>
      <c r="AC213" s="1659"/>
      <c r="AD213" s="1659"/>
      <c r="AE213" s="1659"/>
      <c r="AF213" s="1659"/>
      <c r="AG213" s="1659"/>
      <c r="AH213" s="1659"/>
      <c r="AI213" s="1659"/>
      <c r="AJ213" s="1659"/>
      <c r="AK213" s="1659"/>
      <c r="AL213" s="1659"/>
      <c r="AM213" s="1660" t="s">
        <v>195</v>
      </c>
      <c r="AN213" s="1660"/>
      <c r="AO213" s="1648"/>
      <c r="AP213" s="1648"/>
      <c r="AQ213" s="1648"/>
      <c r="AR213" s="1628" t="s">
        <v>124</v>
      </c>
      <c r="AS213" s="1628" t="s">
        <v>125</v>
      </c>
      <c r="AT213" s="1840" t="s">
        <v>196</v>
      </c>
      <c r="AU213" s="1841"/>
      <c r="AV213" s="1844" t="s">
        <v>197</v>
      </c>
      <c r="AW213" s="1650" t="s">
        <v>126</v>
      </c>
      <c r="AX213" s="1652" t="s">
        <v>127</v>
      </c>
      <c r="AY213" s="1817" t="s">
        <v>83</v>
      </c>
      <c r="AZ213" s="1558" t="s">
        <v>198</v>
      </c>
      <c r="BA213" s="1827" t="s">
        <v>199</v>
      </c>
      <c r="BB213" s="1545"/>
      <c r="BC213" s="1829" t="s">
        <v>200</v>
      </c>
      <c r="BD213" s="39"/>
      <c r="BE213" s="29"/>
      <c r="BF213" s="29"/>
      <c r="BG213" s="39"/>
      <c r="BH213" s="29"/>
      <c r="BI213" s="29"/>
      <c r="BJ213" s="29"/>
      <c r="BK213" s="33"/>
      <c r="BL213" s="1619" t="s">
        <v>38</v>
      </c>
      <c r="BM213" s="1620"/>
      <c r="BN213" s="1621"/>
      <c r="BP213" s="44" t="s">
        <v>0</v>
      </c>
    </row>
    <row r="214" spans="1:68" ht="18" customHeight="1" x14ac:dyDescent="0.3">
      <c r="A214" s="1525">
        <v>-8.4</v>
      </c>
      <c r="B214" s="1526"/>
      <c r="C214" s="1527"/>
      <c r="D214" s="25"/>
      <c r="E214" s="21"/>
      <c r="F214" s="21"/>
      <c r="G214" s="21"/>
      <c r="H214" s="21"/>
      <c r="I214" s="21"/>
      <c r="J214" s="21"/>
      <c r="K214" s="21"/>
      <c r="L214" s="1545"/>
      <c r="M214" s="1622" t="s">
        <v>204</v>
      </c>
      <c r="N214" s="1622"/>
      <c r="O214" s="1622"/>
      <c r="P214" s="1550"/>
      <c r="Q214" s="1552"/>
      <c r="R214" s="1553"/>
      <c r="S214" s="1554"/>
      <c r="T214" s="1654"/>
      <c r="U214" s="1655"/>
      <c r="V214" s="1645"/>
      <c r="W214" s="1617"/>
      <c r="X214" s="1617"/>
      <c r="Y214" s="1610"/>
      <c r="Z214" s="1610"/>
      <c r="AA214" s="1610"/>
      <c r="AB214" s="1624" t="s">
        <v>122</v>
      </c>
      <c r="AC214" s="1624"/>
      <c r="AD214" s="1624"/>
      <c r="AE214" s="1624"/>
      <c r="AF214" s="1626" t="s">
        <v>44</v>
      </c>
      <c r="AG214" s="1627"/>
      <c r="AH214" s="1624" t="s">
        <v>122</v>
      </c>
      <c r="AI214" s="1624"/>
      <c r="AJ214" s="1624"/>
      <c r="AK214" s="1624"/>
      <c r="AL214" s="1624"/>
      <c r="AM214" s="1624"/>
      <c r="AN214" s="1624"/>
      <c r="AO214" s="1648"/>
      <c r="AP214" s="1648"/>
      <c r="AQ214" s="1648"/>
      <c r="AR214" s="1628"/>
      <c r="AS214" s="1628"/>
      <c r="AT214" s="1840"/>
      <c r="AU214" s="1841"/>
      <c r="AV214" s="1844"/>
      <c r="AW214" s="1650"/>
      <c r="AX214" s="1652"/>
      <c r="AY214" s="1817"/>
      <c r="AZ214" s="1559"/>
      <c r="BA214" s="1827"/>
      <c r="BB214" s="1545"/>
      <c r="BC214" s="1829"/>
      <c r="BD214" s="37"/>
      <c r="BE214" s="21"/>
      <c r="BF214" s="21"/>
      <c r="BG214" s="37"/>
      <c r="BH214" s="21"/>
      <c r="BI214" s="21"/>
      <c r="BJ214" s="21"/>
      <c r="BK214" s="31"/>
      <c r="BL214" s="1525">
        <v>-8.4</v>
      </c>
      <c r="BM214" s="1526"/>
      <c r="BN214" s="1527"/>
      <c r="BP214" s="45" t="s">
        <v>1078</v>
      </c>
    </row>
    <row r="215" spans="1:68" ht="18" customHeight="1" thickBot="1" x14ac:dyDescent="0.45">
      <c r="A215" s="1574"/>
      <c r="B215" s="1575"/>
      <c r="C215" s="1576"/>
      <c r="D215" s="26"/>
      <c r="E215" s="23"/>
      <c r="F215" s="23"/>
      <c r="G215" s="23"/>
      <c r="H215" s="23"/>
      <c r="I215" s="23"/>
      <c r="J215" s="23"/>
      <c r="K215" s="23"/>
      <c r="L215" s="1546"/>
      <c r="M215" s="1623"/>
      <c r="N215" s="1623"/>
      <c r="O215" s="1623"/>
      <c r="P215" s="1551"/>
      <c r="Q215" s="1555"/>
      <c r="R215" s="1556"/>
      <c r="S215" s="1557"/>
      <c r="T215" s="1656"/>
      <c r="U215" s="1657"/>
      <c r="V215" s="1658"/>
      <c r="W215" s="1618"/>
      <c r="X215" s="1618"/>
      <c r="Y215" s="1611"/>
      <c r="Z215" s="1611"/>
      <c r="AA215" s="1611"/>
      <c r="AB215" s="1625"/>
      <c r="AC215" s="1625"/>
      <c r="AD215" s="1625"/>
      <c r="AE215" s="1625"/>
      <c r="AF215" s="1662"/>
      <c r="AG215" s="1662"/>
      <c r="AH215" s="1625"/>
      <c r="AI215" s="1625"/>
      <c r="AJ215" s="1625"/>
      <c r="AK215" s="1625"/>
      <c r="AL215" s="1625"/>
      <c r="AM215" s="1625"/>
      <c r="AN215" s="1625"/>
      <c r="AO215" s="1661"/>
      <c r="AP215" s="1661"/>
      <c r="AQ215" s="1661"/>
      <c r="AR215" s="1629"/>
      <c r="AS215" s="1629"/>
      <c r="AT215" s="1842"/>
      <c r="AU215" s="1843"/>
      <c r="AV215" s="1845"/>
      <c r="AW215" s="1651"/>
      <c r="AX215" s="1653"/>
      <c r="AY215" s="1818"/>
      <c r="AZ215" s="1560"/>
      <c r="BA215" s="1828"/>
      <c r="BB215" s="1546"/>
      <c r="BC215" s="1830"/>
      <c r="BD215" s="38"/>
      <c r="BE215" s="23"/>
      <c r="BF215" s="23"/>
      <c r="BG215" s="38"/>
      <c r="BH215" s="23"/>
      <c r="BI215" s="23"/>
      <c r="BJ215" s="23"/>
      <c r="BK215" s="32"/>
      <c r="BL215" s="1574"/>
      <c r="BM215" s="1575"/>
      <c r="BN215" s="1576"/>
      <c r="BP215" s="44" t="s">
        <v>1</v>
      </c>
    </row>
    <row r="216" spans="1:68" ht="18" customHeight="1" x14ac:dyDescent="0.3">
      <c r="A216" s="1569" t="s">
        <v>39</v>
      </c>
      <c r="B216" s="1570"/>
      <c r="C216" s="1571"/>
      <c r="D216" s="27"/>
      <c r="E216" s="30"/>
      <c r="F216" s="30"/>
      <c r="G216" s="30"/>
      <c r="H216" s="30"/>
      <c r="I216" s="30"/>
      <c r="J216" s="30"/>
      <c r="K216" s="30"/>
      <c r="L216" s="1561" t="s">
        <v>207</v>
      </c>
      <c r="M216" s="1562"/>
      <c r="N216" s="1565" t="s">
        <v>208</v>
      </c>
      <c r="O216" s="1565"/>
      <c r="P216" s="1565"/>
      <c r="Q216" s="1633"/>
      <c r="R216" s="1633"/>
      <c r="S216" s="1633"/>
      <c r="T216" s="1633"/>
      <c r="U216" s="1633"/>
      <c r="V216" s="1634" t="s">
        <v>206</v>
      </c>
      <c r="W216" s="1607"/>
      <c r="X216" s="1607"/>
      <c r="Y216" s="1612" t="s">
        <v>1205</v>
      </c>
      <c r="Z216" s="1612"/>
      <c r="AA216" s="1613"/>
      <c r="AB216" s="1565" t="s">
        <v>208</v>
      </c>
      <c r="AC216" s="1565"/>
      <c r="AD216" s="1565"/>
      <c r="AE216" s="1565"/>
      <c r="AF216" s="1565"/>
      <c r="AG216" s="1565"/>
      <c r="AH216" s="1565"/>
      <c r="AI216" s="1565"/>
      <c r="AJ216" s="1565"/>
      <c r="AK216" s="1565"/>
      <c r="AL216" s="1565"/>
      <c r="AM216" s="1565"/>
      <c r="AN216" s="1565"/>
      <c r="AO216" s="1602" t="s">
        <v>43</v>
      </c>
      <c r="AP216" s="1831" t="s">
        <v>208</v>
      </c>
      <c r="AQ216" s="1832"/>
      <c r="AR216" s="1832"/>
      <c r="AS216" s="1832"/>
      <c r="AT216" s="1832"/>
      <c r="AU216" s="1832"/>
      <c r="AV216" s="1832"/>
      <c r="AW216" s="1832"/>
      <c r="AX216" s="1832"/>
      <c r="AY216" s="1819">
        <v>33</v>
      </c>
      <c r="AZ216" s="1832"/>
      <c r="BA216" s="1832"/>
      <c r="BB216" s="1832"/>
      <c r="BC216" s="1837"/>
      <c r="BD216" s="40"/>
      <c r="BE216" s="30"/>
      <c r="BF216" s="30"/>
      <c r="BG216" s="40"/>
      <c r="BH216" s="30"/>
      <c r="BI216" s="30"/>
      <c r="BJ216" s="30"/>
      <c r="BK216" s="34"/>
      <c r="BL216" s="1569" t="s">
        <v>39</v>
      </c>
      <c r="BM216" s="1570"/>
      <c r="BN216" s="1571"/>
      <c r="BP216" s="45" t="s">
        <v>0</v>
      </c>
    </row>
    <row r="217" spans="1:68" ht="18" customHeight="1" x14ac:dyDescent="0.3">
      <c r="A217" s="1525">
        <v>-12.3</v>
      </c>
      <c r="B217" s="1526"/>
      <c r="C217" s="1527"/>
      <c r="D217" s="28"/>
      <c r="E217" s="22"/>
      <c r="F217" s="22"/>
      <c r="G217" s="22"/>
      <c r="H217" s="22"/>
      <c r="I217" s="22"/>
      <c r="J217" s="22"/>
      <c r="K217" s="22"/>
      <c r="L217" s="1563"/>
      <c r="M217" s="1564"/>
      <c r="N217" s="1566"/>
      <c r="O217" s="1566"/>
      <c r="P217" s="1566"/>
      <c r="Q217" s="1605" t="s">
        <v>43</v>
      </c>
      <c r="R217" s="1606"/>
      <c r="S217" s="1606"/>
      <c r="T217" s="1606"/>
      <c r="U217" s="1606"/>
      <c r="V217" s="1635"/>
      <c r="W217" s="1608"/>
      <c r="X217" s="1608"/>
      <c r="Y217" s="1614"/>
      <c r="Z217" s="1614"/>
      <c r="AA217" s="1615"/>
      <c r="AB217" s="1566"/>
      <c r="AC217" s="1566"/>
      <c r="AD217" s="1566"/>
      <c r="AE217" s="1566"/>
      <c r="AF217" s="1566"/>
      <c r="AG217" s="1566"/>
      <c r="AH217" s="1566"/>
      <c r="AI217" s="1566"/>
      <c r="AJ217" s="1566"/>
      <c r="AK217" s="1566"/>
      <c r="AL217" s="1566"/>
      <c r="AM217" s="1566"/>
      <c r="AN217" s="1566"/>
      <c r="AO217" s="1603"/>
      <c r="AP217" s="1833"/>
      <c r="AQ217" s="1834"/>
      <c r="AR217" s="1834"/>
      <c r="AS217" s="1834"/>
      <c r="AT217" s="1834"/>
      <c r="AU217" s="1834"/>
      <c r="AV217" s="1834"/>
      <c r="AW217" s="1834"/>
      <c r="AX217" s="1834"/>
      <c r="AY217" s="1820"/>
      <c r="AZ217" s="1834"/>
      <c r="BA217" s="1834"/>
      <c r="BB217" s="1834"/>
      <c r="BC217" s="1838"/>
      <c r="BD217" s="36"/>
      <c r="BE217" s="22"/>
      <c r="BF217" s="22"/>
      <c r="BG217" s="36"/>
      <c r="BH217" s="22"/>
      <c r="BI217" s="22"/>
      <c r="BJ217" s="22"/>
      <c r="BK217" s="35"/>
      <c r="BL217" s="1525">
        <v>-12.3</v>
      </c>
      <c r="BM217" s="1526"/>
      <c r="BN217" s="1527"/>
      <c r="BP217" s="44" t="s">
        <v>1078</v>
      </c>
    </row>
    <row r="218" spans="1:68" ht="18" customHeight="1" thickBot="1" x14ac:dyDescent="0.35">
      <c r="A218" s="1574"/>
      <c r="B218" s="1575"/>
      <c r="C218" s="1576"/>
      <c r="D218" s="25"/>
      <c r="E218" s="21"/>
      <c r="F218" s="21"/>
      <c r="G218" s="21"/>
      <c r="H218" s="21"/>
      <c r="I218" s="21"/>
      <c r="J218" s="21"/>
      <c r="K218" s="21"/>
      <c r="L218" s="1567"/>
      <c r="M218" s="1567"/>
      <c r="N218" s="1567"/>
      <c r="O218" s="1567"/>
      <c r="P218" s="1567"/>
      <c r="Q218" s="291"/>
      <c r="R218" s="291"/>
      <c r="S218" s="291"/>
      <c r="T218" s="291"/>
      <c r="U218" s="291"/>
      <c r="V218" s="291"/>
      <c r="W218" s="290">
        <v>29</v>
      </c>
      <c r="X218" s="290">
        <v>30</v>
      </c>
      <c r="Y218" s="43"/>
      <c r="Z218" s="43"/>
      <c r="AA218" s="43"/>
      <c r="AB218" s="1567"/>
      <c r="AC218" s="1567"/>
      <c r="AD218" s="1567"/>
      <c r="AE218" s="1567"/>
      <c r="AF218" s="1567"/>
      <c r="AG218" s="1567"/>
      <c r="AH218" s="1567"/>
      <c r="AI218" s="1567"/>
      <c r="AJ218" s="1567"/>
      <c r="AK218" s="1567"/>
      <c r="AL218" s="1567"/>
      <c r="AM218" s="1567"/>
      <c r="AN218" s="1567"/>
      <c r="AO218" s="1604"/>
      <c r="AP218" s="1835"/>
      <c r="AQ218" s="1836"/>
      <c r="AR218" s="1836"/>
      <c r="AS218" s="1836"/>
      <c r="AT218" s="1836"/>
      <c r="AU218" s="1836"/>
      <c r="AV218" s="1836"/>
      <c r="AW218" s="1836"/>
      <c r="AX218" s="1836"/>
      <c r="AY218" s="1821"/>
      <c r="AZ218" s="1836"/>
      <c r="BA218" s="1836"/>
      <c r="BB218" s="1836"/>
      <c r="BC218" s="1839"/>
      <c r="BD218" s="37"/>
      <c r="BE218" s="21"/>
      <c r="BF218" s="21"/>
      <c r="BG218" s="37"/>
      <c r="BH218" s="21"/>
      <c r="BI218" s="21"/>
      <c r="BJ218" s="21"/>
      <c r="BK218" s="31"/>
      <c r="BL218" s="1574"/>
      <c r="BM218" s="1575"/>
      <c r="BN218" s="1576"/>
      <c r="BP218" s="45" t="s">
        <v>1</v>
      </c>
    </row>
    <row r="219" spans="1:68" ht="18" customHeight="1" x14ac:dyDescent="0.3">
      <c r="A219" s="1569" t="s">
        <v>40</v>
      </c>
      <c r="B219" s="1570"/>
      <c r="C219" s="1571"/>
      <c r="D219" s="27"/>
      <c r="E219" s="30"/>
      <c r="F219" s="30"/>
      <c r="G219" s="30"/>
      <c r="H219" s="30"/>
      <c r="I219" s="30"/>
      <c r="J219" s="30"/>
      <c r="K219" s="30"/>
      <c r="L219" s="1594" t="s">
        <v>209</v>
      </c>
      <c r="M219" s="1595"/>
      <c r="N219" s="1596" t="s">
        <v>210</v>
      </c>
      <c r="O219" s="1596"/>
      <c r="P219" s="1596"/>
      <c r="Q219" s="1597"/>
      <c r="R219" s="1597"/>
      <c r="S219" s="1597"/>
      <c r="T219" s="1597"/>
      <c r="U219" s="294" t="s">
        <v>209</v>
      </c>
      <c r="V219" s="292" t="s">
        <v>212</v>
      </c>
      <c r="W219" s="1531"/>
      <c r="X219" s="1531"/>
      <c r="Y219" s="1530"/>
      <c r="Z219" s="1530"/>
      <c r="AA219" s="1530"/>
      <c r="AB219" s="1596" t="s">
        <v>210</v>
      </c>
      <c r="AC219" s="1596"/>
      <c r="AD219" s="1596"/>
      <c r="AE219" s="1596"/>
      <c r="AF219" s="1596"/>
      <c r="AG219" s="1596"/>
      <c r="AH219" s="1596"/>
      <c r="AI219" s="1596"/>
      <c r="AJ219" s="1596"/>
      <c r="AK219" s="1596"/>
      <c r="AL219" s="1596"/>
      <c r="AM219" s="1596"/>
      <c r="AN219" s="1596"/>
      <c r="AO219" s="1579" t="s">
        <v>211</v>
      </c>
      <c r="AP219" s="1580"/>
      <c r="AQ219" s="1600" t="s">
        <v>212</v>
      </c>
      <c r="AR219" s="310" t="s">
        <v>209</v>
      </c>
      <c r="AS219" s="1535"/>
      <c r="AT219" s="1535"/>
      <c r="AU219" s="1535"/>
      <c r="AV219" s="1535"/>
      <c r="AW219" s="1535"/>
      <c r="AX219" s="1535"/>
      <c r="AY219" s="1536" t="s">
        <v>210</v>
      </c>
      <c r="AZ219" s="1536"/>
      <c r="BA219" s="1536"/>
      <c r="BB219" s="1539" t="s">
        <v>209</v>
      </c>
      <c r="BC219" s="1540"/>
      <c r="BD219" s="40"/>
      <c r="BE219" s="30"/>
      <c r="BF219" s="30"/>
      <c r="BG219" s="40"/>
      <c r="BH219" s="30"/>
      <c r="BI219" s="30"/>
      <c r="BJ219" s="30"/>
      <c r="BK219" s="34"/>
      <c r="BL219" s="1569" t="s">
        <v>40</v>
      </c>
      <c r="BM219" s="1570"/>
      <c r="BN219" s="1571"/>
      <c r="BP219" s="44" t="s">
        <v>0</v>
      </c>
    </row>
    <row r="220" spans="1:68" ht="18" customHeight="1" x14ac:dyDescent="0.3">
      <c r="A220" s="1525">
        <v>-15.35</v>
      </c>
      <c r="B220" s="1526"/>
      <c r="C220" s="1527"/>
      <c r="D220" s="28"/>
      <c r="E220" s="22"/>
      <c r="F220" s="22"/>
      <c r="G220" s="22"/>
      <c r="H220" s="22"/>
      <c r="I220" s="22"/>
      <c r="J220" s="22"/>
      <c r="K220" s="22"/>
      <c r="L220" s="1572"/>
      <c r="M220" s="1572"/>
      <c r="N220" s="1572"/>
      <c r="O220" s="1572"/>
      <c r="P220" s="1572"/>
      <c r="Q220" s="1510" t="s">
        <v>211</v>
      </c>
      <c r="R220" s="1511"/>
      <c r="S220" s="1511"/>
      <c r="T220" s="1511"/>
      <c r="U220" s="1511"/>
      <c r="V220" s="1512"/>
      <c r="W220" s="1531"/>
      <c r="X220" s="1531"/>
      <c r="Y220" s="1531"/>
      <c r="Z220" s="1531"/>
      <c r="AA220" s="1531"/>
      <c r="AB220" s="1572"/>
      <c r="AC220" s="1572"/>
      <c r="AD220" s="1572"/>
      <c r="AE220" s="1572"/>
      <c r="AF220" s="1572"/>
      <c r="AG220" s="1572"/>
      <c r="AH220" s="1572"/>
      <c r="AI220" s="1572"/>
      <c r="AJ220" s="1572"/>
      <c r="AK220" s="1572"/>
      <c r="AL220" s="1572"/>
      <c r="AM220" s="1572"/>
      <c r="AN220" s="1572"/>
      <c r="AO220" s="1581"/>
      <c r="AP220" s="1582"/>
      <c r="AQ220" s="1601"/>
      <c r="AR220" s="309" t="s">
        <v>211</v>
      </c>
      <c r="AS220" s="1541"/>
      <c r="AT220" s="1513" t="s">
        <v>211</v>
      </c>
      <c r="AU220" s="1514"/>
      <c r="AV220" s="1514"/>
      <c r="AW220" s="1514"/>
      <c r="AX220" s="1515"/>
      <c r="AY220" s="1537"/>
      <c r="AZ220" s="1537"/>
      <c r="BA220" s="1537"/>
      <c r="BB220" s="1541"/>
      <c r="BC220" s="1542"/>
      <c r="BD220" s="36"/>
      <c r="BE220" s="22"/>
      <c r="BF220" s="22"/>
      <c r="BG220" s="36"/>
      <c r="BH220" s="22"/>
      <c r="BI220" s="22"/>
      <c r="BJ220" s="22"/>
      <c r="BK220" s="35"/>
      <c r="BL220" s="1525">
        <v>-15.35</v>
      </c>
      <c r="BM220" s="1526"/>
      <c r="BN220" s="1527"/>
      <c r="BP220" s="45" t="s">
        <v>1078</v>
      </c>
    </row>
    <row r="221" spans="1:68" ht="18" customHeight="1" thickBot="1" x14ac:dyDescent="0.35">
      <c r="A221" s="1574"/>
      <c r="B221" s="1575"/>
      <c r="C221" s="1576"/>
      <c r="D221" s="25"/>
      <c r="E221" s="21"/>
      <c r="F221" s="21"/>
      <c r="G221" s="21"/>
      <c r="H221" s="21"/>
      <c r="I221" s="21"/>
      <c r="J221" s="21"/>
      <c r="K221" s="21"/>
      <c r="L221" s="1573"/>
      <c r="M221" s="1573"/>
      <c r="N221" s="1573"/>
      <c r="O221" s="1573"/>
      <c r="P221" s="1573"/>
      <c r="Q221" s="1577"/>
      <c r="R221" s="1577"/>
      <c r="S221" s="1577"/>
      <c r="T221" s="1577"/>
      <c r="U221" s="1577"/>
      <c r="V221" s="1577"/>
      <c r="W221" s="1599"/>
      <c r="X221" s="1599"/>
      <c r="Y221" s="1599"/>
      <c r="Z221" s="1599"/>
      <c r="AA221" s="1599"/>
      <c r="AB221" s="1573"/>
      <c r="AC221" s="1573"/>
      <c r="AD221" s="1573"/>
      <c r="AE221" s="1573"/>
      <c r="AF221" s="1573"/>
      <c r="AG221" s="1573"/>
      <c r="AH221" s="1573"/>
      <c r="AI221" s="1573"/>
      <c r="AJ221" s="1573"/>
      <c r="AK221" s="1573"/>
      <c r="AL221" s="1573"/>
      <c r="AM221" s="1573"/>
      <c r="AN221" s="1573"/>
      <c r="AO221" s="1578"/>
      <c r="AP221" s="1578"/>
      <c r="AQ221" s="1578"/>
      <c r="AR221" s="1578"/>
      <c r="AS221" s="1543"/>
      <c r="AT221" s="1516"/>
      <c r="AU221" s="1517"/>
      <c r="AV221" s="1517"/>
      <c r="AW221" s="1517"/>
      <c r="AX221" s="1518"/>
      <c r="AY221" s="1538"/>
      <c r="AZ221" s="1538"/>
      <c r="BA221" s="1538"/>
      <c r="BB221" s="1543"/>
      <c r="BC221" s="1544"/>
      <c r="BD221" s="37"/>
      <c r="BE221" s="21"/>
      <c r="BF221" s="21"/>
      <c r="BG221" s="37"/>
      <c r="BH221" s="21"/>
      <c r="BI221" s="21"/>
      <c r="BJ221" s="21"/>
      <c r="BK221" s="31"/>
      <c r="BL221" s="1574"/>
      <c r="BM221" s="1575"/>
      <c r="BN221" s="1576"/>
      <c r="BP221" s="44" t="s">
        <v>1</v>
      </c>
    </row>
    <row r="222" spans="1:68" ht="18" customHeight="1" x14ac:dyDescent="0.3">
      <c r="A222" s="1569" t="s">
        <v>41</v>
      </c>
      <c r="B222" s="1570"/>
      <c r="C222" s="1571"/>
      <c r="D222" s="1509" t="s">
        <v>1075</v>
      </c>
      <c r="E222" s="1528" t="s">
        <v>70</v>
      </c>
      <c r="F222" s="273"/>
      <c r="G222" s="273"/>
      <c r="H222" s="273"/>
      <c r="I222" s="1528" t="s">
        <v>70</v>
      </c>
      <c r="J222" s="273"/>
      <c r="K222" s="273"/>
      <c r="L222" s="1594" t="s">
        <v>209</v>
      </c>
      <c r="M222" s="1595"/>
      <c r="N222" s="1596" t="s">
        <v>210</v>
      </c>
      <c r="O222" s="1596"/>
      <c r="P222" s="1596"/>
      <c r="Q222" s="1597"/>
      <c r="R222" s="1597"/>
      <c r="S222" s="1597"/>
      <c r="T222" s="1597"/>
      <c r="U222" s="294" t="s">
        <v>209</v>
      </c>
      <c r="V222" s="293"/>
      <c r="W222" s="1530"/>
      <c r="X222" s="1530"/>
      <c r="Y222" s="1530"/>
      <c r="Z222" s="1530"/>
      <c r="AA222" s="1530"/>
      <c r="AB222" s="1596" t="s">
        <v>210</v>
      </c>
      <c r="AC222" s="1596"/>
      <c r="AD222" s="1596"/>
      <c r="AE222" s="1596"/>
      <c r="AF222" s="1596"/>
      <c r="AG222" s="1596"/>
      <c r="AH222" s="1596"/>
      <c r="AI222" s="1596"/>
      <c r="AJ222" s="1596"/>
      <c r="AK222" s="1596"/>
      <c r="AL222" s="1596"/>
      <c r="AM222" s="1596"/>
      <c r="AN222" s="1596"/>
      <c r="AO222" s="1579" t="s">
        <v>211</v>
      </c>
      <c r="AP222" s="1580"/>
      <c r="AQ222" s="1583" t="s">
        <v>213</v>
      </c>
      <c r="AR222" s="310" t="s">
        <v>209</v>
      </c>
      <c r="AS222" s="1535"/>
      <c r="AT222" s="1535"/>
      <c r="AU222" s="1535"/>
      <c r="AV222" s="1535"/>
      <c r="AW222" s="1535"/>
      <c r="AX222" s="1535"/>
      <c r="AY222" s="1536" t="s">
        <v>210</v>
      </c>
      <c r="AZ222" s="1536"/>
      <c r="BA222" s="1536"/>
      <c r="BB222" s="1539" t="s">
        <v>209</v>
      </c>
      <c r="BC222" s="1540"/>
      <c r="BD222" s="268"/>
      <c r="BE222" s="269"/>
      <c r="BF222" s="1503" t="s">
        <v>70</v>
      </c>
      <c r="BG222" s="268"/>
      <c r="BH222" s="269"/>
      <c r="BI222" s="269"/>
      <c r="BJ222" s="1503" t="s">
        <v>70</v>
      </c>
      <c r="BK222" s="1500" t="s">
        <v>1075</v>
      </c>
      <c r="BL222" s="1569" t="s">
        <v>41</v>
      </c>
      <c r="BM222" s="1570"/>
      <c r="BN222" s="1571"/>
      <c r="BP222" s="45" t="s">
        <v>0</v>
      </c>
    </row>
    <row r="223" spans="1:68" ht="18" customHeight="1" x14ac:dyDescent="0.3">
      <c r="A223" s="1525">
        <v>-18.399999999999999</v>
      </c>
      <c r="B223" s="1526"/>
      <c r="C223" s="1527"/>
      <c r="D223" s="1507"/>
      <c r="E223" s="1459"/>
      <c r="F223" s="274"/>
      <c r="G223" s="274"/>
      <c r="H223" s="274"/>
      <c r="I223" s="1459"/>
      <c r="J223" s="274"/>
      <c r="K223" s="274"/>
      <c r="L223" s="1572"/>
      <c r="M223" s="1572"/>
      <c r="N223" s="1572"/>
      <c r="O223" s="1572"/>
      <c r="P223" s="1572"/>
      <c r="Q223" s="1510" t="s">
        <v>211</v>
      </c>
      <c r="R223" s="1511"/>
      <c r="S223" s="1511"/>
      <c r="T223" s="1511"/>
      <c r="U223" s="1511"/>
      <c r="V223" s="1512"/>
      <c r="W223" s="1531"/>
      <c r="X223" s="1531"/>
      <c r="Y223" s="1531"/>
      <c r="Z223" s="1531"/>
      <c r="AA223" s="1531"/>
      <c r="AB223" s="1572"/>
      <c r="AC223" s="1572"/>
      <c r="AD223" s="1572"/>
      <c r="AE223" s="1572"/>
      <c r="AF223" s="1572"/>
      <c r="AG223" s="1572"/>
      <c r="AH223" s="1572"/>
      <c r="AI223" s="1572"/>
      <c r="AJ223" s="1572"/>
      <c r="AK223" s="1572"/>
      <c r="AL223" s="1572"/>
      <c r="AM223" s="1572"/>
      <c r="AN223" s="1572"/>
      <c r="AO223" s="1581"/>
      <c r="AP223" s="1582"/>
      <c r="AQ223" s="1584"/>
      <c r="AR223" s="309" t="s">
        <v>211</v>
      </c>
      <c r="AS223" s="1541"/>
      <c r="AT223" s="1513" t="s">
        <v>211</v>
      </c>
      <c r="AU223" s="1514"/>
      <c r="AV223" s="1514"/>
      <c r="AW223" s="1514"/>
      <c r="AX223" s="1515"/>
      <c r="AY223" s="1537"/>
      <c r="AZ223" s="1537"/>
      <c r="BA223" s="1537"/>
      <c r="BB223" s="1541"/>
      <c r="BC223" s="1542"/>
      <c r="BD223" s="270"/>
      <c r="BE223" s="271"/>
      <c r="BF223" s="1504"/>
      <c r="BG223" s="270"/>
      <c r="BH223" s="271"/>
      <c r="BI223" s="271"/>
      <c r="BJ223" s="1504"/>
      <c r="BK223" s="1501"/>
      <c r="BL223" s="1525">
        <v>-18.399999999999999</v>
      </c>
      <c r="BM223" s="1526"/>
      <c r="BN223" s="1527"/>
      <c r="BP223" s="44" t="s">
        <v>1078</v>
      </c>
    </row>
    <row r="224" spans="1:68" ht="18" customHeight="1" thickBot="1" x14ac:dyDescent="0.35">
      <c r="A224" s="1574"/>
      <c r="B224" s="1575"/>
      <c r="C224" s="1576"/>
      <c r="D224" s="1507"/>
      <c r="E224" s="1459"/>
      <c r="F224" s="275"/>
      <c r="G224" s="276"/>
      <c r="H224" s="275"/>
      <c r="I224" s="1459"/>
      <c r="J224" s="276"/>
      <c r="K224" s="275"/>
      <c r="L224" s="1573"/>
      <c r="M224" s="1573"/>
      <c r="N224" s="1573"/>
      <c r="O224" s="1573"/>
      <c r="P224" s="1573"/>
      <c r="Q224" s="1577"/>
      <c r="R224" s="1577"/>
      <c r="S224" s="1577"/>
      <c r="T224" s="1577"/>
      <c r="U224" s="1577"/>
      <c r="V224" s="1577"/>
      <c r="W224" s="1599"/>
      <c r="X224" s="1599"/>
      <c r="Y224" s="1599"/>
      <c r="Z224" s="1599"/>
      <c r="AA224" s="1599"/>
      <c r="AB224" s="1573"/>
      <c r="AC224" s="1573"/>
      <c r="AD224" s="1573"/>
      <c r="AE224" s="1573"/>
      <c r="AF224" s="1573"/>
      <c r="AG224" s="1573"/>
      <c r="AH224" s="1573"/>
      <c r="AI224" s="1573"/>
      <c r="AJ224" s="1573"/>
      <c r="AK224" s="1573"/>
      <c r="AL224" s="1573"/>
      <c r="AM224" s="1573"/>
      <c r="AN224" s="1573"/>
      <c r="AO224" s="1578"/>
      <c r="AP224" s="1578"/>
      <c r="AQ224" s="1578"/>
      <c r="AR224" s="1578"/>
      <c r="AS224" s="1543"/>
      <c r="AT224" s="1516"/>
      <c r="AU224" s="1517"/>
      <c r="AV224" s="1517"/>
      <c r="AW224" s="1517"/>
      <c r="AX224" s="1518"/>
      <c r="AY224" s="1538"/>
      <c r="AZ224" s="1538"/>
      <c r="BA224" s="1538"/>
      <c r="BB224" s="1543"/>
      <c r="BC224" s="1544"/>
      <c r="BD224" s="267"/>
      <c r="BE224" s="264"/>
      <c r="BF224" s="1504"/>
      <c r="BG224" s="267"/>
      <c r="BH224" s="264"/>
      <c r="BI224" s="265"/>
      <c r="BJ224" s="1504"/>
      <c r="BK224" s="1501"/>
      <c r="BL224" s="1574"/>
      <c r="BM224" s="1575"/>
      <c r="BN224" s="1576"/>
      <c r="BP224" s="45" t="s">
        <v>1</v>
      </c>
    </row>
    <row r="225" spans="1:68" ht="18" customHeight="1" x14ac:dyDescent="0.3">
      <c r="A225" s="1569" t="s">
        <v>42</v>
      </c>
      <c r="B225" s="1570"/>
      <c r="C225" s="1571"/>
      <c r="D225" s="1509" t="s">
        <v>74</v>
      </c>
      <c r="E225" s="1528" t="s">
        <v>73</v>
      </c>
      <c r="F225" s="1528" t="s">
        <v>72</v>
      </c>
      <c r="G225" s="1528" t="s">
        <v>71</v>
      </c>
      <c r="H225" s="1528" t="s">
        <v>69</v>
      </c>
      <c r="I225" s="1528" t="s">
        <v>68</v>
      </c>
      <c r="J225" s="1528" t="s">
        <v>67</v>
      </c>
      <c r="K225" s="1528" t="s">
        <v>66</v>
      </c>
      <c r="L225" s="1594" t="s">
        <v>209</v>
      </c>
      <c r="M225" s="1595"/>
      <c r="N225" s="1596" t="s">
        <v>210</v>
      </c>
      <c r="O225" s="1596"/>
      <c r="P225" s="1596"/>
      <c r="Q225" s="1597"/>
      <c r="R225" s="1597"/>
      <c r="S225" s="1597"/>
      <c r="T225" s="1597"/>
      <c r="U225" s="294" t="s">
        <v>209</v>
      </c>
      <c r="V225" s="293"/>
      <c r="W225" s="1530"/>
      <c r="X225" s="1530"/>
      <c r="Y225" s="1530"/>
      <c r="Z225" s="1530"/>
      <c r="AA225" s="1530"/>
      <c r="AB225" s="1596" t="s">
        <v>210</v>
      </c>
      <c r="AC225" s="1596"/>
      <c r="AD225" s="1596"/>
      <c r="AE225" s="1596"/>
      <c r="AF225" s="1596"/>
      <c r="AG225" s="1596"/>
      <c r="AH225" s="1596"/>
      <c r="AI225" s="1596"/>
      <c r="AJ225" s="1596"/>
      <c r="AK225" s="1596"/>
      <c r="AL225" s="1596"/>
      <c r="AM225" s="1596"/>
      <c r="AN225" s="1596"/>
      <c r="AO225" s="1579" t="s">
        <v>211</v>
      </c>
      <c r="AP225" s="1580"/>
      <c r="AQ225" s="1583" t="s">
        <v>213</v>
      </c>
      <c r="AR225" s="310" t="s">
        <v>209</v>
      </c>
      <c r="AS225" s="1535"/>
      <c r="AT225" s="1535"/>
      <c r="AU225" s="1535"/>
      <c r="AV225" s="1535"/>
      <c r="AW225" s="1535"/>
      <c r="AX225" s="1535"/>
      <c r="AY225" s="1536" t="s">
        <v>210</v>
      </c>
      <c r="AZ225" s="1536"/>
      <c r="BA225" s="1536"/>
      <c r="BB225" s="1539" t="s">
        <v>209</v>
      </c>
      <c r="BC225" s="1540"/>
      <c r="BD225" s="1519" t="s">
        <v>75</v>
      </c>
      <c r="BE225" s="1503" t="s">
        <v>76</v>
      </c>
      <c r="BF225" s="1503" t="s">
        <v>77</v>
      </c>
      <c r="BG225" s="1503" t="s">
        <v>78</v>
      </c>
      <c r="BH225" s="1503" t="s">
        <v>79</v>
      </c>
      <c r="BI225" s="1503" t="s">
        <v>80</v>
      </c>
      <c r="BJ225" s="1503" t="s">
        <v>81</v>
      </c>
      <c r="BK225" s="1500" t="s">
        <v>82</v>
      </c>
      <c r="BL225" s="1569" t="s">
        <v>42</v>
      </c>
      <c r="BM225" s="1570"/>
      <c r="BN225" s="1571"/>
      <c r="BP225" s="44" t="s">
        <v>0</v>
      </c>
    </row>
    <row r="226" spans="1:68" ht="18" customHeight="1" x14ac:dyDescent="0.3">
      <c r="A226" s="1525">
        <v>-21.45</v>
      </c>
      <c r="B226" s="1526"/>
      <c r="C226" s="1527"/>
      <c r="D226" s="1507"/>
      <c r="E226" s="1459"/>
      <c r="F226" s="1459"/>
      <c r="G226" s="1459"/>
      <c r="H226" s="1459"/>
      <c r="I226" s="1459"/>
      <c r="J226" s="1459"/>
      <c r="K226" s="1459"/>
      <c r="L226" s="1572"/>
      <c r="M226" s="1572"/>
      <c r="N226" s="1572"/>
      <c r="O226" s="1572"/>
      <c r="P226" s="1572"/>
      <c r="Q226" s="1510" t="s">
        <v>211</v>
      </c>
      <c r="R226" s="1511"/>
      <c r="S226" s="1511"/>
      <c r="T226" s="1511"/>
      <c r="U226" s="1511"/>
      <c r="V226" s="1512"/>
      <c r="W226" s="1531"/>
      <c r="X226" s="1531"/>
      <c r="Y226" s="1531"/>
      <c r="Z226" s="1531"/>
      <c r="AA226" s="1531"/>
      <c r="AB226" s="1572"/>
      <c r="AC226" s="1572"/>
      <c r="AD226" s="1572"/>
      <c r="AE226" s="1572"/>
      <c r="AF226" s="1572"/>
      <c r="AG226" s="1572"/>
      <c r="AH226" s="1572"/>
      <c r="AI226" s="1572"/>
      <c r="AJ226" s="1572"/>
      <c r="AK226" s="1572"/>
      <c r="AL226" s="1572"/>
      <c r="AM226" s="1572"/>
      <c r="AN226" s="1572"/>
      <c r="AO226" s="1581"/>
      <c r="AP226" s="1582"/>
      <c r="AQ226" s="1584"/>
      <c r="AR226" s="309" t="s">
        <v>211</v>
      </c>
      <c r="AS226" s="1541"/>
      <c r="AT226" s="1513" t="s">
        <v>211</v>
      </c>
      <c r="AU226" s="1514"/>
      <c r="AV226" s="1514"/>
      <c r="AW226" s="1514"/>
      <c r="AX226" s="1515"/>
      <c r="AY226" s="1537"/>
      <c r="AZ226" s="1537"/>
      <c r="BA226" s="1537"/>
      <c r="BB226" s="1541"/>
      <c r="BC226" s="1542"/>
      <c r="BD226" s="1520"/>
      <c r="BE226" s="1504"/>
      <c r="BF226" s="1504"/>
      <c r="BG226" s="1504"/>
      <c r="BH226" s="1504"/>
      <c r="BI226" s="1504"/>
      <c r="BJ226" s="1504"/>
      <c r="BK226" s="1501"/>
      <c r="BL226" s="1525">
        <v>-21.45</v>
      </c>
      <c r="BM226" s="1526"/>
      <c r="BN226" s="1527"/>
      <c r="BP226" s="45" t="s">
        <v>1078</v>
      </c>
    </row>
    <row r="227" spans="1:68" ht="18" customHeight="1" thickBot="1" x14ac:dyDescent="0.35">
      <c r="A227" s="1585"/>
      <c r="B227" s="1586"/>
      <c r="C227" s="1587"/>
      <c r="D227" s="1598"/>
      <c r="E227" s="1529"/>
      <c r="F227" s="1529"/>
      <c r="G227" s="1529"/>
      <c r="H227" s="1529"/>
      <c r="I227" s="1529"/>
      <c r="J227" s="1529"/>
      <c r="K227" s="1529"/>
      <c r="L227" s="1589"/>
      <c r="M227" s="1589"/>
      <c r="N227" s="1589"/>
      <c r="O227" s="1589"/>
      <c r="P227" s="1589"/>
      <c r="Q227" s="1533"/>
      <c r="R227" s="1533"/>
      <c r="S227" s="1533"/>
      <c r="T227" s="1533"/>
      <c r="U227" s="1533"/>
      <c r="V227" s="1533"/>
      <c r="W227" s="1532"/>
      <c r="X227" s="1532"/>
      <c r="Y227" s="1532"/>
      <c r="Z227" s="1532"/>
      <c r="AA227" s="1532"/>
      <c r="AB227" s="1589"/>
      <c r="AC227" s="1589"/>
      <c r="AD227" s="1589"/>
      <c r="AE227" s="1589"/>
      <c r="AF227" s="1589"/>
      <c r="AG227" s="1589"/>
      <c r="AH227" s="1589"/>
      <c r="AI227" s="1589"/>
      <c r="AJ227" s="1589"/>
      <c r="AK227" s="1589"/>
      <c r="AL227" s="1589"/>
      <c r="AM227" s="1589"/>
      <c r="AN227" s="1589"/>
      <c r="AO227" s="1534"/>
      <c r="AP227" s="1534"/>
      <c r="AQ227" s="1534"/>
      <c r="AR227" s="1534"/>
      <c r="AS227" s="1568"/>
      <c r="AT227" s="1590"/>
      <c r="AU227" s="1591"/>
      <c r="AV227" s="1591"/>
      <c r="AW227" s="1591"/>
      <c r="AX227" s="1592"/>
      <c r="AY227" s="1588"/>
      <c r="AZ227" s="1588"/>
      <c r="BA227" s="1588"/>
      <c r="BB227" s="1568"/>
      <c r="BC227" s="1593"/>
      <c r="BD227" s="1521"/>
      <c r="BE227" s="1524"/>
      <c r="BF227" s="1524"/>
      <c r="BG227" s="1524"/>
      <c r="BH227" s="1524"/>
      <c r="BI227" s="1524"/>
      <c r="BJ227" s="1524"/>
      <c r="BK227" s="1523"/>
      <c r="BL227" s="1585"/>
      <c r="BM227" s="1586"/>
      <c r="BN227" s="1587"/>
      <c r="BP227" s="44" t="s">
        <v>1</v>
      </c>
    </row>
    <row r="228" spans="1:68" ht="16.149999999999999" thickTop="1" x14ac:dyDescent="0.3">
      <c r="H228" s="41"/>
      <c r="I228" s="41"/>
      <c r="J228" s="41"/>
      <c r="K228" s="41"/>
      <c r="BD228" s="41"/>
      <c r="BE228" s="41"/>
      <c r="BF228" s="41"/>
    </row>
  </sheetData>
  <mergeCells count="665">
    <mergeCell ref="A1:BN1"/>
    <mergeCell ref="AD203:AL206"/>
    <mergeCell ref="AD37:AD38"/>
    <mergeCell ref="AC37:AC38"/>
    <mergeCell ref="AM41:AM42"/>
    <mergeCell ref="AL41:AL42"/>
    <mergeCell ref="AE13:AE14"/>
    <mergeCell ref="AF13:AF14"/>
    <mergeCell ref="AG13:AG14"/>
    <mergeCell ref="AH13:AH14"/>
    <mergeCell ref="AI13:AI14"/>
    <mergeCell ref="AJ13:AJ14"/>
    <mergeCell ref="AK13:AK14"/>
    <mergeCell ref="AM37:AM38"/>
    <mergeCell ref="AL37:AL38"/>
    <mergeCell ref="AK37:AK38"/>
    <mergeCell ref="AJ37:AJ38"/>
    <mergeCell ref="AI37:AI38"/>
    <mergeCell ref="AH37:AH38"/>
    <mergeCell ref="AG37:AG38"/>
    <mergeCell ref="AF37:AF38"/>
    <mergeCell ref="AE37:AE38"/>
    <mergeCell ref="AD49:AD50"/>
    <mergeCell ref="AC49:AC50"/>
    <mergeCell ref="AM49:AM50"/>
    <mergeCell ref="AL49:AL50"/>
    <mergeCell ref="AK49:AK50"/>
    <mergeCell ref="AJ49:AJ50"/>
    <mergeCell ref="AI49:AI50"/>
    <mergeCell ref="AH49:AH50"/>
    <mergeCell ref="AG49:AG50"/>
    <mergeCell ref="AF49:AF50"/>
    <mergeCell ref="AH41:AH42"/>
    <mergeCell ref="AF91:AG91"/>
    <mergeCell ref="AF93:AG94"/>
    <mergeCell ref="AM91:AM95"/>
    <mergeCell ref="AC91:AC95"/>
    <mergeCell ref="A2:BN2"/>
    <mergeCell ref="AL33:AL34"/>
    <mergeCell ref="AM33:AM34"/>
    <mergeCell ref="AC29:AC30"/>
    <mergeCell ref="AD29:AD30"/>
    <mergeCell ref="AE29:AE30"/>
    <mergeCell ref="AF29:AF30"/>
    <mergeCell ref="AG29:AG30"/>
    <mergeCell ref="AH29:AH30"/>
    <mergeCell ref="AI29:AI30"/>
    <mergeCell ref="AJ29:AJ30"/>
    <mergeCell ref="AK29:AK30"/>
    <mergeCell ref="AL29:AL30"/>
    <mergeCell ref="AM29:AM30"/>
    <mergeCell ref="AC33:AC34"/>
    <mergeCell ref="AD33:AD34"/>
    <mergeCell ref="AE33:AE34"/>
    <mergeCell ref="AF33:AF34"/>
    <mergeCell ref="AG33:AG34"/>
    <mergeCell ref="AJ41:AJ42"/>
    <mergeCell ref="AK33:AK34"/>
    <mergeCell ref="AK41:AK42"/>
    <mergeCell ref="AL65:AL66"/>
    <mergeCell ref="AM65:AM66"/>
    <mergeCell ref="AC45:AC46"/>
    <mergeCell ref="AD45:AD46"/>
    <mergeCell ref="AE45:AE46"/>
    <mergeCell ref="AF45:AF46"/>
    <mergeCell ref="AG45:AG46"/>
    <mergeCell ref="AH45:AH46"/>
    <mergeCell ref="AI45:AI46"/>
    <mergeCell ref="AJ45:AJ46"/>
    <mergeCell ref="AK45:AK46"/>
    <mergeCell ref="AL45:AL46"/>
    <mergeCell ref="AM45:AM46"/>
    <mergeCell ref="AC65:AC66"/>
    <mergeCell ref="AD65:AD66"/>
    <mergeCell ref="AE65:AE66"/>
    <mergeCell ref="AF65:AF66"/>
    <mergeCell ref="AG65:AG66"/>
    <mergeCell ref="AH65:AH66"/>
    <mergeCell ref="AI65:AI66"/>
    <mergeCell ref="AI41:AI42"/>
    <mergeCell ref="AE49:AE50"/>
    <mergeCell ref="AI33:AI34"/>
    <mergeCell ref="AJ33:AJ34"/>
    <mergeCell ref="AG41:AG42"/>
    <mergeCell ref="AF41:AF42"/>
    <mergeCell ref="AE41:AE42"/>
    <mergeCell ref="AD41:AD42"/>
    <mergeCell ref="AC41:AC42"/>
    <mergeCell ref="AH53:AH54"/>
    <mergeCell ref="AI53:AI54"/>
    <mergeCell ref="AJ53:AJ54"/>
    <mergeCell ref="AC53:AC54"/>
    <mergeCell ref="AD53:AD54"/>
    <mergeCell ref="AE53:AE54"/>
    <mergeCell ref="AF53:AF54"/>
    <mergeCell ref="AG53:AG54"/>
    <mergeCell ref="AH33:AH34"/>
    <mergeCell ref="AE61:AE62"/>
    <mergeCell ref="AF61:AF62"/>
    <mergeCell ref="AG61:AG62"/>
    <mergeCell ref="AH61:AH62"/>
    <mergeCell ref="AI61:AI62"/>
    <mergeCell ref="AJ61:AJ62"/>
    <mergeCell ref="AK61:AK62"/>
    <mergeCell ref="AC57:AC58"/>
    <mergeCell ref="AD57:AD58"/>
    <mergeCell ref="AE57:AE58"/>
    <mergeCell ref="AF57:AF58"/>
    <mergeCell ref="AG57:AG58"/>
    <mergeCell ref="AH57:AH58"/>
    <mergeCell ref="AI57:AI58"/>
    <mergeCell ref="AJ57:AJ58"/>
    <mergeCell ref="AK57:AK58"/>
    <mergeCell ref="AK53:AK54"/>
    <mergeCell ref="AJ65:AJ66"/>
    <mergeCell ref="AK65:AK66"/>
    <mergeCell ref="AM25:AM26"/>
    <mergeCell ref="AH23:AH26"/>
    <mergeCell ref="AC23:AG23"/>
    <mergeCell ref="AI23:AM23"/>
    <mergeCell ref="AC25:AC26"/>
    <mergeCell ref="AD25:AD26"/>
    <mergeCell ref="AE25:AE26"/>
    <mergeCell ref="AF25:AF26"/>
    <mergeCell ref="AG25:AG26"/>
    <mergeCell ref="AI25:AI26"/>
    <mergeCell ref="AJ25:AJ26"/>
    <mergeCell ref="AK25:AK26"/>
    <mergeCell ref="AL25:AL26"/>
    <mergeCell ref="AL57:AL58"/>
    <mergeCell ref="AL53:AL54"/>
    <mergeCell ref="AM53:AM54"/>
    <mergeCell ref="AM57:AM58"/>
    <mergeCell ref="AL61:AL62"/>
    <mergeCell ref="AM61:AM62"/>
    <mergeCell ref="AC61:AC62"/>
    <mergeCell ref="AD61:AD62"/>
    <mergeCell ref="AM85:AM86"/>
    <mergeCell ref="AC89:AC90"/>
    <mergeCell ref="AD89:AD90"/>
    <mergeCell ref="AE89:AE90"/>
    <mergeCell ref="AF89:AF90"/>
    <mergeCell ref="AG89:AG90"/>
    <mergeCell ref="AH89:AH90"/>
    <mergeCell ref="AI89:AI90"/>
    <mergeCell ref="AJ89:AJ90"/>
    <mergeCell ref="AK89:AK90"/>
    <mergeCell ref="AL89:AL90"/>
    <mergeCell ref="AM89:AM90"/>
    <mergeCell ref="AC85:AC86"/>
    <mergeCell ref="AD85:AD86"/>
    <mergeCell ref="AE85:AE86"/>
    <mergeCell ref="AF85:AF86"/>
    <mergeCell ref="AG85:AG86"/>
    <mergeCell ref="AH85:AH86"/>
    <mergeCell ref="AI85:AI86"/>
    <mergeCell ref="AJ85:AJ86"/>
    <mergeCell ref="AK85:AK86"/>
    <mergeCell ref="AM73:AM74"/>
    <mergeCell ref="AC69:AC70"/>
    <mergeCell ref="AD69:AD70"/>
    <mergeCell ref="AE69:AE70"/>
    <mergeCell ref="AF69:AF70"/>
    <mergeCell ref="AG69:AG70"/>
    <mergeCell ref="AH69:AH70"/>
    <mergeCell ref="AI69:AI70"/>
    <mergeCell ref="AJ69:AJ70"/>
    <mergeCell ref="AK69:AK70"/>
    <mergeCell ref="AY18:BG18"/>
    <mergeCell ref="AY17:BG17"/>
    <mergeCell ref="AY15:BG15"/>
    <mergeCell ref="AT213:AU215"/>
    <mergeCell ref="AV213:AV215"/>
    <mergeCell ref="Z203:Z206"/>
    <mergeCell ref="AB191:AB198"/>
    <mergeCell ref="AN191:AN198"/>
    <mergeCell ref="V199:AA202"/>
    <mergeCell ref="AB207:AM207"/>
    <mergeCell ref="AB208:AM208"/>
    <mergeCell ref="AB209:AM209"/>
    <mergeCell ref="AL69:AL70"/>
    <mergeCell ref="AM69:AM70"/>
    <mergeCell ref="AC73:AC74"/>
    <mergeCell ref="AD73:AD74"/>
    <mergeCell ref="AE73:AE74"/>
    <mergeCell ref="AF73:AF74"/>
    <mergeCell ref="AG73:AG74"/>
    <mergeCell ref="AH73:AH74"/>
    <mergeCell ref="AI73:AI74"/>
    <mergeCell ref="AJ73:AJ74"/>
    <mergeCell ref="AK73:AK74"/>
    <mergeCell ref="AL73:AL74"/>
    <mergeCell ref="AY203:AY206"/>
    <mergeCell ref="AY207:AY209"/>
    <mergeCell ref="AY210:AY212"/>
    <mergeCell ref="AY213:AY215"/>
    <mergeCell ref="AY216:AY218"/>
    <mergeCell ref="AS210:AS212"/>
    <mergeCell ref="AO207:AX209"/>
    <mergeCell ref="BA213:BB215"/>
    <mergeCell ref="BC213:BC215"/>
    <mergeCell ref="AP216:AX218"/>
    <mergeCell ref="AZ216:BC218"/>
    <mergeCell ref="Y14:AA14"/>
    <mergeCell ref="Y15:AA15"/>
    <mergeCell ref="Y17:AA17"/>
    <mergeCell ref="Y18:AA18"/>
    <mergeCell ref="A7:A10"/>
    <mergeCell ref="BN7:BN10"/>
    <mergeCell ref="A11:A18"/>
    <mergeCell ref="BN11:BN18"/>
    <mergeCell ref="BK7:BK10"/>
    <mergeCell ref="BJ7:BJ10"/>
    <mergeCell ref="BI7:BI10"/>
    <mergeCell ref="BH7:BH10"/>
    <mergeCell ref="E7:E10"/>
    <mergeCell ref="E11:E14"/>
    <mergeCell ref="F7:F10"/>
    <mergeCell ref="AO11:AP11"/>
    <mergeCell ref="AO13:AP13"/>
    <mergeCell ref="AO14:AP14"/>
    <mergeCell ref="AO15:AP15"/>
    <mergeCell ref="AO17:AP17"/>
    <mergeCell ref="AO18:AP18"/>
    <mergeCell ref="AY11:BG11"/>
    <mergeCell ref="AY13:BG13"/>
    <mergeCell ref="AY14:BG14"/>
    <mergeCell ref="A19:A74"/>
    <mergeCell ref="BN19:BN74"/>
    <mergeCell ref="H11:O11"/>
    <mergeCell ref="H13:O13"/>
    <mergeCell ref="H14:O14"/>
    <mergeCell ref="H15:O15"/>
    <mergeCell ref="H17:O17"/>
    <mergeCell ref="H18:O18"/>
    <mergeCell ref="A75:A122"/>
    <mergeCell ref="BN75:BN130"/>
    <mergeCell ref="A123:A166"/>
    <mergeCell ref="BN131:BN170"/>
    <mergeCell ref="A167:A198"/>
    <mergeCell ref="BN171:BN198"/>
    <mergeCell ref="I79:I82"/>
    <mergeCell ref="I75:I78"/>
    <mergeCell ref="BG75:BG78"/>
    <mergeCell ref="AC77:AC78"/>
    <mergeCell ref="AD77:AD78"/>
    <mergeCell ref="AE77:AE78"/>
    <mergeCell ref="AF77:AF78"/>
    <mergeCell ref="AG77:AG78"/>
    <mergeCell ref="Y11:AA11"/>
    <mergeCell ref="Y13:AA13"/>
    <mergeCell ref="A199:A202"/>
    <mergeCell ref="BN199:BN202"/>
    <mergeCell ref="A203:A206"/>
    <mergeCell ref="A207:C207"/>
    <mergeCell ref="L207:O209"/>
    <mergeCell ref="U207:U209"/>
    <mergeCell ref="X207:Z209"/>
    <mergeCell ref="R208:S209"/>
    <mergeCell ref="R207:S207"/>
    <mergeCell ref="P207:Q209"/>
    <mergeCell ref="AA203:AA206"/>
    <mergeCell ref="V203:W206"/>
    <mergeCell ref="X203:Y206"/>
    <mergeCell ref="V207:W209"/>
    <mergeCell ref="AB205:AC206"/>
    <mergeCell ref="AM203:AN205"/>
    <mergeCell ref="BL209:BN209"/>
    <mergeCell ref="BJ199:BJ202"/>
    <mergeCell ref="BI199:BI202"/>
    <mergeCell ref="L203:L206"/>
    <mergeCell ref="M203:N206"/>
    <mergeCell ref="AN208:AN209"/>
    <mergeCell ref="AA207:AA208"/>
    <mergeCell ref="T208:T209"/>
    <mergeCell ref="BL207:BN207"/>
    <mergeCell ref="A208:C208"/>
    <mergeCell ref="BL208:BN208"/>
    <mergeCell ref="A209:C209"/>
    <mergeCell ref="R210:S210"/>
    <mergeCell ref="R211:S212"/>
    <mergeCell ref="A212:C212"/>
    <mergeCell ref="AB212:AC212"/>
    <mergeCell ref="BL212:BM212"/>
    <mergeCell ref="AN210:AN211"/>
    <mergeCell ref="T210:T211"/>
    <mergeCell ref="AT210:AX212"/>
    <mergeCell ref="BL210:BN210"/>
    <mergeCell ref="A211:C211"/>
    <mergeCell ref="U211:U212"/>
    <mergeCell ref="AB211:AF211"/>
    <mergeCell ref="AG211:AI211"/>
    <mergeCell ref="BL211:BM211"/>
    <mergeCell ref="AD212:AM212"/>
    <mergeCell ref="AZ207:BC209"/>
    <mergeCell ref="AZ210:BC212"/>
    <mergeCell ref="W211:W212"/>
    <mergeCell ref="Y210:AA212"/>
    <mergeCell ref="X211:X212"/>
    <mergeCell ref="A210:C210"/>
    <mergeCell ref="L210:O212"/>
    <mergeCell ref="P210:Q212"/>
    <mergeCell ref="V210:V212"/>
    <mergeCell ref="AO210:AR212"/>
    <mergeCell ref="AW213:AW215"/>
    <mergeCell ref="AX213:AX215"/>
    <mergeCell ref="T213:U215"/>
    <mergeCell ref="V213:V215"/>
    <mergeCell ref="AB213:AL213"/>
    <mergeCell ref="AM213:AN213"/>
    <mergeCell ref="AO213:AQ215"/>
    <mergeCell ref="A215:C215"/>
    <mergeCell ref="AF215:AG215"/>
    <mergeCell ref="AB210:AM210"/>
    <mergeCell ref="W213:W215"/>
    <mergeCell ref="W216:W217"/>
    <mergeCell ref="Y213:AA215"/>
    <mergeCell ref="Y216:AA217"/>
    <mergeCell ref="X213:X215"/>
    <mergeCell ref="X216:X217"/>
    <mergeCell ref="BL213:BN213"/>
    <mergeCell ref="A214:C214"/>
    <mergeCell ref="M214:O215"/>
    <mergeCell ref="AB214:AE215"/>
    <mergeCell ref="AF214:AG214"/>
    <mergeCell ref="AH214:AN215"/>
    <mergeCell ref="AR213:AR215"/>
    <mergeCell ref="AS213:AS215"/>
    <mergeCell ref="BL214:BN214"/>
    <mergeCell ref="BL215:BN215"/>
    <mergeCell ref="A213:C213"/>
    <mergeCell ref="A216:C216"/>
    <mergeCell ref="Q216:U216"/>
    <mergeCell ref="V216:V217"/>
    <mergeCell ref="BL218:BN218"/>
    <mergeCell ref="A219:C219"/>
    <mergeCell ref="L219:M219"/>
    <mergeCell ref="N219:P221"/>
    <mergeCell ref="Q219:T219"/>
    <mergeCell ref="AB219:AN221"/>
    <mergeCell ref="AO219:AP220"/>
    <mergeCell ref="AQ219:AQ220"/>
    <mergeCell ref="AS219:AS221"/>
    <mergeCell ref="AB216:AN218"/>
    <mergeCell ref="AO216:AO218"/>
    <mergeCell ref="BL216:BN216"/>
    <mergeCell ref="A217:C217"/>
    <mergeCell ref="Q217:U217"/>
    <mergeCell ref="BL217:BN217"/>
    <mergeCell ref="A218:C218"/>
    <mergeCell ref="L218:M218"/>
    <mergeCell ref="W219:AA221"/>
    <mergeCell ref="AT219:AX219"/>
    <mergeCell ref="AY219:BA221"/>
    <mergeCell ref="BB219:BC219"/>
    <mergeCell ref="BL219:BN219"/>
    <mergeCell ref="A220:C220"/>
    <mergeCell ref="L220:M221"/>
    <mergeCell ref="BL220:BN220"/>
    <mergeCell ref="A221:C221"/>
    <mergeCell ref="Q221:V221"/>
    <mergeCell ref="AO221:AR221"/>
    <mergeCell ref="BL221:BN221"/>
    <mergeCell ref="A222:C222"/>
    <mergeCell ref="L222:M222"/>
    <mergeCell ref="N222:P224"/>
    <mergeCell ref="Q222:T222"/>
    <mergeCell ref="AB222:AN224"/>
    <mergeCell ref="I222:I224"/>
    <mergeCell ref="W222:AA224"/>
    <mergeCell ref="BL224:BN224"/>
    <mergeCell ref="A225:C225"/>
    <mergeCell ref="L225:M225"/>
    <mergeCell ref="N225:P227"/>
    <mergeCell ref="Q225:T225"/>
    <mergeCell ref="AB225:AN227"/>
    <mergeCell ref="E222:E224"/>
    <mergeCell ref="AO225:AP226"/>
    <mergeCell ref="D225:D227"/>
    <mergeCell ref="AQ225:AQ226"/>
    <mergeCell ref="A227:C227"/>
    <mergeCell ref="E225:E227"/>
    <mergeCell ref="F225:F227"/>
    <mergeCell ref="J225:J227"/>
    <mergeCell ref="K225:K227"/>
    <mergeCell ref="G225:G227"/>
    <mergeCell ref="H225:H227"/>
    <mergeCell ref="AS225:AS227"/>
    <mergeCell ref="BL222:BN222"/>
    <mergeCell ref="A223:C223"/>
    <mergeCell ref="L223:M224"/>
    <mergeCell ref="Q223:V223"/>
    <mergeCell ref="AT223:AX224"/>
    <mergeCell ref="BB223:BC224"/>
    <mergeCell ref="BL223:BN223"/>
    <mergeCell ref="A224:C224"/>
    <mergeCell ref="Q224:V224"/>
    <mergeCell ref="AO224:AR224"/>
    <mergeCell ref="AO222:AP223"/>
    <mergeCell ref="AQ222:AQ223"/>
    <mergeCell ref="AS222:AS224"/>
    <mergeCell ref="BL227:BN227"/>
    <mergeCell ref="AT225:AX225"/>
    <mergeCell ref="AY225:BA227"/>
    <mergeCell ref="BB225:BC225"/>
    <mergeCell ref="BL225:BN225"/>
    <mergeCell ref="A226:C226"/>
    <mergeCell ref="L226:M227"/>
    <mergeCell ref="Q226:V226"/>
    <mergeCell ref="AT226:AX227"/>
    <mergeCell ref="BB226:BC227"/>
    <mergeCell ref="BL226:BN226"/>
    <mergeCell ref="I225:I227"/>
    <mergeCell ref="W225:AA227"/>
    <mergeCell ref="BH225:BH227"/>
    <mergeCell ref="BF225:BF227"/>
    <mergeCell ref="BG225:BG227"/>
    <mergeCell ref="BI171:BI174"/>
    <mergeCell ref="BJ171:BJ174"/>
    <mergeCell ref="BE225:BE227"/>
    <mergeCell ref="BI195:BI198"/>
    <mergeCell ref="BJ195:BJ198"/>
    <mergeCell ref="Q227:V227"/>
    <mergeCell ref="AO227:AR227"/>
    <mergeCell ref="AT222:AX222"/>
    <mergeCell ref="AY222:BA224"/>
    <mergeCell ref="BB222:BC222"/>
    <mergeCell ref="BB220:BC221"/>
    <mergeCell ref="L213:L215"/>
    <mergeCell ref="M213:O213"/>
    <mergeCell ref="P213:P215"/>
    <mergeCell ref="Q213:S215"/>
    <mergeCell ref="AZ213:AZ215"/>
    <mergeCell ref="L216:M217"/>
    <mergeCell ref="N216:P218"/>
    <mergeCell ref="BK225:BK227"/>
    <mergeCell ref="BJ225:BJ227"/>
    <mergeCell ref="BI225:BI227"/>
    <mergeCell ref="BJ135:BJ138"/>
    <mergeCell ref="BJ187:BJ190"/>
    <mergeCell ref="BI167:BI170"/>
    <mergeCell ref="BJ167:BJ170"/>
    <mergeCell ref="BI155:BI158"/>
    <mergeCell ref="BJ155:BJ158"/>
    <mergeCell ref="BI175:BI178"/>
    <mergeCell ref="BJ175:BJ178"/>
    <mergeCell ref="BI191:BI194"/>
    <mergeCell ref="BJ191:BJ194"/>
    <mergeCell ref="BI179:BI182"/>
    <mergeCell ref="BJ179:BJ182"/>
    <mergeCell ref="BI183:BI186"/>
    <mergeCell ref="BJ183:BJ186"/>
    <mergeCell ref="BI187:BI190"/>
    <mergeCell ref="BI159:BI162"/>
    <mergeCell ref="BJ159:BJ162"/>
    <mergeCell ref="BI163:BI166"/>
    <mergeCell ref="BJ163:BJ166"/>
    <mergeCell ref="BK222:BK224"/>
    <mergeCell ref="BJ222:BJ224"/>
    <mergeCell ref="BJ151:BJ154"/>
    <mergeCell ref="BI147:BI150"/>
    <mergeCell ref="BI143:BI146"/>
    <mergeCell ref="BJ143:BJ146"/>
    <mergeCell ref="BI131:BI134"/>
    <mergeCell ref="BJ131:BJ134"/>
    <mergeCell ref="BJ99:BJ102"/>
    <mergeCell ref="BI103:BI106"/>
    <mergeCell ref="BJ103:BJ106"/>
    <mergeCell ref="BI111:BI114"/>
    <mergeCell ref="BJ111:BJ114"/>
    <mergeCell ref="BI115:BI118"/>
    <mergeCell ref="BJ115:BJ118"/>
    <mergeCell ref="BI123:BI126"/>
    <mergeCell ref="BJ123:BJ126"/>
    <mergeCell ref="BI127:BI130"/>
    <mergeCell ref="BJ127:BJ130"/>
    <mergeCell ref="BJ147:BJ150"/>
    <mergeCell ref="BI139:BI142"/>
    <mergeCell ref="BJ139:BJ142"/>
    <mergeCell ref="BI135:BI138"/>
    <mergeCell ref="BI119:BI122"/>
    <mergeCell ref="BJ119:BJ122"/>
    <mergeCell ref="BI151:BI154"/>
    <mergeCell ref="BD225:BD227"/>
    <mergeCell ref="BH75:BH78"/>
    <mergeCell ref="BH79:BH82"/>
    <mergeCell ref="BH83:BH86"/>
    <mergeCell ref="BH87:BH90"/>
    <mergeCell ref="BH91:BH94"/>
    <mergeCell ref="BH95:BH98"/>
    <mergeCell ref="BH99:BH102"/>
    <mergeCell ref="BH103:BH106"/>
    <mergeCell ref="BH107:BH110"/>
    <mergeCell ref="BF75:BF78"/>
    <mergeCell ref="BE75:BE78"/>
    <mergeCell ref="BD75:BD78"/>
    <mergeCell ref="BH143:BH146"/>
    <mergeCell ref="BH147:BH150"/>
    <mergeCell ref="BH151:BH154"/>
    <mergeCell ref="BH155:BH158"/>
    <mergeCell ref="BH111:BH114"/>
    <mergeCell ref="BH115:BH118"/>
    <mergeCell ref="BH119:BH122"/>
    <mergeCell ref="BH123:BH126"/>
    <mergeCell ref="BH127:BH130"/>
    <mergeCell ref="BH131:BH134"/>
    <mergeCell ref="BF222:BF224"/>
    <mergeCell ref="D7:D10"/>
    <mergeCell ref="D11:D14"/>
    <mergeCell ref="D222:D224"/>
    <mergeCell ref="E103:E106"/>
    <mergeCell ref="E107:E110"/>
    <mergeCell ref="BH183:BH186"/>
    <mergeCell ref="BH187:BH190"/>
    <mergeCell ref="BH191:BH194"/>
    <mergeCell ref="BH195:BH198"/>
    <mergeCell ref="BH199:BH202"/>
    <mergeCell ref="BF79:BF82"/>
    <mergeCell ref="BH159:BH162"/>
    <mergeCell ref="BH163:BH166"/>
    <mergeCell ref="BH167:BH170"/>
    <mergeCell ref="BH171:BH174"/>
    <mergeCell ref="BH175:BH178"/>
    <mergeCell ref="BH179:BH182"/>
    <mergeCell ref="BH135:BH138"/>
    <mergeCell ref="BH139:BH142"/>
    <mergeCell ref="E75:E78"/>
    <mergeCell ref="E79:E82"/>
    <mergeCell ref="E83:E86"/>
    <mergeCell ref="Q220:V220"/>
    <mergeCell ref="AT220:AX221"/>
    <mergeCell ref="E99:E102"/>
    <mergeCell ref="E143:E146"/>
    <mergeCell ref="E147:E150"/>
    <mergeCell ref="E115:E118"/>
    <mergeCell ref="E119:E122"/>
    <mergeCell ref="E123:E126"/>
    <mergeCell ref="E127:E130"/>
    <mergeCell ref="E131:E134"/>
    <mergeCell ref="E195:E198"/>
    <mergeCell ref="E111:E114"/>
    <mergeCell ref="E187:E190"/>
    <mergeCell ref="E191:E194"/>
    <mergeCell ref="E199:E202"/>
    <mergeCell ref="F87:F90"/>
    <mergeCell ref="F91:F94"/>
    <mergeCell ref="F95:F98"/>
    <mergeCell ref="F99:F102"/>
    <mergeCell ref="F103:F106"/>
    <mergeCell ref="E183:E186"/>
    <mergeCell ref="E159:E162"/>
    <mergeCell ref="E163:E166"/>
    <mergeCell ref="E167:E170"/>
    <mergeCell ref="E171:E174"/>
    <mergeCell ref="E175:E178"/>
    <mergeCell ref="E179:E182"/>
    <mergeCell ref="E135:E138"/>
    <mergeCell ref="E139:E142"/>
    <mergeCell ref="F139:F142"/>
    <mergeCell ref="F143:F146"/>
    <mergeCell ref="F147:F150"/>
    <mergeCell ref="F151:F154"/>
    <mergeCell ref="E87:E90"/>
    <mergeCell ref="E91:E94"/>
    <mergeCell ref="E95:E98"/>
    <mergeCell ref="E151:E154"/>
    <mergeCell ref="E155:E158"/>
    <mergeCell ref="BK11:BK14"/>
    <mergeCell ref="BJ11:BJ14"/>
    <mergeCell ref="BI75:BI78"/>
    <mergeCell ref="BJ75:BJ78"/>
    <mergeCell ref="BI79:BI82"/>
    <mergeCell ref="BJ79:BJ82"/>
    <mergeCell ref="BI83:BI86"/>
    <mergeCell ref="BJ83:BJ86"/>
    <mergeCell ref="BI107:BI110"/>
    <mergeCell ref="BJ107:BJ110"/>
    <mergeCell ref="BI87:BI90"/>
    <mergeCell ref="BJ87:BJ90"/>
    <mergeCell ref="BI91:BI94"/>
    <mergeCell ref="BJ91:BJ94"/>
    <mergeCell ref="BI95:BI98"/>
    <mergeCell ref="BI99:BI102"/>
    <mergeCell ref="BJ95:BJ98"/>
    <mergeCell ref="F199:F202"/>
    <mergeCell ref="F155:F158"/>
    <mergeCell ref="F159:F162"/>
    <mergeCell ref="G143:G146"/>
    <mergeCell ref="G147:G150"/>
    <mergeCell ref="G151:G154"/>
    <mergeCell ref="G107:G110"/>
    <mergeCell ref="G111:G114"/>
    <mergeCell ref="G115:G118"/>
    <mergeCell ref="F163:F166"/>
    <mergeCell ref="F167:F170"/>
    <mergeCell ref="F171:F174"/>
    <mergeCell ref="F179:F182"/>
    <mergeCell ref="F183:F186"/>
    <mergeCell ref="F187:F190"/>
    <mergeCell ref="F191:F194"/>
    <mergeCell ref="F195:F198"/>
    <mergeCell ref="G7:G10"/>
    <mergeCell ref="G75:G78"/>
    <mergeCell ref="G79:G82"/>
    <mergeCell ref="G83:G86"/>
    <mergeCell ref="G87:G90"/>
    <mergeCell ref="G91:G94"/>
    <mergeCell ref="G95:G98"/>
    <mergeCell ref="G99:G102"/>
    <mergeCell ref="G103:G106"/>
    <mergeCell ref="F75:F78"/>
    <mergeCell ref="F79:F82"/>
    <mergeCell ref="F83:F86"/>
    <mergeCell ref="F175:F178"/>
    <mergeCell ref="F131:F134"/>
    <mergeCell ref="F135:F138"/>
    <mergeCell ref="F119:F122"/>
    <mergeCell ref="F123:F126"/>
    <mergeCell ref="F127:F130"/>
    <mergeCell ref="F107:F110"/>
    <mergeCell ref="F111:F114"/>
    <mergeCell ref="F115:F118"/>
    <mergeCell ref="H75:H78"/>
    <mergeCell ref="G179:G182"/>
    <mergeCell ref="G183:G186"/>
    <mergeCell ref="G187:G190"/>
    <mergeCell ref="G191:G194"/>
    <mergeCell ref="G195:G198"/>
    <mergeCell ref="G199:G202"/>
    <mergeCell ref="G155:G158"/>
    <mergeCell ref="G159:G162"/>
    <mergeCell ref="G163:G166"/>
    <mergeCell ref="G167:G170"/>
    <mergeCell ref="G171:G174"/>
    <mergeCell ref="G175:G178"/>
    <mergeCell ref="G131:G134"/>
    <mergeCell ref="G135:G138"/>
    <mergeCell ref="G139:G142"/>
    <mergeCell ref="G119:G122"/>
    <mergeCell ref="G123:G126"/>
    <mergeCell ref="G127:G130"/>
    <mergeCell ref="AB183:AB189"/>
    <mergeCell ref="AN183:AN189"/>
    <mergeCell ref="J75:J78"/>
    <mergeCell ref="AK77:AK78"/>
    <mergeCell ref="AL77:AL78"/>
    <mergeCell ref="AM77:AM78"/>
    <mergeCell ref="AC81:AC82"/>
    <mergeCell ref="AD81:AD82"/>
    <mergeCell ref="AE81:AE82"/>
    <mergeCell ref="AF81:AF82"/>
    <mergeCell ref="AG81:AG82"/>
    <mergeCell ref="AH81:AH82"/>
    <mergeCell ref="AI81:AI82"/>
    <mergeCell ref="AJ81:AJ82"/>
    <mergeCell ref="AK81:AK82"/>
    <mergeCell ref="AL81:AL82"/>
    <mergeCell ref="AM81:AM82"/>
    <mergeCell ref="AH77:AH78"/>
    <mergeCell ref="K75:K78"/>
    <mergeCell ref="AI77:AI78"/>
    <mergeCell ref="AJ77:AJ78"/>
    <mergeCell ref="AF95:AG95"/>
    <mergeCell ref="AH93:AH94"/>
    <mergeCell ref="AL85:AL86"/>
  </mergeCells>
  <conditionalFormatting sqref="H11:O18 AO11:AP18">
    <cfRule type="expression" dxfId="289" priority="74">
      <formula>COUNTIF(H9:H12,"*.PH*")&gt;0</formula>
    </cfRule>
    <cfRule type="expression" dxfId="288" priority="49">
      <formula>COUNTIF(H9:H12,"V.PH*")&gt;0</formula>
    </cfRule>
  </conditionalFormatting>
  <conditionalFormatting sqref="H7:AA7 AO7:BG7">
    <cfRule type="expression" dxfId="287" priority="4632">
      <formula>COUNTIF(H6:H8,"V.P.5*")&gt;0</formula>
    </cfRule>
    <cfRule type="expression" dxfId="286" priority="4628">
      <formula>COUNTIF(H6:H8,"V.S.5*")&gt;0</formula>
    </cfRule>
    <cfRule type="expression" dxfId="285" priority="4624">
      <formula>COUNTIF(H6:H8,"V.P.4*")&gt;0</formula>
    </cfRule>
    <cfRule type="expression" dxfId="284" priority="4620">
      <formula>COUNTIF(H6:H8,"V.S.4*")&gt;0</formula>
    </cfRule>
    <cfRule type="expression" dxfId="283" priority="4616">
      <formula>COUNTIF(H6:H8,"V.S.3*")&gt;0</formula>
    </cfRule>
    <cfRule type="expression" dxfId="282" priority="4612">
      <formula>COUNTIF(H6:H8,"V.S.2*")&gt;0</formula>
    </cfRule>
    <cfRule type="expression" dxfId="281" priority="4604">
      <formula>COUNTIF(H6:H8,"*.P.5*")&gt;0</formula>
    </cfRule>
    <cfRule type="expression" dxfId="280" priority="4600">
      <formula>COUNTIF(H6:H8,"*.S.5*")&gt;0</formula>
    </cfRule>
    <cfRule type="expression" dxfId="279" priority="4608">
      <formula>COUNTIF(H6:H8,"*.PH*")&gt;0</formula>
    </cfRule>
    <cfRule type="expression" dxfId="278" priority="4596">
      <formula>COUNTIF(H6:H8,"*.P.4*")&gt;0</formula>
    </cfRule>
    <cfRule type="expression" dxfId="277" priority="4592">
      <formula>COUNTIF(H6:H8,"*.S.4*")&gt;0</formula>
    </cfRule>
    <cfRule type="expression" dxfId="276" priority="4588">
      <formula>COUNTIF(H6:H8,"*.S.3*")&gt;0</formula>
    </cfRule>
    <cfRule type="expression" dxfId="275" priority="4584">
      <formula>COUNTIF(H6:H8,"*.S.2*")&gt;0</formula>
    </cfRule>
    <cfRule type="expression" dxfId="274" priority="4577">
      <formula>COUNTIF(H6:H8,"V.PH*")&gt;0</formula>
    </cfRule>
  </conditionalFormatting>
  <conditionalFormatting sqref="H7:AA74 AO7:BG74 V75:V197 W75:AA198 L75:L201 M75:U202 AO75:BC202 L159:AA162 O203:U206">
    <cfRule type="expression" dxfId="273" priority="48">
      <formula>COUNTIF(H8,"O*")&gt;0</formula>
    </cfRule>
  </conditionalFormatting>
  <conditionalFormatting sqref="H8:AA74 AO8:BG74 L75:AA198 AO75:BC202 L199:U202 O203:U206">
    <cfRule type="expression" dxfId="272" priority="78">
      <formula>COUNTIF(H6:H9,"*.P.4*")&gt;0</formula>
    </cfRule>
    <cfRule type="expression" dxfId="271" priority="77">
      <formula>COUNTIF(H6:H9,"*.S.5*")&gt;0</formula>
    </cfRule>
    <cfRule type="expression" dxfId="270" priority="76">
      <formula>COUNTIF(H6:H9,"*.P.5*")&gt;0</formula>
    </cfRule>
    <cfRule type="expression" dxfId="269" priority="75">
      <formula>COUNTIF(H6:H9,"*.PH*")&gt;0</formula>
    </cfRule>
    <cfRule type="expression" dxfId="268" priority="81">
      <formula>COUNTIF(H6:H9,"*.S.2*")&gt;0</formula>
    </cfRule>
    <cfRule type="expression" dxfId="267" priority="72">
      <formula>COUNTIF(H6:H9,"V.S.2*")&gt;0</formula>
    </cfRule>
    <cfRule type="expression" dxfId="266" priority="71">
      <formula>COUNTIF(H6:H9,"V.S.3*")&gt;0</formula>
    </cfRule>
    <cfRule type="expression" dxfId="265" priority="80">
      <formula>COUNTIF(H6:H9,"*.S.3*")&gt;0</formula>
    </cfRule>
    <cfRule type="expression" dxfId="264" priority="70">
      <formula>COUNTIF(H6:H9,"V.S.4*")&gt;0</formula>
    </cfRule>
    <cfRule type="expression" dxfId="263" priority="69">
      <formula>COUNTIF(H6:H9,"V.P.4*")&gt;0</formula>
    </cfRule>
    <cfRule type="expression" dxfId="262" priority="68">
      <formula>COUNTIF(H6:H9,"V.S.5*")&gt;0</formula>
    </cfRule>
    <cfRule type="expression" dxfId="261" priority="67">
      <formula>COUNTIF(H6:H9,"V.P.5*")&gt;0</formula>
    </cfRule>
    <cfRule type="expression" dxfId="260" priority="79">
      <formula>COUNTIF(H6:H9,"*.S.4*")&gt;0</formula>
    </cfRule>
  </conditionalFormatting>
  <conditionalFormatting sqref="H8:AA74 AO8:BG74 V75:V197 W75:AA198 L75:L201 M75:U202 AO75:BC202 L159:AA162 O203:U206">
    <cfRule type="expression" dxfId="259" priority="51">
      <formula>COUNTIF(H6:H9,"V.PH*")&gt;0</formula>
    </cfRule>
  </conditionalFormatting>
  <conditionalFormatting sqref="V198 L202">
    <cfRule type="expression" dxfId="258" priority="4635">
      <formula>COUNTIF(#REF!,"O*")&gt;0</formula>
    </cfRule>
    <cfRule type="expression" dxfId="257" priority="4636">
      <formula>COUNTIF(L196:L199,"V.PH*")&gt;0</formula>
    </cfRule>
  </conditionalFormatting>
  <conditionalFormatting sqref="Y11:AA18 AY11:BG18">
    <cfRule type="expression" dxfId="256" priority="50">
      <formula>COUNTIF(Y9:Y12,"V.PH*")&gt;0</formula>
    </cfRule>
    <cfRule type="expression" dxfId="255" priority="73">
      <formula>COUNTIF(Y9:Y12,"*.PH*")&gt;0</formula>
    </cfRule>
  </conditionalFormatting>
  <conditionalFormatting sqref="AE11:AK13">
    <cfRule type="expression" dxfId="254" priority="43">
      <formula>COUNTIF(AE9:AE12,"*.S.4*")&gt;0</formula>
    </cfRule>
    <cfRule type="expression" dxfId="253" priority="42">
      <formula>COUNTIF(AE9:AE12,"*.P.4*")&gt;0</formula>
    </cfRule>
    <cfRule type="expression" dxfId="252" priority="41">
      <formula>COUNTIF(AE9:AE12,"*.S.5*")&gt;0</formula>
    </cfRule>
    <cfRule type="expression" dxfId="251" priority="39">
      <formula>COUNTIF(AE9:AE12,"*.PH*")&gt;0</formula>
    </cfRule>
    <cfRule type="expression" dxfId="250" priority="38">
      <formula>COUNTIF(AE9:AE12,"V.S.2*")&gt;0</formula>
    </cfRule>
    <cfRule type="expression" dxfId="249" priority="40">
      <formula>COUNTIF(AE9:AE12,"*.P.5*")&gt;0</formula>
    </cfRule>
    <cfRule type="expression" dxfId="248" priority="37">
      <formula>COUNTIF(AE9:AE12,"V.S.3*")&gt;0</formula>
    </cfRule>
    <cfRule type="expression" dxfId="247" priority="36">
      <formula>COUNTIF(AE9:AE12,"V.S.4*")&gt;0</formula>
    </cfRule>
    <cfRule type="expression" dxfId="246" priority="35">
      <formula>COUNTIF(AE9:AE12,"V.P.4*")&gt;0</formula>
    </cfRule>
    <cfRule type="expression" dxfId="245" priority="34">
      <formula>COUNTIF(AE9:AE12,"V.S.5*")&gt;0</formula>
    </cfRule>
    <cfRule type="expression" dxfId="244" priority="33">
      <formula>COUNTIF(AE9:AE12,"V.P.5*")&gt;0</formula>
    </cfRule>
    <cfRule type="expression" dxfId="243" priority="31">
      <formula>COUNTIF(AE12,"O*")&gt;0</formula>
    </cfRule>
    <cfRule type="expression" dxfId="242" priority="32">
      <formula>COUNTIF(AE9:AE12,"V.PH*")&gt;0</formula>
    </cfRule>
    <cfRule type="expression" dxfId="241" priority="45">
      <formula>COUNTIF(AE9:AE12,"*.S.2*")&gt;0</formula>
    </cfRule>
    <cfRule type="expression" dxfId="240" priority="44">
      <formula>COUNTIF(AE9:AE12,"*.S.3*")&gt;0</formula>
    </cfRule>
  </conditionalFormatting>
  <conditionalFormatting sqref="AE15:AK15">
    <cfRule type="expression" dxfId="239" priority="9">
      <formula>COUNTIF(AE13:AE16,"*.PH*")&gt;0</formula>
    </cfRule>
    <cfRule type="expression" dxfId="238" priority="15">
      <formula>COUNTIF(AE13:AE16,"*.S.2*")&gt;0</formula>
    </cfRule>
    <cfRule type="expression" dxfId="237" priority="14">
      <formula>COUNTIF(AE13:AE16,"*.S.3*")&gt;0</formula>
    </cfRule>
    <cfRule type="expression" dxfId="236" priority="13">
      <formula>COUNTIF(AE13:AE16,"*.S.4*")&gt;0</formula>
    </cfRule>
    <cfRule type="expression" dxfId="235" priority="12">
      <formula>COUNTIF(AE13:AE16,"*.P.4*")&gt;0</formula>
    </cfRule>
    <cfRule type="expression" dxfId="234" priority="11">
      <formula>COUNTIF(AE13:AE16,"*.S.5*")&gt;0</formula>
    </cfRule>
    <cfRule type="expression" dxfId="233" priority="10">
      <formula>COUNTIF(AE13:AE16,"*.P.5*")&gt;0</formula>
    </cfRule>
    <cfRule type="expression" dxfId="232" priority="8">
      <formula>COUNTIF(AE13:AE16,"V.S.2*")&gt;0</formula>
    </cfRule>
    <cfRule type="expression" dxfId="231" priority="7">
      <formula>COUNTIF(AE13:AE16,"V.S.3*")&gt;0</formula>
    </cfRule>
    <cfRule type="expression" dxfId="230" priority="1">
      <formula>COUNTIF(AE16,"O*")&gt;0</formula>
    </cfRule>
    <cfRule type="expression" dxfId="229" priority="6">
      <formula>COUNTIF(AE13:AE16,"V.S.4*")&gt;0</formula>
    </cfRule>
    <cfRule type="expression" dxfId="228" priority="5">
      <formula>COUNTIF(AE13:AE16,"V.P.4*")&gt;0</formula>
    </cfRule>
    <cfRule type="expression" dxfId="227" priority="4">
      <formula>COUNTIF(AE13:AE16,"V.S.5*")&gt;0</formula>
    </cfRule>
    <cfRule type="expression" dxfId="226" priority="3">
      <formula>COUNTIF(AE13:AE16,"V.P.5*")&gt;0</formula>
    </cfRule>
    <cfRule type="expression" dxfId="225" priority="2">
      <formula>COUNTIF(AE13:AE16,"V.PH*")&gt;0</formula>
    </cfRule>
  </conditionalFormatting>
  <printOptions horizontalCentered="1"/>
  <pageMargins left="0.11811023622047245" right="0.11811023622047245" top="0.42395833333333333" bottom="0.74803149606299213" header="0.31496062992125984" footer="0.31496062992125984"/>
  <pageSetup paperSize="66" scale="44"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F5D3-75B9-419B-9BBF-6342674EC1B6}">
  <sheetPr codeName="גיליון2">
    <pageSetUpPr fitToPage="1"/>
  </sheetPr>
  <dimension ref="A1:Y670"/>
  <sheetViews>
    <sheetView rightToLeft="1" topLeftCell="A211" zoomScale="70" zoomScaleNormal="70" workbookViewId="0">
      <selection activeCell="M233" sqref="M233"/>
    </sheetView>
  </sheetViews>
  <sheetFormatPr defaultColWidth="9" defaultRowHeight="15.75" x14ac:dyDescent="0.2"/>
  <cols>
    <col min="1" max="1" width="23.875" style="3" customWidth="1"/>
    <col min="2" max="2" width="17.125" style="3" customWidth="1"/>
    <col min="3" max="3" width="10.625" style="3" bestFit="1" customWidth="1"/>
    <col min="4" max="4" width="11.5" style="3" bestFit="1" customWidth="1"/>
    <col min="5" max="5" width="13.5" style="4" customWidth="1"/>
    <col min="6" max="6" width="11.75" style="3" customWidth="1"/>
    <col min="7" max="7" width="9.625" style="3" customWidth="1"/>
    <col min="8" max="8" width="13.375" style="3" customWidth="1"/>
    <col min="9" max="9" width="9" style="3" customWidth="1"/>
    <col min="10" max="10" width="16.75" style="3" customWidth="1"/>
    <col min="11" max="11" width="11.75" style="3" bestFit="1" customWidth="1"/>
    <col min="12" max="12" width="9" style="3"/>
    <col min="13" max="13" width="26.5" style="3" customWidth="1"/>
    <col min="14" max="14" width="31.875" style="3" bestFit="1" customWidth="1"/>
    <col min="15" max="15" width="33.125" style="3" bestFit="1" customWidth="1"/>
    <col min="16" max="17" width="31.875" style="3" customWidth="1"/>
    <col min="18" max="18" width="15.625" style="3" customWidth="1"/>
    <col min="19" max="19" width="32.375" style="3" customWidth="1"/>
    <col min="20" max="20" width="51.375" style="3" bestFit="1" customWidth="1"/>
    <col min="21" max="22" width="14.875" style="3" bestFit="1" customWidth="1"/>
    <col min="23" max="23" width="13.75" style="3" bestFit="1" customWidth="1"/>
    <col min="24" max="24" width="18.5" style="3" bestFit="1" customWidth="1"/>
    <col min="25" max="25" width="21.625" style="3" customWidth="1"/>
    <col min="26" max="16384" width="9" style="3"/>
  </cols>
  <sheetData>
    <row r="1" spans="1:25" ht="55.5" customHeight="1" x14ac:dyDescent="0.2">
      <c r="E1" s="3"/>
    </row>
    <row r="2" spans="1:25" ht="16.5" thickBot="1" x14ac:dyDescent="0.25">
      <c r="A2" s="3" t="s">
        <v>131</v>
      </c>
      <c r="B2" s="3" t="s">
        <v>1228</v>
      </c>
      <c r="C2" s="3" t="s">
        <v>54</v>
      </c>
      <c r="D2" s="3" t="s">
        <v>53</v>
      </c>
      <c r="E2" s="4" t="s">
        <v>86</v>
      </c>
      <c r="F2" s="3" t="s">
        <v>87</v>
      </c>
      <c r="G2" s="3" t="s">
        <v>1</v>
      </c>
      <c r="H2" s="3" t="s">
        <v>104</v>
      </c>
      <c r="I2" s="3" t="s">
        <v>105</v>
      </c>
      <c r="J2" s="3" t="s">
        <v>88</v>
      </c>
      <c r="K2" s="3" t="s">
        <v>89</v>
      </c>
      <c r="L2" s="3" t="s">
        <v>1229</v>
      </c>
      <c r="M2" s="3" t="s">
        <v>1416</v>
      </c>
      <c r="N2" s="3" t="s">
        <v>1415</v>
      </c>
      <c r="O2" s="3" t="s">
        <v>1378</v>
      </c>
      <c r="P2" s="3" t="s">
        <v>1383</v>
      </c>
      <c r="Q2" s="3" t="s">
        <v>1395</v>
      </c>
      <c r="R2" s="3" t="s">
        <v>1374</v>
      </c>
      <c r="S2" s="3" t="s">
        <v>215</v>
      </c>
      <c r="T2" s="3" t="s">
        <v>1072</v>
      </c>
      <c r="U2" s="3" t="s">
        <v>216</v>
      </c>
      <c r="V2" s="3" t="s">
        <v>217</v>
      </c>
      <c r="W2" s="3" t="s">
        <v>218</v>
      </c>
      <c r="Y2" s="3" t="s">
        <v>1372</v>
      </c>
    </row>
    <row r="3" spans="1:25" ht="16.5" thickBot="1" x14ac:dyDescent="0.25">
      <c r="A3" s="13" t="str">
        <f>_xlfn.CONCAT(VLOOKUP(Check[[#This Row],[סטטוס]],Sold,2,FALSE),IF(Check[[#This Row],[סטטוס]]="פנויה",IF(N3="גמר מלא סטנדרט",".GMS",IF(N3="גמר מלא טיוב חומרים",".GMC",IF(N3="גמר מינימלי",".GM",IF(N3="דירת שיווק",".DS","")))),""),".",VLOOKUP(Check[[#This Row],[טיפוס]],Tipus[],5,FALSE),".",VLOOKUP(Check[[#This Row],[מגדל]],Tower,2,FALSE),".Ap.",Check[[#This Row],[מספר דירה]])</f>
        <v>O.S.2C.TS.Ap.1</v>
      </c>
      <c r="B3" s="13" t="str">
        <f>_xlfn.CONCAT(VLOOKUP(Check[[#This Row],[סטטוס]],Sold,2,FALSE),IF(Check[[#This Row],[סטטוס]]="פנויה",IF(N3="גמר מלא סטנדרט",".GMS",IF(N3="גמר מלא טיוב חומרים",".GMC",IF(N3="גמר מינימלי",".GM",IF(N3="דירת שיווק",".DS","")))),""),IF(M3="זומן לטרום",".ZLT",IF(M3="טרום מסירה",".TM",IF(M3="טרום מסירה מהנדס",".TMM",IF(M3="מסירת חזקה",".MH",IF(M3="מסירת חזקה מהנדס",".MHM",""))))),".",VLOOKUP(Check[[#This Row],[טיפוס]],Tipus[],5,FALSE),".",VLOOKUP(Check[[#This Row],[מגדל]],Tower,2,FALSE),".Ap.",Check[[#This Row],[מספר דירה]])</f>
        <v>O.MH.S.2C.TS.Ap.1</v>
      </c>
      <c r="C3" s="3" t="s">
        <v>55</v>
      </c>
      <c r="D3" s="3">
        <v>1</v>
      </c>
      <c r="E3" s="4">
        <v>1</v>
      </c>
      <c r="F3" s="3">
        <v>101</v>
      </c>
      <c r="G3" s="3" t="s">
        <v>4</v>
      </c>
      <c r="H3" s="3">
        <f>VLOOKUP(Check[[#This Row],[טיפוס]],Tipus[],2,FALSE)</f>
        <v>2</v>
      </c>
      <c r="I3" s="3" t="str">
        <f>VLOOKUP(Check[[#This Row],[טיפוס]],Tipus[],3,FALSE)</f>
        <v>סטנדרט</v>
      </c>
      <c r="J3" s="3" t="str">
        <f>VLOOKUP(Check[[#This Row],[טיפוס]],Tipus[],4,FALSE)</f>
        <v>E</v>
      </c>
      <c r="K3" s="3" t="str">
        <f>IF(Check[[#This Row],[סטטוס2]]="הולד","פנויה",Check[[#This Row],[סטטוס2]])</f>
        <v>בעלים</v>
      </c>
      <c r="L3" s="382" t="s">
        <v>91</v>
      </c>
      <c r="M3" s="382" t="s">
        <v>1422</v>
      </c>
      <c r="N3" s="383"/>
      <c r="O3" s="383"/>
      <c r="P3" s="411"/>
      <c r="Q3" s="411"/>
      <c r="R3" s="383"/>
      <c r="S3" s="384">
        <v>44040</v>
      </c>
      <c r="T3" s="384" t="s">
        <v>233</v>
      </c>
      <c r="U3" s="385" t="s">
        <v>214</v>
      </c>
      <c r="V3" s="385" t="s">
        <v>214</v>
      </c>
      <c r="W3" s="385" t="s">
        <v>365</v>
      </c>
      <c r="Y3" s="391" t="s">
        <v>1366</v>
      </c>
    </row>
    <row r="4" spans="1:25" ht="16.5" thickBot="1" x14ac:dyDescent="0.25">
      <c r="A4" s="13" t="str">
        <f>_xlfn.CONCAT(VLOOKUP(Check[[#This Row],[סטטוס]],Sold,2,FALSE),IF(Check[[#This Row],[סטטוס]]="פנויה",IF(N4="גמר מלא סטנדרט",".GMS",IF(N4="גמר מלא טיוב חומרים",".GMC",IF(N4="גמר מינימלי",".GM",IF(N4="דירת שיווק",".DS","")))),""),".",VLOOKUP(Check[[#This Row],[טיפוס]],Tipus[],5,FALSE),".",VLOOKUP(Check[[#This Row],[מגדל]],Tower,2,FALSE),".Ap.",Check[[#This Row],[מספר דירה]])</f>
        <v>O.S.4G.TS.Ap.2</v>
      </c>
      <c r="B4" s="13" t="str">
        <f>_xlfn.CONCAT(VLOOKUP(Check[[#This Row],[סטטוס]],Sold,2,FALSE),IF(Check[[#This Row],[סטטוס]]="פנויה",IF(N4="גמר מלא סטנדרט",".GMS",IF(N4="גמר מלא טיוב חומרים",".GMC",IF(N4="גמר מינימלי",".GM",IF(N4="דירת שיווק",".DS","")))),""),IF(M4="זומן לטרום",".ZLT",IF(M4="טרום מסירה",".TM",IF(M4="טרום מסירה מהנדס",".TMM",IF(M4="מסירת חזקה",".MH",IF(M4="מסירת חזקה מהנדס",".MHM",""))))),".",VLOOKUP(Check[[#This Row],[טיפוס]],Tipus[],5,FALSE),".",VLOOKUP(Check[[#This Row],[מגדל]],Tower,2,FALSE),".Ap.",Check[[#This Row],[מספר דירה]])</f>
        <v>O.S.4G.TS.Ap.2</v>
      </c>
      <c r="C4" s="3" t="s">
        <v>55</v>
      </c>
      <c r="D4" s="3">
        <v>1</v>
      </c>
      <c r="E4" s="4">
        <v>2</v>
      </c>
      <c r="F4" s="3">
        <v>102</v>
      </c>
      <c r="G4" s="3" t="s">
        <v>3</v>
      </c>
      <c r="H4" s="3">
        <f>VLOOKUP(Check[[#This Row],[טיפוס]],Tipus[],2,FALSE)</f>
        <v>4</v>
      </c>
      <c r="I4" s="3" t="str">
        <f>VLOOKUP(Check[[#This Row],[טיפוס]],Tipus[],3,FALSE)</f>
        <v>סטנדרט</v>
      </c>
      <c r="J4" s="3" t="str">
        <f>VLOOKUP(Check[[#This Row],[טיפוס]],Tipus[],4,FALSE)</f>
        <v>4G</v>
      </c>
      <c r="K4" s="3" t="str">
        <f>IF(Check[[#This Row],[סטטוס2]]="הולד","פנויה",Check[[#This Row],[סטטוס2]])</f>
        <v>בעלים</v>
      </c>
      <c r="L4" s="382" t="s">
        <v>91</v>
      </c>
      <c r="M4" s="382"/>
      <c r="N4" s="383"/>
      <c r="O4" s="383"/>
      <c r="P4" s="411"/>
      <c r="Q4" s="411"/>
      <c r="R4" s="383"/>
      <c r="S4" s="384">
        <v>44040</v>
      </c>
      <c r="T4" s="384" t="s">
        <v>223</v>
      </c>
      <c r="U4" s="385" t="s">
        <v>366</v>
      </c>
      <c r="V4" s="385" t="s">
        <v>367</v>
      </c>
      <c r="W4" s="385" t="s">
        <v>214</v>
      </c>
      <c r="Y4" s="392" t="s">
        <v>1367</v>
      </c>
    </row>
    <row r="5" spans="1:25" ht="16.5" thickBot="1" x14ac:dyDescent="0.25">
      <c r="A5" s="13" t="str">
        <f>_xlfn.CONCAT(VLOOKUP(Check[[#This Row],[סטטוס]],Sold,2,FALSE),IF(Check[[#This Row],[סטטוס]]="פנויה",IF(N5="גמר מלא סטנדרט",".GMS",IF(N5="גמר מלא טיוב חומרים",".GMC",IF(N5="גמר מינימלי",".GM",IF(N5="דירת שיווק",".DS","")))),""),".",VLOOKUP(Check[[#This Row],[טיפוס]],Tipus[],5,FALSE),".",VLOOKUP(Check[[#This Row],[מגדל]],Tower,2,FALSE),".Ap.",Check[[#This Row],[מספר דירה]])</f>
        <v>O.S.4H.TS.Ap.3</v>
      </c>
      <c r="B5" s="13" t="str">
        <f>_xlfn.CONCAT(VLOOKUP(Check[[#This Row],[סטטוס]],Sold,2,FALSE),IF(Check[[#This Row],[סטטוס]]="פנויה",IF(N5="גמר מלא סטנדרט",".GMS",IF(N5="גמר מלא טיוב חומרים",".GMC",IF(N5="גמר מינימלי",".GM",IF(N5="דירת שיווק",".DS","")))),""),IF(M5="זומן לטרום",".ZLT",IF(M5="טרום מסירה",".TM",IF(M5="טרום מסירה מהנדס",".TMM",IF(M5="מסירת חזקה",".MH",IF(M5="מסירת חזקה מהנדס",".MHM",""))))),".",VLOOKUP(Check[[#This Row],[טיפוס]],Tipus[],5,FALSE),".",VLOOKUP(Check[[#This Row],[מגדל]],Tower,2,FALSE),".Ap.",Check[[#This Row],[מספר דירה]])</f>
        <v>O.S.4H.TS.Ap.3</v>
      </c>
      <c r="C5" s="3" t="s">
        <v>55</v>
      </c>
      <c r="D5" s="3">
        <v>1</v>
      </c>
      <c r="E5" s="4">
        <v>3</v>
      </c>
      <c r="F5" s="3">
        <v>103</v>
      </c>
      <c r="G5" s="3" t="s">
        <v>2</v>
      </c>
      <c r="H5" s="3">
        <f>VLOOKUP(Check[[#This Row],[טיפוס]],Tipus[],2,FALSE)</f>
        <v>4</v>
      </c>
      <c r="I5" s="3" t="str">
        <f>VLOOKUP(Check[[#This Row],[טיפוס]],Tipus[],3,FALSE)</f>
        <v>סטנדרט</v>
      </c>
      <c r="J5" s="3" t="str">
        <f>VLOOKUP(Check[[#This Row],[טיפוס]],Tipus[],4,FALSE)</f>
        <v>4H</v>
      </c>
      <c r="K5" s="3" t="str">
        <f>IF(Check[[#This Row],[סטטוס2]]="הולד","פנויה",Check[[#This Row],[סטטוס2]])</f>
        <v>בעלים</v>
      </c>
      <c r="L5" s="382" t="s">
        <v>91</v>
      </c>
      <c r="M5" s="382"/>
      <c r="N5" s="383"/>
      <c r="O5" s="383"/>
      <c r="P5" s="411"/>
      <c r="Q5" s="411"/>
      <c r="R5" s="383"/>
      <c r="S5" s="384">
        <v>44040</v>
      </c>
      <c r="T5" s="384" t="s">
        <v>290</v>
      </c>
      <c r="U5" s="385" t="s">
        <v>368</v>
      </c>
      <c r="V5" s="385" t="s">
        <v>369</v>
      </c>
      <c r="W5" s="385" t="s">
        <v>370</v>
      </c>
      <c r="Y5" s="393" t="s">
        <v>1368</v>
      </c>
    </row>
    <row r="6" spans="1:25" ht="16.5" thickBot="1" x14ac:dyDescent="0.25">
      <c r="A6" s="13" t="str">
        <f>_xlfn.CONCAT(VLOOKUP(Check[[#This Row],[סטטוס]],Sold,2,FALSE),IF(Check[[#This Row],[סטטוס]]="פנויה",IF(N6="גמר מלא סטנדרט",".GMS",IF(N6="גמר מלא טיוב חומרים",".GMC",IF(N6="גמר מינימלי",".GM",IF(N6="דירת שיווק",".DS","")))),""),".",VLOOKUP(Check[[#This Row],[טיפוס]],Tipus[],5,FALSE),".",VLOOKUP(Check[[#This Row],[מגדל]],Tower,2,FALSE),".Ap.",Check[[#This Row],[מספר דירה]])</f>
        <v>S.S.2A.TS.Ap.4</v>
      </c>
      <c r="B6" s="13" t="str">
        <f>_xlfn.CONCAT(VLOOKUP(Check[[#This Row],[סטטוס]],Sold,2,FALSE),IF(Check[[#This Row],[סטטוס]]="פנויה",IF(N6="גמר מלא סטנדרט",".GMS",IF(N6="גמר מלא טיוב חומרים",".GMC",IF(N6="גמר מינימלי",".GM",IF(N6="דירת שיווק",".DS","")))),""),IF(M6="זומן לטרום",".ZLT",IF(M6="טרום מסירה",".TM",IF(M6="טרום מסירה מהנדס",".TMM",IF(M6="מסירת חזקה",".MH",IF(M6="מסירת חזקה מהנדס",".MHM",""))))),".",VLOOKUP(Check[[#This Row],[טיפוס]],Tipus[],5,FALSE),".",VLOOKUP(Check[[#This Row],[מגדל]],Tower,2,FALSE),".Ap.",Check[[#This Row],[מספר דירה]])</f>
        <v>S.S.2A.TS.Ap.4</v>
      </c>
      <c r="C6" s="3" t="s">
        <v>55</v>
      </c>
      <c r="D6" s="3">
        <v>2</v>
      </c>
      <c r="E6" s="4">
        <v>4</v>
      </c>
      <c r="F6" s="3">
        <v>201</v>
      </c>
      <c r="G6" s="3" t="s">
        <v>6</v>
      </c>
      <c r="H6" s="3">
        <f>VLOOKUP(Check[[#This Row],[טיפוס]],Tipus[],2,FALSE)</f>
        <v>2</v>
      </c>
      <c r="I6" s="3" t="str">
        <f>VLOOKUP(Check[[#This Row],[טיפוס]],Tipus[],3,FALSE)</f>
        <v>סטנדרט</v>
      </c>
      <c r="J6" s="3" t="str">
        <f>VLOOKUP(Check[[#This Row],[טיפוס]],Tipus[],4,FALSE)</f>
        <v>G</v>
      </c>
      <c r="K6" s="3" t="str">
        <f>IF(Check[[#This Row],[סטטוס2]]="הולד","פנויה",Check[[#This Row],[סטטוס2]])</f>
        <v>מכורה</v>
      </c>
      <c r="L6" s="382" t="s">
        <v>130</v>
      </c>
      <c r="M6" s="382"/>
      <c r="N6" s="383"/>
      <c r="O6" s="383"/>
      <c r="P6" s="411"/>
      <c r="Q6" s="411"/>
      <c r="R6" s="383"/>
      <c r="S6" s="386">
        <v>44521</v>
      </c>
      <c r="T6" s="386" t="s">
        <v>1071</v>
      </c>
      <c r="U6" s="387"/>
      <c r="V6" s="387"/>
      <c r="W6" s="387"/>
      <c r="Y6" s="394" t="s">
        <v>1369</v>
      </c>
    </row>
    <row r="7" spans="1:25" ht="16.5" thickBot="1" x14ac:dyDescent="0.25">
      <c r="A7" s="13" t="str">
        <f>_xlfn.CONCAT(VLOOKUP(Check[[#This Row],[סטטוס]],Sold,2,FALSE),IF(Check[[#This Row],[סטטוס]]="פנויה",IF(N7="גמר מלא סטנדרט",".GMS",IF(N7="גמר מלא טיוב חומרים",".GMC",IF(N7="גמר מינימלי",".GM",IF(N7="דירת שיווק",".DS","")))),""),".",VLOOKUP(Check[[#This Row],[טיפוס]],Tipus[],5,FALSE),".",VLOOKUP(Check[[#This Row],[מגדל]],Tower,2,FALSE),".Ap.",Check[[#This Row],[מספר דירה]])</f>
        <v>O.S.2B.TS.Ap.5</v>
      </c>
      <c r="B7" s="13" t="str">
        <f>_xlfn.CONCAT(VLOOKUP(Check[[#This Row],[סטטוס]],Sold,2,FALSE),IF(Check[[#This Row],[סטטוס]]="פנויה",IF(N7="גמר מלא סטנדרט",".GMS",IF(N7="גמר מלא טיוב חומרים",".GMC",IF(N7="גמר מינימלי",".GM",IF(N7="דירת שיווק",".DS","")))),""),IF(M7="זומן לטרום",".ZLT",IF(M7="טרום מסירה",".TM",IF(M7="טרום מסירה מהנדס",".TMM",IF(M7="מסירת חזקה",".MH",IF(M7="מסירת חזקה מהנדס",".MHM",""))))),".",VLOOKUP(Check[[#This Row],[טיפוס]],Tipus[],5,FALSE),".",VLOOKUP(Check[[#This Row],[מגדל]],Tower,2,FALSE),".Ap.",Check[[#This Row],[מספר דירה]])</f>
        <v>O.S.2B.TS.Ap.5</v>
      </c>
      <c r="C7" s="3" t="s">
        <v>55</v>
      </c>
      <c r="D7" s="3">
        <v>2</v>
      </c>
      <c r="E7" s="4">
        <v>5</v>
      </c>
      <c r="F7" s="3">
        <v>202</v>
      </c>
      <c r="G7" s="3" t="s">
        <v>7</v>
      </c>
      <c r="H7" s="3">
        <f>VLOOKUP(Check[[#This Row],[טיפוס]],Tipus[],2,FALSE)</f>
        <v>2</v>
      </c>
      <c r="I7" s="3" t="str">
        <f>VLOOKUP(Check[[#This Row],[טיפוס]],Tipus[],3,FALSE)</f>
        <v>סטנדרט</v>
      </c>
      <c r="J7" s="3" t="str">
        <f>VLOOKUP(Check[[#This Row],[טיפוס]],Tipus[],4,FALSE)</f>
        <v>F</v>
      </c>
      <c r="K7" s="3" t="str">
        <f>IF(Check[[#This Row],[סטטוס2]]="הולד","פנויה",Check[[#This Row],[סטטוס2]])</f>
        <v>בעלים</v>
      </c>
      <c r="L7" s="382" t="s">
        <v>91</v>
      </c>
      <c r="M7" s="382"/>
      <c r="N7" s="383"/>
      <c r="O7" s="383"/>
      <c r="P7" s="411"/>
      <c r="Q7" s="411"/>
      <c r="R7" s="383"/>
      <c r="S7" s="384">
        <v>44040</v>
      </c>
      <c r="T7" s="384" t="s">
        <v>371</v>
      </c>
      <c r="U7" s="385" t="s">
        <v>214</v>
      </c>
      <c r="V7" s="385" t="s">
        <v>214</v>
      </c>
      <c r="W7" s="385" t="s">
        <v>372</v>
      </c>
      <c r="Y7" s="395" t="s">
        <v>1370</v>
      </c>
    </row>
    <row r="8" spans="1:25" x14ac:dyDescent="0.2">
      <c r="A8" s="13" t="str">
        <f>_xlfn.CONCAT(VLOOKUP(Check[[#This Row],[סטטוס]],Sold,2,FALSE),IF(Check[[#This Row],[סטטוס]]="פנויה",IF(N8="גמר מלא סטנדרט",".GMS",IF(N8="גמר מלא טיוב חומרים",".GMC",IF(N8="גמר מינימלי",".GM",IF(N8="דירת שיווק",".DS","")))),""),".",VLOOKUP(Check[[#This Row],[טיפוס]],Tipus[],5,FALSE),".",VLOOKUP(Check[[#This Row],[מגדל]],Tower,2,FALSE),".Ap.",Check[[#This Row],[מספר דירה]])</f>
        <v>O.S.2C.TS.Ap.6</v>
      </c>
      <c r="B8" s="13" t="str">
        <f>_xlfn.CONCAT(VLOOKUP(Check[[#This Row],[סטטוס]],Sold,2,FALSE),IF(Check[[#This Row],[סטטוס]]="פנויה",IF(N8="גמר מלא סטנדרט",".GMS",IF(N8="גמר מלא טיוב חומרים",".GMC",IF(N8="גמר מינימלי",".GM",IF(N8="דירת שיווק",".DS","")))),""),IF(M8="זומן לטרום",".ZLT",IF(M8="טרום מסירה",".TM",IF(M8="טרום מסירה מהנדס",".TMM",IF(M8="מסירת חזקה",".MH",IF(M8="מסירת חזקה מהנדס",".MHM",""))))),".",VLOOKUP(Check[[#This Row],[טיפוס]],Tipus[],5,FALSE),".",VLOOKUP(Check[[#This Row],[מגדל]],Tower,2,FALSE),".Ap.",Check[[#This Row],[מספר דירה]])</f>
        <v>O.S.2C.TS.Ap.6</v>
      </c>
      <c r="C8" s="3" t="s">
        <v>55</v>
      </c>
      <c r="D8" s="3">
        <v>2</v>
      </c>
      <c r="E8" s="4">
        <v>6</v>
      </c>
      <c r="F8" s="3">
        <v>203</v>
      </c>
      <c r="G8" s="3" t="s">
        <v>8</v>
      </c>
      <c r="H8" s="3">
        <f>VLOOKUP(Check[[#This Row],[טיפוס]],Tipus[],2,FALSE)</f>
        <v>2</v>
      </c>
      <c r="I8" s="3" t="str">
        <f>VLOOKUP(Check[[#This Row],[טיפוס]],Tipus[],3,FALSE)</f>
        <v>סטנדרט</v>
      </c>
      <c r="J8" s="3" t="str">
        <f>VLOOKUP(Check[[#This Row],[טיפוס]],Tipus[],4,FALSE)</f>
        <v>E</v>
      </c>
      <c r="K8" s="3" t="str">
        <f>IF(Check[[#This Row],[סטטוס2]]="הולד","פנויה",Check[[#This Row],[סטטוס2]])</f>
        <v>בעלים</v>
      </c>
      <c r="L8" s="382" t="s">
        <v>91</v>
      </c>
      <c r="M8" s="382"/>
      <c r="N8" s="383"/>
      <c r="O8" s="383"/>
      <c r="P8" s="411"/>
      <c r="Q8" s="411"/>
      <c r="R8" s="383"/>
      <c r="S8" s="384">
        <v>44040</v>
      </c>
      <c r="T8" s="384" t="s">
        <v>238</v>
      </c>
      <c r="U8" s="385" t="s">
        <v>214</v>
      </c>
      <c r="V8" s="385" t="s">
        <v>214</v>
      </c>
      <c r="W8" s="385" t="s">
        <v>214</v>
      </c>
    </row>
    <row r="9" spans="1:25" x14ac:dyDescent="0.2">
      <c r="A9" s="13" t="str">
        <f>_xlfn.CONCAT(VLOOKUP(Check[[#This Row],[סטטוס]],Sold,2,FALSE),IF(Check[[#This Row],[סטטוס]]="פנויה",IF(N9="גמר מלא סטנדרט",".GMS",IF(N9="גמר מלא טיוב חומרים",".GMC",IF(N9="גמר מינימלי",".GM",IF(N9="דירת שיווק",".DS","")))),""),".",VLOOKUP(Check[[#This Row],[טיפוס]],Tipus[],5,FALSE),".",VLOOKUP(Check[[#This Row],[מגדל]],Tower,2,FALSE),".Ap.",Check[[#This Row],[מספר דירה]])</f>
        <v>O.S.3A.TS.Ap.7</v>
      </c>
      <c r="B9" s="13" t="str">
        <f>_xlfn.CONCAT(VLOOKUP(Check[[#This Row],[סטטוס]],Sold,2,FALSE),IF(Check[[#This Row],[סטטוס]]="פנויה",IF(N9="גמר מלא סטנדרט",".GMS",IF(N9="גמר מלא טיוב חומרים",".GMC",IF(N9="גמר מינימלי",".GM",IF(N9="דירת שיווק",".DS","")))),""),IF(M9="זומן לטרום",".ZLT",IF(M9="טרום מסירה",".TM",IF(M9="טרום מסירה מהנדס",".TMM",IF(M9="מסירת חזקה",".MH",IF(M9="מסירת חזקה מהנדס",".MHM",""))))),".",VLOOKUP(Check[[#This Row],[טיפוס]],Tipus[],5,FALSE),".",VLOOKUP(Check[[#This Row],[מגדל]],Tower,2,FALSE),".Ap.",Check[[#This Row],[מספר דירה]])</f>
        <v>O.MHM.S.3A.TS.Ap.7</v>
      </c>
      <c r="C9" s="3" t="s">
        <v>55</v>
      </c>
      <c r="D9" s="3">
        <v>2</v>
      </c>
      <c r="E9" s="4">
        <v>7</v>
      </c>
      <c r="F9" s="3">
        <v>204</v>
      </c>
      <c r="G9" s="3" t="s">
        <v>9</v>
      </c>
      <c r="H9" s="3">
        <f>VLOOKUP(Check[[#This Row],[טיפוס]],Tipus[],2,FALSE)</f>
        <v>3</v>
      </c>
      <c r="I9" s="3" t="str">
        <f>VLOOKUP(Check[[#This Row],[טיפוס]],Tipus[],3,FALSE)</f>
        <v>סטנדרט</v>
      </c>
      <c r="J9" s="3" t="str">
        <f>VLOOKUP(Check[[#This Row],[טיפוס]],Tipus[],4,FALSE)</f>
        <v>D</v>
      </c>
      <c r="K9" s="3" t="str">
        <f>IF(Check[[#This Row],[סטטוס2]]="הולד","פנויה",Check[[#This Row],[סטטוס2]])</f>
        <v>בעלים</v>
      </c>
      <c r="L9" s="382" t="s">
        <v>91</v>
      </c>
      <c r="M9" s="382" t="s">
        <v>1423</v>
      </c>
      <c r="N9" s="383"/>
      <c r="O9" s="383"/>
      <c r="P9" s="411"/>
      <c r="Q9" s="411"/>
      <c r="R9" s="383"/>
      <c r="S9" s="384">
        <v>44040</v>
      </c>
      <c r="T9" s="384" t="s">
        <v>373</v>
      </c>
      <c r="U9" s="385" t="s">
        <v>374</v>
      </c>
      <c r="V9" s="385" t="s">
        <v>214</v>
      </c>
      <c r="W9" s="385" t="s">
        <v>277</v>
      </c>
    </row>
    <row r="10" spans="1:25" x14ac:dyDescent="0.2">
      <c r="A10" s="13" t="str">
        <f>_xlfn.CONCAT(VLOOKUP(Check[[#This Row],[סטטוס]],Sold,2,FALSE),IF(Check[[#This Row],[סטטוס]]="פנויה",IF(N10="גמר מלא סטנדרט",".GMS",IF(N10="גמר מלא טיוב חומרים",".GMC",IF(N10="גמר מינימלי",".GM",IF(N10="דירת שיווק",".DS","")))),""),".",VLOOKUP(Check[[#This Row],[טיפוס]],Tipus[],5,FALSE),".",VLOOKUP(Check[[#This Row],[מגדל]],Tower,2,FALSE),".Ap.",Check[[#This Row],[מספר דירה]])</f>
        <v>O.S.2D.TS.Ap.8</v>
      </c>
      <c r="B10" s="13" t="str">
        <f>_xlfn.CONCAT(VLOOKUP(Check[[#This Row],[סטטוס]],Sold,2,FALSE),IF(Check[[#This Row],[סטטוס]]="פנויה",IF(N10="גמר מלא סטנדרט",".GMS",IF(N10="גמר מלא טיוב חומרים",".GMC",IF(N10="גמר מינימלי",".GM",IF(N10="דירת שיווק",".DS","")))),""),IF(M10="זומן לטרום",".ZLT",IF(M10="טרום מסירה",".TM",IF(M10="טרום מסירה מהנדס",".TMM",IF(M10="מסירת חזקה",".MH",IF(M10="מסירת חזקה מהנדס",".MHM",""))))),".",VLOOKUP(Check[[#This Row],[טיפוס]],Tipus[],5,FALSE),".",VLOOKUP(Check[[#This Row],[מגדל]],Tower,2,FALSE),".Ap.",Check[[#This Row],[מספר דירה]])</f>
        <v>O.S.2D.TS.Ap.8</v>
      </c>
      <c r="C10" s="3" t="s">
        <v>55</v>
      </c>
      <c r="D10" s="3">
        <v>2</v>
      </c>
      <c r="E10" s="4">
        <v>8</v>
      </c>
      <c r="F10" s="3">
        <v>205</v>
      </c>
      <c r="G10" s="3" t="s">
        <v>10</v>
      </c>
      <c r="H10" s="3">
        <f>VLOOKUP(Check[[#This Row],[טיפוס]],Tipus[],2,FALSE)</f>
        <v>2</v>
      </c>
      <c r="I10" s="3" t="str">
        <f>VLOOKUP(Check[[#This Row],[טיפוס]],Tipus[],3,FALSE)</f>
        <v>סטנדרט</v>
      </c>
      <c r="J10" s="3" t="str">
        <f>VLOOKUP(Check[[#This Row],[טיפוס]],Tipus[],4,FALSE)</f>
        <v>C</v>
      </c>
      <c r="K10" s="3" t="str">
        <f>IF(Check[[#This Row],[סטטוס2]]="הולד","פנויה",Check[[#This Row],[סטטוס2]])</f>
        <v>בעלים</v>
      </c>
      <c r="L10" s="382" t="s">
        <v>91</v>
      </c>
      <c r="M10" s="382"/>
      <c r="N10" s="383"/>
      <c r="O10" s="383"/>
      <c r="P10" s="411"/>
      <c r="Q10" s="411"/>
      <c r="R10" s="383"/>
      <c r="S10" s="384">
        <v>44040</v>
      </c>
      <c r="T10" s="384" t="s">
        <v>285</v>
      </c>
      <c r="U10" s="385" t="s">
        <v>214</v>
      </c>
      <c r="V10" s="385" t="s">
        <v>214</v>
      </c>
      <c r="W10" s="385" t="s">
        <v>214</v>
      </c>
    </row>
    <row r="11" spans="1:25" x14ac:dyDescent="0.2">
      <c r="A11" s="13" t="str">
        <f>_xlfn.CONCAT(VLOOKUP(Check[[#This Row],[סטטוס]],Sold,2,FALSE),IF(Check[[#This Row],[סטטוס]]="פנויה",IF(N11="גמר מלא סטנדרט",".GMS",IF(N11="גמר מלא טיוב חומרים",".GMC",IF(N11="גמר מינימלי",".GM",IF(N11="דירת שיווק",".DS","")))),""),".",VLOOKUP(Check[[#This Row],[טיפוס]],Tipus[],5,FALSE),".",VLOOKUP(Check[[#This Row],[מגדל]],Tower,2,FALSE),".Ap.",Check[[#This Row],[מספר דירה]])</f>
        <v>V.GMS.S.2E.TS.Ap.9</v>
      </c>
      <c r="B11" s="13" t="str">
        <f>_xlfn.CONCAT(VLOOKUP(Check[[#This Row],[סטטוס]],Sold,2,FALSE),IF(Check[[#This Row],[סטטוס]]="פנויה",IF(N11="גמר מלא סטנדרט",".GMS",IF(N11="גמר מלא טיוב חומרים",".GMC",IF(N11="גמר מינימלי",".GM",IF(N11="דירת שיווק",".DS","")))),""),IF(M11="זומן לטרום",".ZLT",IF(M11="טרום מסירה",".TM",IF(M11="טרום מסירה מהנדס",".TMM",IF(M11="מסירת חזקה",".MH",IF(M11="מסירת חזקה מהנדס",".MHM",""))))),".",VLOOKUP(Check[[#This Row],[טיפוס]],Tipus[],5,FALSE),".",VLOOKUP(Check[[#This Row],[מגדל]],Tower,2,FALSE),".Ap.",Check[[#This Row],[מספר דירה]])</f>
        <v>V.GMS.MH.S.2E.TS.Ap.9</v>
      </c>
      <c r="C11" s="3" t="s">
        <v>55</v>
      </c>
      <c r="D11" s="3">
        <v>2</v>
      </c>
      <c r="E11" s="4">
        <v>9</v>
      </c>
      <c r="F11" s="3">
        <v>206</v>
      </c>
      <c r="G11" s="3" t="s">
        <v>11</v>
      </c>
      <c r="H11" s="3">
        <f>VLOOKUP(Check[[#This Row],[טיפוס]],Tipus[],2,FALSE)</f>
        <v>2</v>
      </c>
      <c r="I11" s="3" t="str">
        <f>VLOOKUP(Check[[#This Row],[טיפוס]],Tipus[],3,FALSE)</f>
        <v>סטנדרט</v>
      </c>
      <c r="J11" s="3" t="str">
        <f>VLOOKUP(Check[[#This Row],[טיפוס]],Tipus[],4,FALSE)</f>
        <v>B</v>
      </c>
      <c r="K11" s="3" t="str">
        <f>IF(Check[[#This Row],[סטטוס2]]="הולד","פנויה",Check[[#This Row],[סטטוס2]])</f>
        <v>פנויה</v>
      </c>
      <c r="L11" s="382" t="s">
        <v>108</v>
      </c>
      <c r="M11" s="382" t="s">
        <v>1422</v>
      </c>
      <c r="N11" t="s">
        <v>1367</v>
      </c>
      <c r="O11" s="383" t="s">
        <v>1390</v>
      </c>
      <c r="P11" s="410" t="s">
        <v>1389</v>
      </c>
      <c r="Q11" s="410"/>
      <c r="R11" s="383"/>
      <c r="S11" s="384"/>
      <c r="T11" s="384" t="s">
        <v>214</v>
      </c>
      <c r="U11" s="385"/>
      <c r="V11" s="385"/>
      <c r="W11" s="387"/>
    </row>
    <row r="12" spans="1:25" x14ac:dyDescent="0.2">
      <c r="A12" s="13" t="str">
        <f>_xlfn.CONCAT(VLOOKUP(Check[[#This Row],[סטטוס]],Sold,2,FALSE),IF(Check[[#This Row],[סטטוס]]="פנויה",IF(N12="גמר מלא סטנדרט",".GMS",IF(N12="גמר מלא טיוב חומרים",".GMC",IF(N12="גמר מינימלי",".GM",IF(N12="דירת שיווק",".DS","")))),""),".",VLOOKUP(Check[[#This Row],[טיפוס]],Tipus[],5,FALSE),".",VLOOKUP(Check[[#This Row],[מגדל]],Tower,2,FALSE),".Ap.",Check[[#This Row],[מספר דירה]])</f>
        <v>V.GMS.S.2F.TS.Ap.10</v>
      </c>
      <c r="B12" s="13" t="str">
        <f>_xlfn.CONCAT(VLOOKUP(Check[[#This Row],[סטטוס]],Sold,2,FALSE),IF(Check[[#This Row],[סטטוס]]="פנויה",IF(N12="גמר מלא סטנדרט",".GMS",IF(N12="גמר מלא טיוב חומרים",".GMC",IF(N12="גמר מינימלי",".GM",IF(N12="דירת שיווק",".DS","")))),""),IF(M12="זומן לטרום",".ZLT",IF(M12="טרום מסירה",".TM",IF(M12="טרום מסירה מהנדס",".TMM",IF(M12="מסירת חזקה",".MH",IF(M12="מסירת חזקה מהנדס",".MHM",""))))),".",VLOOKUP(Check[[#This Row],[טיפוס]],Tipus[],5,FALSE),".",VLOOKUP(Check[[#This Row],[מגדל]],Tower,2,FALSE),".Ap.",Check[[#This Row],[מספר דירה]])</f>
        <v>V.GMS.S.2F.TS.Ap.10</v>
      </c>
      <c r="C12" s="3" t="s">
        <v>55</v>
      </c>
      <c r="D12" s="3">
        <v>2</v>
      </c>
      <c r="E12" s="4">
        <v>10</v>
      </c>
      <c r="F12" s="3">
        <v>207</v>
      </c>
      <c r="G12" s="3" t="s">
        <v>12</v>
      </c>
      <c r="H12" s="3">
        <f>VLOOKUP(Check[[#This Row],[טיפוס]],Tipus[],2,FALSE)</f>
        <v>2</v>
      </c>
      <c r="I12" s="3" t="str">
        <f>VLOOKUP(Check[[#This Row],[טיפוס]],Tipus[],3,FALSE)</f>
        <v>סטנדרט</v>
      </c>
      <c r="J12" s="3" t="str">
        <f>VLOOKUP(Check[[#This Row],[טיפוס]],Tipus[],4,FALSE)</f>
        <v>A</v>
      </c>
      <c r="K12" s="3" t="str">
        <f>IF(Check[[#This Row],[סטטוס2]]="הולד","פנויה",Check[[#This Row],[סטטוס2]])</f>
        <v>פנויה</v>
      </c>
      <c r="L12" s="382" t="s">
        <v>108</v>
      </c>
      <c r="M12" s="382"/>
      <c r="N12" t="s">
        <v>1367</v>
      </c>
      <c r="O12" s="383" t="s">
        <v>1390</v>
      </c>
      <c r="P12" s="410" t="s">
        <v>1389</v>
      </c>
      <c r="Q12" s="410"/>
      <c r="R12" s="383"/>
      <c r="S12" s="384"/>
      <c r="T12" s="384" t="s">
        <v>214</v>
      </c>
      <c r="U12" s="385"/>
      <c r="V12" s="385"/>
      <c r="W12" s="387"/>
    </row>
    <row r="13" spans="1:25" x14ac:dyDescent="0.2">
      <c r="A13" s="13" t="str">
        <f>_xlfn.CONCAT(VLOOKUP(Check[[#This Row],[סטטוס]],Sold,2,FALSE),IF(Check[[#This Row],[סטטוס]]="פנויה",IF(N13="גמר מלא סטנדרט",".GMS",IF(N13="גמר מלא טיוב חומרים",".GMC",IF(N13="גמר מינימלי",".GM",IF(N13="דירת שיווק",".DS","")))),""),".",VLOOKUP(Check[[#This Row],[טיפוס]],Tipus[],5,FALSE),".",VLOOKUP(Check[[#This Row],[מגדל]],Tower,2,FALSE),".Ap.",Check[[#This Row],[מספר דירה]])</f>
        <v>S.S.2A.TS.Ap.11</v>
      </c>
      <c r="B13" s="13" t="str">
        <f>_xlfn.CONCAT(VLOOKUP(Check[[#This Row],[סטטוס]],Sold,2,FALSE),IF(Check[[#This Row],[סטטוס]]="פנויה",IF(N13="גמר מלא סטנדרט",".GMS",IF(N13="גמר מלא טיוב חומרים",".GMC",IF(N13="גמר מינימלי",".GM",IF(N13="דירת שיווק",".DS","")))),""),IF(M13="זומן לטרום",".ZLT",IF(M13="טרום מסירה",".TM",IF(M13="טרום מסירה מהנדס",".TMM",IF(M13="מסירת חזקה",".MH",IF(M13="מסירת חזקה מהנדס",".MHM",""))))),".",VLOOKUP(Check[[#This Row],[טיפוס]],Tipus[],5,FALSE),".",VLOOKUP(Check[[#This Row],[מגדל]],Tower,2,FALSE),".Ap.",Check[[#This Row],[מספר דירה]])</f>
        <v>S.S.2A.TS.Ap.11</v>
      </c>
      <c r="C13" s="3" t="s">
        <v>55</v>
      </c>
      <c r="D13" s="3">
        <v>3</v>
      </c>
      <c r="E13" s="4">
        <v>11</v>
      </c>
      <c r="F13" s="3">
        <v>301</v>
      </c>
      <c r="G13" s="3" t="s">
        <v>6</v>
      </c>
      <c r="H13" s="3">
        <f>VLOOKUP(Check[[#This Row],[טיפוס]],Tipus[],2,FALSE)</f>
        <v>2</v>
      </c>
      <c r="I13" s="3" t="str">
        <f>VLOOKUP(Check[[#This Row],[טיפוס]],Tipus[],3,FALSE)</f>
        <v>סטנדרט</v>
      </c>
      <c r="J13" s="3" t="str">
        <f>VLOOKUP(Check[[#This Row],[טיפוס]],Tipus[],4,FALSE)</f>
        <v>G</v>
      </c>
      <c r="K13" s="3" t="str">
        <f>IF(Check[[#This Row],[סטטוס2]]="הולד","פנויה",Check[[#This Row],[סטטוס2]])</f>
        <v>מכורה</v>
      </c>
      <c r="L13" s="382" t="s">
        <v>130</v>
      </c>
      <c r="M13" s="382"/>
      <c r="N13" s="383"/>
      <c r="O13" s="383"/>
      <c r="P13" s="411"/>
      <c r="Q13" s="411"/>
      <c r="R13" s="383"/>
      <c r="S13" s="386">
        <v>44521</v>
      </c>
      <c r="T13" s="386" t="s">
        <v>1071</v>
      </c>
      <c r="U13" s="387"/>
      <c r="V13" s="387"/>
      <c r="W13" s="387"/>
    </row>
    <row r="14" spans="1:25" x14ac:dyDescent="0.2">
      <c r="A14" s="13" t="str">
        <f>_xlfn.CONCAT(VLOOKUP(Check[[#This Row],[סטטוס]],Sold,2,FALSE),IF(Check[[#This Row],[סטטוס]]="פנויה",IF(N14="גמר מלא סטנדרט",".GMS",IF(N14="גמר מלא טיוב חומרים",".GMC",IF(N14="גמר מינימלי",".GM",IF(N14="דירת שיווק",".DS","")))),""),".",VLOOKUP(Check[[#This Row],[טיפוס]],Tipus[],5,FALSE),".",VLOOKUP(Check[[#This Row],[מגדל]],Tower,2,FALSE),".Ap.",Check[[#This Row],[מספר דירה]])</f>
        <v>S.S.2B.TS.Ap.12</v>
      </c>
      <c r="B14" s="13" t="str">
        <f>_xlfn.CONCAT(VLOOKUP(Check[[#This Row],[סטטוס]],Sold,2,FALSE),IF(Check[[#This Row],[סטטוס]]="פנויה",IF(N14="גמר מלא סטנדרט",".GMS",IF(N14="גמר מלא טיוב חומרים",".GMC",IF(N14="גמר מינימלי",".GM",IF(N14="דירת שיווק",".DS","")))),""),IF(M14="זומן לטרום",".ZLT",IF(M14="טרום מסירה",".TM",IF(M14="טרום מסירה מהנדס",".TMM",IF(M14="מסירת חזקה",".MH",IF(M14="מסירת חזקה מהנדס",".MHM",""))))),".",VLOOKUP(Check[[#This Row],[טיפוס]],Tipus[],5,FALSE),".",VLOOKUP(Check[[#This Row],[מגדל]],Tower,2,FALSE),".Ap.",Check[[#This Row],[מספר דירה]])</f>
        <v>S.TM.S.2B.TS.Ap.12</v>
      </c>
      <c r="C14" s="3" t="s">
        <v>55</v>
      </c>
      <c r="D14" s="3">
        <v>3</v>
      </c>
      <c r="E14" s="4">
        <v>12</v>
      </c>
      <c r="F14" s="3">
        <v>302</v>
      </c>
      <c r="G14" s="3" t="s">
        <v>7</v>
      </c>
      <c r="H14" s="3">
        <f>VLOOKUP(Check[[#This Row],[טיפוס]],Tipus[],2,FALSE)</f>
        <v>2</v>
      </c>
      <c r="I14" s="3" t="str">
        <f>VLOOKUP(Check[[#This Row],[טיפוס]],Tipus[],3,FALSE)</f>
        <v>סטנדרט</v>
      </c>
      <c r="J14" s="3" t="str">
        <f>VLOOKUP(Check[[#This Row],[טיפוס]],Tipus[],4,FALSE)</f>
        <v>F</v>
      </c>
      <c r="K14" s="3" t="str">
        <f>IF(Check[[#This Row],[סטטוס2]]="הולד","פנויה",Check[[#This Row],[סטטוס2]])</f>
        <v>מכורה</v>
      </c>
      <c r="L14" s="382" t="s">
        <v>130</v>
      </c>
      <c r="M14" s="382" t="s">
        <v>1420</v>
      </c>
      <c r="N14" s="383"/>
      <c r="O14" s="383"/>
      <c r="P14" s="411"/>
      <c r="Q14" s="411"/>
      <c r="R14" s="383"/>
      <c r="S14" s="384">
        <v>45358</v>
      </c>
      <c r="T14" s="384" t="s">
        <v>1213</v>
      </c>
      <c r="U14" s="385"/>
      <c r="V14" s="385"/>
      <c r="W14" s="387"/>
    </row>
    <row r="15" spans="1:25" x14ac:dyDescent="0.2">
      <c r="A15" s="13" t="str">
        <f>_xlfn.CONCAT(VLOOKUP(Check[[#This Row],[סטטוס]],Sold,2,FALSE),IF(Check[[#This Row],[סטטוס]]="פנויה",IF(N15="גמר מלא סטנדרט",".GMS",IF(N15="גמר מלא טיוב חומרים",".GMC",IF(N15="גמר מינימלי",".GM",IF(N15="דירת שיווק",".DS","")))),""),".",VLOOKUP(Check[[#This Row],[טיפוס]],Tipus[],5,FALSE),".",VLOOKUP(Check[[#This Row],[מגדל]],Tower,2,FALSE),".Ap.",Check[[#This Row],[מספר דירה]])</f>
        <v>S.S.2C.TS.Ap.13</v>
      </c>
      <c r="B15" s="13" t="str">
        <f>_xlfn.CONCAT(VLOOKUP(Check[[#This Row],[סטטוס]],Sold,2,FALSE),IF(Check[[#This Row],[סטטוס]]="פנויה",IF(N15="גמר מלא סטנדרט",".GMS",IF(N15="גמר מלא טיוב חומרים",".GMC",IF(N15="גמר מינימלי",".GM",IF(N15="דירת שיווק",".DS","")))),""),IF(M15="זומן לטרום",".ZLT",IF(M15="טרום מסירה",".TM",IF(M15="טרום מסירה מהנדס",".TMM",IF(M15="מסירת חזקה",".MH",IF(M15="מסירת חזקה מהנדס",".MHM",""))))),".",VLOOKUP(Check[[#This Row],[טיפוס]],Tipus[],5,FALSE),".",VLOOKUP(Check[[#This Row],[מגדל]],Tower,2,FALSE),".Ap.",Check[[#This Row],[מספר דירה]])</f>
        <v>S.TM.S.2C.TS.Ap.13</v>
      </c>
      <c r="C15" s="3" t="s">
        <v>55</v>
      </c>
      <c r="D15" s="3">
        <v>3</v>
      </c>
      <c r="E15" s="4">
        <v>13</v>
      </c>
      <c r="F15" s="3">
        <v>303</v>
      </c>
      <c r="G15" s="3" t="s">
        <v>8</v>
      </c>
      <c r="H15" s="3">
        <f>VLOOKUP(Check[[#This Row],[טיפוס]],Tipus[],2,FALSE)</f>
        <v>2</v>
      </c>
      <c r="I15" s="3" t="str">
        <f>VLOOKUP(Check[[#This Row],[טיפוס]],Tipus[],3,FALSE)</f>
        <v>סטנדרט</v>
      </c>
      <c r="J15" s="3" t="str">
        <f>VLOOKUP(Check[[#This Row],[טיפוס]],Tipus[],4,FALSE)</f>
        <v>E</v>
      </c>
      <c r="K15" s="3" t="str">
        <f>IF(Check[[#This Row],[סטטוס2]]="הולד","פנויה",Check[[#This Row],[סטטוס2]])</f>
        <v>מכורה</v>
      </c>
      <c r="L15" s="382" t="s">
        <v>130</v>
      </c>
      <c r="M15" s="382" t="s">
        <v>1420</v>
      </c>
      <c r="N15" s="383"/>
      <c r="O15" s="383"/>
      <c r="P15" s="411"/>
      <c r="Q15" s="411"/>
      <c r="R15" s="383"/>
      <c r="S15" s="386">
        <v>44762</v>
      </c>
      <c r="T15" s="386" t="s">
        <v>1288</v>
      </c>
      <c r="U15" s="387"/>
      <c r="V15" s="387"/>
      <c r="W15" s="387"/>
    </row>
    <row r="16" spans="1:25" x14ac:dyDescent="0.2">
      <c r="A16" s="13" t="str">
        <f>_xlfn.CONCAT(VLOOKUP(Check[[#This Row],[סטטוס]],Sold,2,FALSE),IF(Check[[#This Row],[סטטוס]]="פנויה",IF(N16="גמר מלא סטנדרט",".GMS",IF(N16="גמר מלא טיוב חומרים",".GMC",IF(N16="גמר מינימלי",".GM",IF(N16="דירת שיווק",".DS","")))),""),".",VLOOKUP(Check[[#This Row],[טיפוס]],Tipus[],5,FALSE),".",VLOOKUP(Check[[#This Row],[מגדל]],Tower,2,FALSE),".Ap.",Check[[#This Row],[מספר דירה]])</f>
        <v>O.S.3A.TS.Ap.14</v>
      </c>
      <c r="B16" s="13" t="str">
        <f>_xlfn.CONCAT(VLOOKUP(Check[[#This Row],[סטטוס]],Sold,2,FALSE),IF(Check[[#This Row],[סטטוס]]="פנויה",IF(N16="גמר מלא סטנדרט",".GMS",IF(N16="גמר מלא טיוב חומרים",".GMC",IF(N16="גמר מינימלי",".GM",IF(N16="דירת שיווק",".DS","")))),""),IF(M16="זומן לטרום",".ZLT",IF(M16="טרום מסירה",".TM",IF(M16="טרום מסירה מהנדס",".TMM",IF(M16="מסירת חזקה",".MH",IF(M16="מסירת חזקה מהנדס",".MHM",""))))),".",VLOOKUP(Check[[#This Row],[טיפוס]],Tipus[],5,FALSE),".",VLOOKUP(Check[[#This Row],[מגדל]],Tower,2,FALSE),".Ap.",Check[[#This Row],[מספר דירה]])</f>
        <v>O.TM.S.3A.TS.Ap.14</v>
      </c>
      <c r="C16" s="3" t="s">
        <v>55</v>
      </c>
      <c r="D16" s="3">
        <v>3</v>
      </c>
      <c r="E16" s="4">
        <v>14</v>
      </c>
      <c r="F16" s="3">
        <v>304</v>
      </c>
      <c r="G16" s="3" t="s">
        <v>9</v>
      </c>
      <c r="H16" s="3">
        <f>VLOOKUP(Check[[#This Row],[טיפוס]],Tipus[],2,FALSE)</f>
        <v>3</v>
      </c>
      <c r="I16" s="3" t="str">
        <f>VLOOKUP(Check[[#This Row],[טיפוס]],Tipus[],3,FALSE)</f>
        <v>סטנדרט</v>
      </c>
      <c r="J16" s="3" t="str">
        <f>VLOOKUP(Check[[#This Row],[טיפוס]],Tipus[],4,FALSE)</f>
        <v>D</v>
      </c>
      <c r="K16" s="3" t="str">
        <f>IF(Check[[#This Row],[סטטוס2]]="הולד","פנויה",Check[[#This Row],[סטטוס2]])</f>
        <v>בעלים</v>
      </c>
      <c r="L16" s="382" t="s">
        <v>91</v>
      </c>
      <c r="M16" s="382" t="s">
        <v>1420</v>
      </c>
      <c r="N16" s="383"/>
      <c r="O16" s="383"/>
      <c r="P16" s="411"/>
      <c r="Q16" s="411"/>
      <c r="R16" s="383"/>
      <c r="S16" s="384">
        <v>44040</v>
      </c>
      <c r="T16" s="384" t="s">
        <v>1289</v>
      </c>
      <c r="U16" s="385" t="s">
        <v>375</v>
      </c>
      <c r="V16" s="385" t="s">
        <v>214</v>
      </c>
      <c r="W16" s="385" t="s">
        <v>277</v>
      </c>
    </row>
    <row r="17" spans="1:23" x14ac:dyDescent="0.2">
      <c r="A17" s="13" t="str">
        <f>_xlfn.CONCAT(VLOOKUP(Check[[#This Row],[סטטוס]],Sold,2,FALSE),IF(Check[[#This Row],[סטטוס]]="פנויה",IF(N17="גמר מלא סטנדרט",".GMS",IF(N17="גמר מלא טיוב חומרים",".GMC",IF(N17="גמר מינימלי",".GM",IF(N17="דירת שיווק",".DS","")))),""),".",VLOOKUP(Check[[#This Row],[טיפוס]],Tipus[],5,FALSE),".",VLOOKUP(Check[[#This Row],[מגדל]],Tower,2,FALSE),".Ap.",Check[[#This Row],[מספר דירה]])</f>
        <v>S.S.2D.TS.Ap.15</v>
      </c>
      <c r="B17" s="13" t="str">
        <f>_xlfn.CONCAT(VLOOKUP(Check[[#This Row],[סטטוס]],Sold,2,FALSE),IF(Check[[#This Row],[סטטוס]]="פנויה",IF(N17="גמר מלא סטנדרט",".GMS",IF(N17="גמר מלא טיוב חומרים",".GMC",IF(N17="גמר מינימלי",".GM",IF(N17="דירת שיווק",".DS","")))),""),IF(M17="זומן לטרום",".ZLT",IF(M17="טרום מסירה",".TM",IF(M17="טרום מסירה מהנדס",".TMM",IF(M17="מסירת חזקה",".MH",IF(M17="מסירת חזקה מהנדס",".MHM",""))))),".",VLOOKUP(Check[[#This Row],[טיפוס]],Tipus[],5,FALSE),".",VLOOKUP(Check[[#This Row],[מגדל]],Tower,2,FALSE),".Ap.",Check[[#This Row],[מספר דירה]])</f>
        <v>S.TM.S.2D.TS.Ap.15</v>
      </c>
      <c r="C17" s="3" t="s">
        <v>55</v>
      </c>
      <c r="D17" s="3">
        <v>3</v>
      </c>
      <c r="E17" s="4">
        <v>15</v>
      </c>
      <c r="F17" s="3">
        <v>305</v>
      </c>
      <c r="G17" s="3" t="s">
        <v>10</v>
      </c>
      <c r="H17" s="3">
        <f>VLOOKUP(Check[[#This Row],[טיפוס]],Tipus[],2,FALSE)</f>
        <v>2</v>
      </c>
      <c r="I17" s="3" t="str">
        <f>VLOOKUP(Check[[#This Row],[טיפוס]],Tipus[],3,FALSE)</f>
        <v>סטנדרט</v>
      </c>
      <c r="J17" s="3" t="str">
        <f>VLOOKUP(Check[[#This Row],[טיפוס]],Tipus[],4,FALSE)</f>
        <v>C</v>
      </c>
      <c r="K17" s="3" t="str">
        <f>IF(Check[[#This Row],[סטטוס2]]="הולד","פנויה",Check[[#This Row],[סטטוס2]])</f>
        <v>מכורה</v>
      </c>
      <c r="L17" s="382" t="s">
        <v>130</v>
      </c>
      <c r="M17" s="382" t="s">
        <v>1420</v>
      </c>
      <c r="N17" s="383"/>
      <c r="O17" s="383"/>
      <c r="P17" s="411"/>
      <c r="Q17" s="411"/>
      <c r="R17" s="383"/>
      <c r="S17" s="386">
        <v>44527</v>
      </c>
      <c r="T17" s="386" t="s">
        <v>1088</v>
      </c>
      <c r="U17" s="387"/>
      <c r="V17" s="387"/>
      <c r="W17" s="387"/>
    </row>
    <row r="18" spans="1:23" x14ac:dyDescent="0.2">
      <c r="A18" s="13" t="str">
        <f>_xlfn.CONCAT(VLOOKUP(Check[[#This Row],[סטטוס]],Sold,2,FALSE),IF(Check[[#This Row],[סטטוס]]="פנויה",IF(N18="גמר מלא סטנדרט",".GMS",IF(N18="גמר מלא טיוב חומרים",".GMC",IF(N18="גמר מינימלי",".GM",IF(N18="דירת שיווק",".DS","")))),""),".",VLOOKUP(Check[[#This Row],[טיפוס]],Tipus[],5,FALSE),".",VLOOKUP(Check[[#This Row],[מגדל]],Tower,2,FALSE),".Ap.",Check[[#This Row],[מספר דירה]])</f>
        <v>V.GMS.S.2E.TS.Ap.16</v>
      </c>
      <c r="B18" s="13" t="str">
        <f>_xlfn.CONCAT(VLOOKUP(Check[[#This Row],[סטטוס]],Sold,2,FALSE),IF(Check[[#This Row],[סטטוס]]="פנויה",IF(N18="גמר מלא סטנדרט",".GMS",IF(N18="גמר מלא טיוב חומרים",".GMC",IF(N18="גמר מינימלי",".GM",IF(N18="דירת שיווק",".DS","")))),""),IF(M18="זומן לטרום",".ZLT",IF(M18="טרום מסירה",".TM",IF(M18="טרום מסירה מהנדס",".TMM",IF(M18="מסירת חזקה",".MH",IF(M18="מסירת חזקה מהנדס",".MHM",""))))),".",VLOOKUP(Check[[#This Row],[טיפוס]],Tipus[],5,FALSE),".",VLOOKUP(Check[[#This Row],[מגדל]],Tower,2,FALSE),".Ap.",Check[[#This Row],[מספר דירה]])</f>
        <v>V.GMS.S.2E.TS.Ap.16</v>
      </c>
      <c r="C18" s="3" t="s">
        <v>55</v>
      </c>
      <c r="D18" s="3">
        <v>3</v>
      </c>
      <c r="E18" s="4">
        <v>16</v>
      </c>
      <c r="F18" s="3">
        <v>306</v>
      </c>
      <c r="G18" s="3" t="s">
        <v>11</v>
      </c>
      <c r="H18" s="3">
        <f>VLOOKUP(Check[[#This Row],[טיפוס]],Tipus[],2,FALSE)</f>
        <v>2</v>
      </c>
      <c r="I18" s="3" t="str">
        <f>VLOOKUP(Check[[#This Row],[טיפוס]],Tipus[],3,FALSE)</f>
        <v>סטנדרט</v>
      </c>
      <c r="J18" s="3" t="str">
        <f>VLOOKUP(Check[[#This Row],[טיפוס]],Tipus[],4,FALSE)</f>
        <v>B</v>
      </c>
      <c r="K18" s="3" t="str">
        <f>IF(Check[[#This Row],[סטטוס2]]="הולד","פנויה",Check[[#This Row],[סטטוס2]])</f>
        <v>פנויה</v>
      </c>
      <c r="L18" s="382" t="s">
        <v>108</v>
      </c>
      <c r="M18" s="382"/>
      <c r="N18" t="s">
        <v>1367</v>
      </c>
      <c r="O18" s="383" t="s">
        <v>1390</v>
      </c>
      <c r="P18" s="410" t="s">
        <v>1389</v>
      </c>
      <c r="Q18" s="410"/>
      <c r="R18" s="383"/>
      <c r="S18" s="384"/>
      <c r="T18" s="384" t="s">
        <v>214</v>
      </c>
      <c r="U18" s="385"/>
      <c r="V18" s="385"/>
      <c r="W18" s="387"/>
    </row>
    <row r="19" spans="1:23" x14ac:dyDescent="0.2">
      <c r="A19" s="13" t="str">
        <f>_xlfn.CONCAT(VLOOKUP(Check[[#This Row],[סטטוס]],Sold,2,FALSE),IF(Check[[#This Row],[סטטוס]]="פנויה",IF(N19="גמר מלא סטנדרט",".GMS",IF(N19="גמר מלא טיוב חומרים",".GMC",IF(N19="גמר מינימלי",".GM",IF(N19="דירת שיווק",".DS","")))),""),".",VLOOKUP(Check[[#This Row],[טיפוס]],Tipus[],5,FALSE),".",VLOOKUP(Check[[#This Row],[מגדל]],Tower,2,FALSE),".Ap.",Check[[#This Row],[מספר דירה]])</f>
        <v>O.S.2F.TS.Ap.17</v>
      </c>
      <c r="B19" s="13" t="str">
        <f>_xlfn.CONCAT(VLOOKUP(Check[[#This Row],[סטטוס]],Sold,2,FALSE),IF(Check[[#This Row],[סטטוס]]="פנויה",IF(N19="גמר מלא סטנדרט",".GMS",IF(N19="גמר מלא טיוב חומרים",".GMC",IF(N19="גמר מינימלי",".GM",IF(N19="דירת שיווק",".DS","")))),""),IF(M19="זומן לטרום",".ZLT",IF(M19="טרום מסירה",".TM",IF(M19="טרום מסירה מהנדס",".TMM",IF(M19="מסירת חזקה",".MH",IF(M19="מסירת חזקה מהנדס",".MHM",""))))),".",VLOOKUP(Check[[#This Row],[טיפוס]],Tipus[],5,FALSE),".",VLOOKUP(Check[[#This Row],[מגדל]],Tower,2,FALSE),".Ap.",Check[[#This Row],[מספר דירה]])</f>
        <v>O.TM.S.2F.TS.Ap.17</v>
      </c>
      <c r="C19" s="3" t="s">
        <v>55</v>
      </c>
      <c r="D19" s="3">
        <v>3</v>
      </c>
      <c r="E19" s="4">
        <v>17</v>
      </c>
      <c r="F19" s="3">
        <v>307</v>
      </c>
      <c r="G19" s="3" t="s">
        <v>12</v>
      </c>
      <c r="H19" s="3">
        <f>VLOOKUP(Check[[#This Row],[טיפוס]],Tipus[],2,FALSE)</f>
        <v>2</v>
      </c>
      <c r="I19" s="3" t="str">
        <f>VLOOKUP(Check[[#This Row],[טיפוס]],Tipus[],3,FALSE)</f>
        <v>סטנדרט</v>
      </c>
      <c r="J19" s="3" t="str">
        <f>VLOOKUP(Check[[#This Row],[טיפוס]],Tipus[],4,FALSE)</f>
        <v>A</v>
      </c>
      <c r="K19" s="3" t="str">
        <f>IF(Check[[#This Row],[סטטוס2]]="הולד","פנויה",Check[[#This Row],[סטטוס2]])</f>
        <v>בעלים</v>
      </c>
      <c r="L19" s="382" t="s">
        <v>91</v>
      </c>
      <c r="M19" s="382" t="s">
        <v>1420</v>
      </c>
      <c r="N19" s="383"/>
      <c r="O19" s="383"/>
      <c r="P19" s="411"/>
      <c r="Q19" s="411"/>
      <c r="R19" s="383"/>
      <c r="S19" s="384">
        <v>44040</v>
      </c>
      <c r="T19" s="384" t="s">
        <v>240</v>
      </c>
      <c r="U19" s="385" t="s">
        <v>376</v>
      </c>
      <c r="V19" s="385" t="s">
        <v>214</v>
      </c>
      <c r="W19" s="385" t="s">
        <v>214</v>
      </c>
    </row>
    <row r="20" spans="1:23" x14ac:dyDescent="0.2">
      <c r="A20" s="13" t="str">
        <f>_xlfn.CONCAT(VLOOKUP(Check[[#This Row],[סטטוס]],Sold,2,FALSE),IF(Check[[#This Row],[סטטוס]]="פנויה",IF(N20="גמר מלא סטנדרט",".GMS",IF(N20="גמר מלא טיוב חומרים",".GMC",IF(N20="גמר מינימלי",".GM",IF(N20="דירת שיווק",".DS","")))),""),".",VLOOKUP(Check[[#This Row],[טיפוס]],Tipus[],5,FALSE),".",VLOOKUP(Check[[#This Row],[מגדל]],Tower,2,FALSE),".Ap.",Check[[#This Row],[מספר דירה]])</f>
        <v>V.GMS.S.4A.TS.Ap.18</v>
      </c>
      <c r="B20" s="13" t="str">
        <f>_xlfn.CONCAT(VLOOKUP(Check[[#This Row],[סטטוס]],Sold,2,FALSE),IF(Check[[#This Row],[סטטוס]]="פנויה",IF(N20="גמר מלא סטנדרט",".GMS",IF(N20="גמר מלא טיוב חומרים",".GMC",IF(N20="גמר מינימלי",".GM",IF(N20="דירת שיווק",".DS","")))),""),IF(M20="זומן לטרום",".ZLT",IF(M20="טרום מסירה",".TM",IF(M20="טרום מסירה מהנדס",".TMM",IF(M20="מסירת חזקה",".MH",IF(M20="מסירת חזקה מהנדס",".MHM",""))))),".",VLOOKUP(Check[[#This Row],[טיפוס]],Tipus[],5,FALSE),".",VLOOKUP(Check[[#This Row],[מגדל]],Tower,2,FALSE),".Ap.",Check[[#This Row],[מספר דירה]])</f>
        <v>V.GMS.S.4A.TS.Ap.18</v>
      </c>
      <c r="C20" s="3" t="s">
        <v>55</v>
      </c>
      <c r="D20" s="3">
        <v>3</v>
      </c>
      <c r="E20" s="4">
        <v>18</v>
      </c>
      <c r="F20" s="3">
        <v>308</v>
      </c>
      <c r="G20" s="3" t="s">
        <v>14</v>
      </c>
      <c r="H20" s="3">
        <f>VLOOKUP(Check[[#This Row],[טיפוס]],Tipus[],2,FALSE)</f>
        <v>4</v>
      </c>
      <c r="I20" s="3" t="str">
        <f>VLOOKUP(Check[[#This Row],[טיפוס]],Tipus[],3,FALSE)</f>
        <v>סטנדרט</v>
      </c>
      <c r="J20" s="3" t="str">
        <f>VLOOKUP(Check[[#This Row],[טיפוס]],Tipus[],4,FALSE)</f>
        <v>J</v>
      </c>
      <c r="K20" s="3" t="str">
        <f>IF(Check[[#This Row],[סטטוס2]]="הולד","פנויה",Check[[#This Row],[סטטוס2]])</f>
        <v>פנויה</v>
      </c>
      <c r="L20" s="382" t="s">
        <v>108</v>
      </c>
      <c r="M20" s="382"/>
      <c r="N20" t="s">
        <v>1367</v>
      </c>
      <c r="O20" s="383" t="s">
        <v>1390</v>
      </c>
      <c r="P20" s="410" t="s">
        <v>1389</v>
      </c>
      <c r="Q20" s="410"/>
      <c r="R20" s="383"/>
      <c r="S20" s="384"/>
      <c r="T20" s="384" t="s">
        <v>214</v>
      </c>
      <c r="U20" s="385"/>
      <c r="V20" s="385"/>
      <c r="W20" s="387"/>
    </row>
    <row r="21" spans="1:23" x14ac:dyDescent="0.2">
      <c r="A21" s="13" t="str">
        <f>_xlfn.CONCAT(VLOOKUP(Check[[#This Row],[סטטוס]],Sold,2,FALSE),IF(Check[[#This Row],[סטטוס]]="פנויה",IF(N21="גמר מלא סטנדרט",".GMS",IF(N21="גמר מלא טיוב חומרים",".GMC",IF(N21="גמר מינימלי",".GM",IF(N21="דירת שיווק",".DS","")))),""),".",VLOOKUP(Check[[#This Row],[טיפוס]],Tipus[],5,FALSE),".",VLOOKUP(Check[[#This Row],[מגדל]],Tower,2,FALSE),".Ap.",Check[[#This Row],[מספר דירה]])</f>
        <v>O.S.2G.TS.Ap.19</v>
      </c>
      <c r="B21" s="13" t="str">
        <f>_xlfn.CONCAT(VLOOKUP(Check[[#This Row],[סטטוס]],Sold,2,FALSE),IF(Check[[#This Row],[סטטוס]]="פנויה",IF(N21="גמר מלא סטנדרט",".GMS",IF(N21="גמר מלא טיוב חומרים",".GMC",IF(N21="גמר מינימלי",".GM",IF(N21="דירת שיווק",".DS","")))),""),IF(M21="זומן לטרום",".ZLT",IF(M21="טרום מסירה",".TM",IF(M21="טרום מסירה מהנדס",".TMM",IF(M21="מסירת חזקה",".MH",IF(M21="מסירת חזקה מהנדס",".MHM",""))))),".",VLOOKUP(Check[[#This Row],[טיפוס]],Tipus[],5,FALSE),".",VLOOKUP(Check[[#This Row],[מגדל]],Tower,2,FALSE),".Ap.",Check[[#This Row],[מספר דירה]])</f>
        <v>O.TM.S.2G.TS.Ap.19</v>
      </c>
      <c r="C21" s="3" t="s">
        <v>55</v>
      </c>
      <c r="D21" s="3">
        <v>3</v>
      </c>
      <c r="E21" s="4">
        <v>19</v>
      </c>
      <c r="F21" s="3">
        <v>309</v>
      </c>
      <c r="G21" s="3" t="s">
        <v>15</v>
      </c>
      <c r="H21" s="3">
        <f>VLOOKUP(Check[[#This Row],[טיפוס]],Tipus[],2,FALSE)</f>
        <v>2</v>
      </c>
      <c r="I21" s="3" t="str">
        <f>VLOOKUP(Check[[#This Row],[טיפוס]],Tipus[],3,FALSE)</f>
        <v>סטנדרט</v>
      </c>
      <c r="J21" s="3" t="str">
        <f>VLOOKUP(Check[[#This Row],[טיפוס]],Tipus[],4,FALSE)</f>
        <v>I</v>
      </c>
      <c r="K21" s="3" t="str">
        <f>IF(Check[[#This Row],[סטטוס2]]="הולד","פנויה",Check[[#This Row],[סטטוס2]])</f>
        <v>בעלים</v>
      </c>
      <c r="L21" s="382" t="s">
        <v>91</v>
      </c>
      <c r="M21" s="382" t="s">
        <v>1420</v>
      </c>
      <c r="N21" s="383"/>
      <c r="O21" s="383"/>
      <c r="P21" s="411"/>
      <c r="Q21" s="411"/>
      <c r="R21" s="383"/>
      <c r="S21" s="384">
        <v>44040</v>
      </c>
      <c r="T21" s="384" t="s">
        <v>1290</v>
      </c>
      <c r="U21" s="385" t="s">
        <v>377</v>
      </c>
      <c r="V21" s="385" t="s">
        <v>214</v>
      </c>
      <c r="W21" s="385" t="s">
        <v>214</v>
      </c>
    </row>
    <row r="22" spans="1:23" x14ac:dyDescent="0.2">
      <c r="A22" s="13" t="str">
        <f>_xlfn.CONCAT(VLOOKUP(Check[[#This Row],[סטטוס]],Sold,2,FALSE),IF(Check[[#This Row],[סטטוס]]="פנויה",IF(N22="גמר מלא סטנדרט",".GMS",IF(N22="גמר מלא טיוב חומרים",".GMC",IF(N22="גמר מינימלי",".GM",IF(N22="דירת שיווק",".DS","")))),""),".",VLOOKUP(Check[[#This Row],[טיפוס]],Tipus[],5,FALSE),".",VLOOKUP(Check[[#This Row],[מגדל]],Tower,2,FALSE),".Ap.",Check[[#This Row],[מספר דירה]])</f>
        <v>V.GMS.S.4B.TS.Ap.20</v>
      </c>
      <c r="B22" s="13" t="str">
        <f>_xlfn.CONCAT(VLOOKUP(Check[[#This Row],[סטטוס]],Sold,2,FALSE),IF(Check[[#This Row],[סטטוס]]="פנויה",IF(N22="גמר מלא סטנדרט",".GMS",IF(N22="גמר מלא טיוב חומרים",".GMC",IF(N22="גמר מינימלי",".GM",IF(N22="דירת שיווק",".DS","")))),""),IF(M22="זומן לטרום",".ZLT",IF(M22="טרום מסירה",".TM",IF(M22="טרום מסירה מהנדס",".TMM",IF(M22="מסירת חזקה",".MH",IF(M22="מסירת חזקה מהנדס",".MHM",""))))),".",VLOOKUP(Check[[#This Row],[טיפוס]],Tipus[],5,FALSE),".",VLOOKUP(Check[[#This Row],[מגדל]],Tower,2,FALSE),".Ap.",Check[[#This Row],[מספר דירה]])</f>
        <v>V.GMS.S.4B.TS.Ap.20</v>
      </c>
      <c r="C22" s="3" t="s">
        <v>55</v>
      </c>
      <c r="D22" s="3">
        <v>3</v>
      </c>
      <c r="E22" s="4">
        <v>20</v>
      </c>
      <c r="F22" s="3">
        <v>310</v>
      </c>
      <c r="G22" s="3" t="s">
        <v>16</v>
      </c>
      <c r="H22" s="3">
        <f>VLOOKUP(Check[[#This Row],[טיפוס]],Tipus[],2,FALSE)</f>
        <v>4</v>
      </c>
      <c r="I22" s="3" t="str">
        <f>VLOOKUP(Check[[#This Row],[טיפוס]],Tipus[],3,FALSE)</f>
        <v>סטנדרט</v>
      </c>
      <c r="J22" s="3" t="str">
        <f>VLOOKUP(Check[[#This Row],[טיפוס]],Tipus[],4,FALSE)</f>
        <v>H</v>
      </c>
      <c r="K22" s="3" t="str">
        <f>IF(Check[[#This Row],[סטטוס2]]="הולד","פנויה",Check[[#This Row],[סטטוס2]])</f>
        <v>פנויה</v>
      </c>
      <c r="L22" s="382" t="s">
        <v>108</v>
      </c>
      <c r="M22" s="382"/>
      <c r="N22" t="s">
        <v>1367</v>
      </c>
      <c r="O22" s="383" t="s">
        <v>1390</v>
      </c>
      <c r="P22" s="410" t="s">
        <v>1389</v>
      </c>
      <c r="Q22" s="410"/>
      <c r="R22" s="383"/>
      <c r="S22" s="384"/>
      <c r="T22" s="384" t="s">
        <v>214</v>
      </c>
      <c r="U22" s="385"/>
      <c r="V22" s="385"/>
      <c r="W22" s="387"/>
    </row>
    <row r="23" spans="1:23" x14ac:dyDescent="0.2">
      <c r="A23" s="13" t="str">
        <f>_xlfn.CONCAT(VLOOKUP(Check[[#This Row],[סטטוס]],Sold,2,FALSE),IF(Check[[#This Row],[סטטוס]]="פנויה",IF(N23="גמר מלא סטנדרט",".GMS",IF(N23="גמר מלא טיוב חומרים",".GMC",IF(N23="גמר מינימלי",".GM",IF(N23="דירת שיווק",".DS","")))),""),".",VLOOKUP(Check[[#This Row],[טיפוס]],Tipus[],5,FALSE),".",VLOOKUP(Check[[#This Row],[מגדל]],Tower,2,FALSE),".Ap.",Check[[#This Row],[מספר דירה]])</f>
        <v>O.S.2A.TS.Ap.21</v>
      </c>
      <c r="B23" s="13" t="str">
        <f>_xlfn.CONCAT(VLOOKUP(Check[[#This Row],[סטטוס]],Sold,2,FALSE),IF(Check[[#This Row],[סטטוס]]="פנויה",IF(N23="גמר מלא סטנדרט",".GMS",IF(N23="גמר מלא טיוב חומרים",".GMC",IF(N23="גמר מינימלי",".GM",IF(N23="דירת שיווק",".DS","")))),""),IF(M23="זומן לטרום",".ZLT",IF(M23="טרום מסירה",".TM",IF(M23="טרום מסירה מהנדס",".TMM",IF(M23="מסירת חזקה",".MH",IF(M23="מסירת חזקה מהנדס",".MHM",""))))),".",VLOOKUP(Check[[#This Row],[טיפוס]],Tipus[],5,FALSE),".",VLOOKUP(Check[[#This Row],[מגדל]],Tower,2,FALSE),".Ap.",Check[[#This Row],[מספר דירה]])</f>
        <v>O.S.2A.TS.Ap.21</v>
      </c>
      <c r="C23" s="3" t="s">
        <v>55</v>
      </c>
      <c r="D23" s="3">
        <v>4</v>
      </c>
      <c r="E23" s="4">
        <v>21</v>
      </c>
      <c r="F23" s="3">
        <v>401</v>
      </c>
      <c r="G23" s="3" t="s">
        <v>6</v>
      </c>
      <c r="H23" s="3">
        <f>VLOOKUP(Check[[#This Row],[טיפוס]],Tipus[],2,FALSE)</f>
        <v>2</v>
      </c>
      <c r="I23" s="3" t="str">
        <f>VLOOKUP(Check[[#This Row],[טיפוס]],Tipus[],3,FALSE)</f>
        <v>סטנדרט</v>
      </c>
      <c r="J23" s="3" t="str">
        <f>VLOOKUP(Check[[#This Row],[טיפוס]],Tipus[],4,FALSE)</f>
        <v>G</v>
      </c>
      <c r="K23" s="3" t="str">
        <f>IF(Check[[#This Row],[סטטוס2]]="הולד","פנויה",Check[[#This Row],[סטטוס2]])</f>
        <v>בעלים</v>
      </c>
      <c r="L23" s="382" t="s">
        <v>91</v>
      </c>
      <c r="M23" s="382"/>
      <c r="N23" s="383"/>
      <c r="O23" s="383"/>
      <c r="P23" s="411"/>
      <c r="Q23" s="411"/>
      <c r="R23" s="383"/>
      <c r="S23" s="384">
        <v>44040</v>
      </c>
      <c r="T23" s="384" t="s">
        <v>379</v>
      </c>
      <c r="U23" s="385" t="s">
        <v>378</v>
      </c>
      <c r="V23" s="385" t="s">
        <v>214</v>
      </c>
      <c r="W23" s="385" t="s">
        <v>214</v>
      </c>
    </row>
    <row r="24" spans="1:23" x14ac:dyDescent="0.2">
      <c r="A24" s="13" t="str">
        <f>_xlfn.CONCAT(VLOOKUP(Check[[#This Row],[סטטוס]],Sold,2,FALSE),IF(Check[[#This Row],[סטטוס]]="פנויה",IF(N24="גמר מלא סטנדרט",".GMS",IF(N24="גמר מלא טיוב חומרים",".GMC",IF(N24="גמר מינימלי",".GM",IF(N24="דירת שיווק",".DS","")))),""),".",VLOOKUP(Check[[#This Row],[טיפוס]],Tipus[],5,FALSE),".",VLOOKUP(Check[[#This Row],[מגדל]],Tower,2,FALSE),".Ap.",Check[[#This Row],[מספר דירה]])</f>
        <v>O.S.2B.TS.Ap.22</v>
      </c>
      <c r="B24" s="13" t="str">
        <f>_xlfn.CONCAT(VLOOKUP(Check[[#This Row],[סטטוס]],Sold,2,FALSE),IF(Check[[#This Row],[סטטוס]]="פנויה",IF(N24="גמר מלא סטנדרט",".GMS",IF(N24="גמר מלא טיוב חומרים",".GMC",IF(N24="גמר מינימלי",".GM",IF(N24="דירת שיווק",".DS","")))),""),IF(M24="זומן לטרום",".ZLT",IF(M24="טרום מסירה",".TM",IF(M24="טרום מסירה מהנדס",".TMM",IF(M24="מסירת חזקה",".MH",IF(M24="מסירת חזקה מהנדס",".MHM",""))))),".",VLOOKUP(Check[[#This Row],[טיפוס]],Tipus[],5,FALSE),".",VLOOKUP(Check[[#This Row],[מגדל]],Tower,2,FALSE),".Ap.",Check[[#This Row],[מספר דירה]])</f>
        <v>O.S.2B.TS.Ap.22</v>
      </c>
      <c r="C24" s="3" t="s">
        <v>55</v>
      </c>
      <c r="D24" s="3">
        <v>4</v>
      </c>
      <c r="E24" s="4">
        <v>22</v>
      </c>
      <c r="F24" s="3">
        <v>402</v>
      </c>
      <c r="G24" s="3" t="s">
        <v>7</v>
      </c>
      <c r="H24" s="3">
        <f>VLOOKUP(Check[[#This Row],[טיפוס]],Tipus[],2,FALSE)</f>
        <v>2</v>
      </c>
      <c r="I24" s="3" t="str">
        <f>VLOOKUP(Check[[#This Row],[טיפוס]],Tipus[],3,FALSE)</f>
        <v>סטנדרט</v>
      </c>
      <c r="J24" s="3" t="str">
        <f>VLOOKUP(Check[[#This Row],[טיפוס]],Tipus[],4,FALSE)</f>
        <v>F</v>
      </c>
      <c r="K24" s="3" t="str">
        <f>IF(Check[[#This Row],[סטטוס2]]="הולד","פנויה",Check[[#This Row],[סטטוס2]])</f>
        <v>בעלים</v>
      </c>
      <c r="L24" s="382" t="s">
        <v>91</v>
      </c>
      <c r="M24" s="382"/>
      <c r="N24" s="383"/>
      <c r="O24" s="383"/>
      <c r="P24" s="411"/>
      <c r="Q24" s="411"/>
      <c r="R24" s="383"/>
      <c r="S24" s="384">
        <v>44040</v>
      </c>
      <c r="T24" s="384" t="s">
        <v>379</v>
      </c>
      <c r="U24" s="385" t="s">
        <v>380</v>
      </c>
      <c r="V24" s="385" t="s">
        <v>214</v>
      </c>
      <c r="W24" s="385" t="s">
        <v>214</v>
      </c>
    </row>
    <row r="25" spans="1:23" x14ac:dyDescent="0.2">
      <c r="A25" s="13" t="str">
        <f>_xlfn.CONCAT(VLOOKUP(Check[[#This Row],[סטטוס]],Sold,2,FALSE),IF(Check[[#This Row],[סטטוס]]="פנויה",IF(N25="גמר מלא סטנדרט",".GMS",IF(N25="גמר מלא טיוב חומרים",".GMC",IF(N25="גמר מינימלי",".GM",IF(N25="דירת שיווק",".DS","")))),""),".",VLOOKUP(Check[[#This Row],[טיפוס]],Tipus[],5,FALSE),".",VLOOKUP(Check[[#This Row],[מגדל]],Tower,2,FALSE),".Ap.",Check[[#This Row],[מספר דירה]])</f>
        <v>O.S.2C.TS.Ap.23</v>
      </c>
      <c r="B25" s="13" t="str">
        <f>_xlfn.CONCAT(VLOOKUP(Check[[#This Row],[סטטוס]],Sold,2,FALSE),IF(Check[[#This Row],[סטטוס]]="פנויה",IF(N25="גמר מלא סטנדרט",".GMS",IF(N25="גמר מלא טיוב חומרים",".GMC",IF(N25="גמר מינימלי",".GM",IF(N25="דירת שיווק",".DS","")))),""),IF(M25="זומן לטרום",".ZLT",IF(M25="טרום מסירה",".TM",IF(M25="טרום מסירה מהנדס",".TMM",IF(M25="מסירת חזקה",".MH",IF(M25="מסירת חזקה מהנדס",".MHM",""))))),".",VLOOKUP(Check[[#This Row],[טיפוס]],Tipus[],5,FALSE),".",VLOOKUP(Check[[#This Row],[מגדל]],Tower,2,FALSE),".Ap.",Check[[#This Row],[מספר דירה]])</f>
        <v>O.TM.S.2C.TS.Ap.23</v>
      </c>
      <c r="C25" s="3" t="s">
        <v>55</v>
      </c>
      <c r="D25" s="3">
        <v>4</v>
      </c>
      <c r="E25" s="4">
        <v>23</v>
      </c>
      <c r="F25" s="3">
        <v>403</v>
      </c>
      <c r="G25" s="3" t="s">
        <v>8</v>
      </c>
      <c r="H25" s="3">
        <f>VLOOKUP(Check[[#This Row],[טיפוס]],Tipus[],2,FALSE)</f>
        <v>2</v>
      </c>
      <c r="I25" s="3" t="str">
        <f>VLOOKUP(Check[[#This Row],[טיפוס]],Tipus[],3,FALSE)</f>
        <v>סטנדרט</v>
      </c>
      <c r="J25" s="3" t="str">
        <f>VLOOKUP(Check[[#This Row],[טיפוס]],Tipus[],4,FALSE)</f>
        <v>E</v>
      </c>
      <c r="K25" s="3" t="str">
        <f>IF(Check[[#This Row],[סטטוס2]]="הולד","פנויה",Check[[#This Row],[סטטוס2]])</f>
        <v>בעלים</v>
      </c>
      <c r="L25" s="382" t="s">
        <v>91</v>
      </c>
      <c r="M25" s="382" t="s">
        <v>1420</v>
      </c>
      <c r="N25" s="383"/>
      <c r="O25" s="383"/>
      <c r="P25" s="411"/>
      <c r="Q25" s="411"/>
      <c r="R25" s="383"/>
      <c r="S25" s="384">
        <v>44040</v>
      </c>
      <c r="T25" s="384" t="s">
        <v>1289</v>
      </c>
      <c r="U25" s="385" t="s">
        <v>381</v>
      </c>
      <c r="V25" s="385" t="s">
        <v>214</v>
      </c>
      <c r="W25" s="385" t="s">
        <v>214</v>
      </c>
    </row>
    <row r="26" spans="1:23" x14ac:dyDescent="0.2">
      <c r="A26" s="13" t="str">
        <f>_xlfn.CONCAT(VLOOKUP(Check[[#This Row],[סטטוס]],Sold,2,FALSE),IF(Check[[#This Row],[סטטוס]]="פנויה",IF(N26="גמר מלא סטנדרט",".GMS",IF(N26="גמר מלא טיוב חומרים",".GMC",IF(N26="גמר מינימלי",".GM",IF(N26="דירת שיווק",".DS","")))),""),".",VLOOKUP(Check[[#This Row],[טיפוס]],Tipus[],5,FALSE),".",VLOOKUP(Check[[#This Row],[מגדל]],Tower,2,FALSE),".Ap.",Check[[#This Row],[מספר דירה]])</f>
        <v>O.S.3A.TS.Ap.24</v>
      </c>
      <c r="B26" s="13" t="str">
        <f>_xlfn.CONCAT(VLOOKUP(Check[[#This Row],[סטטוס]],Sold,2,FALSE),IF(Check[[#This Row],[סטטוס]]="פנויה",IF(N26="גמר מלא סטנדרט",".GMS",IF(N26="גמר מלא טיוב חומרים",".GMC",IF(N26="גמר מינימלי",".GM",IF(N26="דירת שיווק",".DS","")))),""),IF(M26="זומן לטרום",".ZLT",IF(M26="טרום מסירה",".TM",IF(M26="טרום מסירה מהנדס",".TMM",IF(M26="מסירת חזקה",".MH",IF(M26="מסירת חזקה מהנדס",".MHM",""))))),".",VLOOKUP(Check[[#This Row],[טיפוס]],Tipus[],5,FALSE),".",VLOOKUP(Check[[#This Row],[מגדל]],Tower,2,FALSE),".Ap.",Check[[#This Row],[מספר דירה]])</f>
        <v>O.S.3A.TS.Ap.24</v>
      </c>
      <c r="C26" s="3" t="s">
        <v>55</v>
      </c>
      <c r="D26" s="3">
        <v>4</v>
      </c>
      <c r="E26" s="4">
        <v>24</v>
      </c>
      <c r="F26" s="3">
        <v>404</v>
      </c>
      <c r="G26" s="3" t="s">
        <v>9</v>
      </c>
      <c r="H26" s="3">
        <f>VLOOKUP(Check[[#This Row],[טיפוס]],Tipus[],2,FALSE)</f>
        <v>3</v>
      </c>
      <c r="I26" s="3" t="str">
        <f>VLOOKUP(Check[[#This Row],[טיפוס]],Tipus[],3,FALSE)</f>
        <v>סטנדרט</v>
      </c>
      <c r="J26" s="3" t="str">
        <f>VLOOKUP(Check[[#This Row],[טיפוס]],Tipus[],4,FALSE)</f>
        <v>D</v>
      </c>
      <c r="K26" s="3" t="str">
        <f>IF(Check[[#This Row],[סטטוס2]]="הולד","פנויה",Check[[#This Row],[סטטוס2]])</f>
        <v>בעלים</v>
      </c>
      <c r="L26" s="382" t="s">
        <v>91</v>
      </c>
      <c r="M26" s="382"/>
      <c r="N26" s="383"/>
      <c r="O26" s="383"/>
      <c r="P26" s="411"/>
      <c r="Q26" s="411"/>
      <c r="R26" s="383"/>
      <c r="S26" s="384">
        <v>44040</v>
      </c>
      <c r="T26" s="384" t="s">
        <v>382</v>
      </c>
      <c r="U26" s="385" t="s">
        <v>383</v>
      </c>
      <c r="V26" s="385" t="s">
        <v>214</v>
      </c>
      <c r="W26" s="385" t="s">
        <v>324</v>
      </c>
    </row>
    <row r="27" spans="1:23" x14ac:dyDescent="0.2">
      <c r="A27" s="13" t="str">
        <f>_xlfn.CONCAT(VLOOKUP(Check[[#This Row],[סטטוס]],Sold,2,FALSE),IF(Check[[#This Row],[סטטוס]]="פנויה",IF(N27="גמר מלא סטנדרט",".GMS",IF(N27="גמר מלא טיוב חומרים",".GMC",IF(N27="גמר מינימלי",".GM",IF(N27="דירת שיווק",".DS","")))),""),".",VLOOKUP(Check[[#This Row],[טיפוס]],Tipus[],5,FALSE),".",VLOOKUP(Check[[#This Row],[מגדל]],Tower,2,FALSE),".Ap.",Check[[#This Row],[מספר דירה]])</f>
        <v>S.S.2D.TS.Ap.25</v>
      </c>
      <c r="B27" s="13" t="str">
        <f>_xlfn.CONCAT(VLOOKUP(Check[[#This Row],[סטטוס]],Sold,2,FALSE),IF(Check[[#This Row],[סטטוס]]="פנויה",IF(N27="גמר מלא סטנדרט",".GMS",IF(N27="גמר מלא טיוב חומרים",".GMC",IF(N27="גמר מינימלי",".GM",IF(N27="דירת שיווק",".DS","")))),""),IF(M27="זומן לטרום",".ZLT",IF(M27="טרום מסירה",".TM",IF(M27="טרום מסירה מהנדס",".TMM",IF(M27="מסירת חזקה",".MH",IF(M27="מסירת חזקה מהנדס",".MHM",""))))),".",VLOOKUP(Check[[#This Row],[טיפוס]],Tipus[],5,FALSE),".",VLOOKUP(Check[[#This Row],[מגדל]],Tower,2,FALSE),".Ap.",Check[[#This Row],[מספר דירה]])</f>
        <v>S.TM.S.2D.TS.Ap.25</v>
      </c>
      <c r="C27" s="3" t="s">
        <v>55</v>
      </c>
      <c r="D27" s="3">
        <v>4</v>
      </c>
      <c r="E27" s="4">
        <v>25</v>
      </c>
      <c r="F27" s="3">
        <v>405</v>
      </c>
      <c r="G27" s="3" t="s">
        <v>10</v>
      </c>
      <c r="H27" s="3">
        <f>VLOOKUP(Check[[#This Row],[טיפוס]],Tipus[],2,FALSE)</f>
        <v>2</v>
      </c>
      <c r="I27" s="3" t="str">
        <f>VLOOKUP(Check[[#This Row],[טיפוס]],Tipus[],3,FALSE)</f>
        <v>סטנדרט</v>
      </c>
      <c r="J27" s="3" t="str">
        <f>VLOOKUP(Check[[#This Row],[טיפוס]],Tipus[],4,FALSE)</f>
        <v>C</v>
      </c>
      <c r="K27" s="3" t="str">
        <f>IF(Check[[#This Row],[סטטוס2]]="הולד","פנויה",Check[[#This Row],[סטטוס2]])</f>
        <v>מכורה</v>
      </c>
      <c r="L27" s="382" t="s">
        <v>130</v>
      </c>
      <c r="M27" s="382" t="s">
        <v>1420</v>
      </c>
      <c r="N27" s="383"/>
      <c r="O27" s="383"/>
      <c r="P27" s="411"/>
      <c r="Q27" s="411"/>
      <c r="R27" s="383"/>
      <c r="S27" s="386">
        <v>44518</v>
      </c>
      <c r="T27" s="386" t="s">
        <v>1089</v>
      </c>
      <c r="U27" s="387"/>
      <c r="V27" s="387"/>
      <c r="W27" s="387"/>
    </row>
    <row r="28" spans="1:23" x14ac:dyDescent="0.2">
      <c r="A28" s="13" t="str">
        <f>_xlfn.CONCAT(VLOOKUP(Check[[#This Row],[סטטוס]],Sold,2,FALSE),IF(Check[[#This Row],[סטטוס]]="פנויה",IF(N28="גמר מלא סטנדרט",".GMS",IF(N28="גמר מלא טיוב חומרים",".GMC",IF(N28="גמר מינימלי",".GM",IF(N28="דירת שיווק",".DS","")))),""),".",VLOOKUP(Check[[#This Row],[טיפוס]],Tipus[],5,FALSE),".",VLOOKUP(Check[[#This Row],[מגדל]],Tower,2,FALSE),".Ap.",Check[[#This Row],[מספר דירה]])</f>
        <v>V.GMS.S.2E.TS.Ap.26</v>
      </c>
      <c r="B28" s="13" t="str">
        <f>_xlfn.CONCAT(VLOOKUP(Check[[#This Row],[סטטוס]],Sold,2,FALSE),IF(Check[[#This Row],[סטטוס]]="פנויה",IF(N28="גמר מלא סטנדרט",".GMS",IF(N28="גמר מלא טיוב חומרים",".GMC",IF(N28="גמר מינימלי",".GM",IF(N28="דירת שיווק",".DS","")))),""),IF(M28="זומן לטרום",".ZLT",IF(M28="טרום מסירה",".TM",IF(M28="טרום מסירה מהנדס",".TMM",IF(M28="מסירת חזקה",".MH",IF(M28="מסירת חזקה מהנדס",".MHM",""))))),".",VLOOKUP(Check[[#This Row],[טיפוס]],Tipus[],5,FALSE),".",VLOOKUP(Check[[#This Row],[מגדל]],Tower,2,FALSE),".Ap.",Check[[#This Row],[מספר דירה]])</f>
        <v>V.GMS.S.2E.TS.Ap.26</v>
      </c>
      <c r="C28" s="3" t="s">
        <v>55</v>
      </c>
      <c r="D28" s="3">
        <v>4</v>
      </c>
      <c r="E28" s="4">
        <v>26</v>
      </c>
      <c r="F28" s="3">
        <v>406</v>
      </c>
      <c r="G28" s="3" t="s">
        <v>11</v>
      </c>
      <c r="H28" s="3">
        <f>VLOOKUP(Check[[#This Row],[טיפוס]],Tipus[],2,FALSE)</f>
        <v>2</v>
      </c>
      <c r="I28" s="3" t="str">
        <f>VLOOKUP(Check[[#This Row],[טיפוס]],Tipus[],3,FALSE)</f>
        <v>סטנדרט</v>
      </c>
      <c r="J28" s="3" t="str">
        <f>VLOOKUP(Check[[#This Row],[טיפוס]],Tipus[],4,FALSE)</f>
        <v>B</v>
      </c>
      <c r="K28" s="3" t="str">
        <f>IF(Check[[#This Row],[סטטוס2]]="הולד","פנויה",Check[[#This Row],[סטטוס2]])</f>
        <v>פנויה</v>
      </c>
      <c r="L28" s="382" t="s">
        <v>108</v>
      </c>
      <c r="M28" s="382"/>
      <c r="N28" t="s">
        <v>1367</v>
      </c>
      <c r="O28" s="383" t="s">
        <v>1390</v>
      </c>
      <c r="P28" s="410" t="s">
        <v>1389</v>
      </c>
      <c r="Q28" s="410"/>
      <c r="R28" s="383"/>
      <c r="S28" s="384"/>
      <c r="T28" s="384" t="s">
        <v>214</v>
      </c>
      <c r="U28" s="385"/>
      <c r="V28" s="385"/>
      <c r="W28" s="387"/>
    </row>
    <row r="29" spans="1:23" x14ac:dyDescent="0.2">
      <c r="A29" s="13" t="str">
        <f>_xlfn.CONCAT(VLOOKUP(Check[[#This Row],[סטטוס]],Sold,2,FALSE),IF(Check[[#This Row],[סטטוס]]="פנויה",IF(N29="גמר מלא סטנדרט",".GMS",IF(N29="גמר מלא טיוב חומרים",".GMC",IF(N29="גמר מינימלי",".GM",IF(N29="דירת שיווק",".DS","")))),""),".",VLOOKUP(Check[[#This Row],[טיפוס]],Tipus[],5,FALSE),".",VLOOKUP(Check[[#This Row],[מגדל]],Tower,2,FALSE),".Ap.",Check[[#This Row],[מספר דירה]])</f>
        <v>O.S.2F.TS.Ap.27</v>
      </c>
      <c r="B29" s="13" t="str">
        <f>_xlfn.CONCAT(VLOOKUP(Check[[#This Row],[סטטוס]],Sold,2,FALSE),IF(Check[[#This Row],[סטטוס]]="פנויה",IF(N29="גמר מלא סטנדרט",".GMS",IF(N29="גמר מלא טיוב חומרים",".GMC",IF(N29="גמר מינימלי",".GM",IF(N29="דירת שיווק",".DS","")))),""),IF(M29="זומן לטרום",".ZLT",IF(M29="טרום מסירה",".TM",IF(M29="טרום מסירה מהנדס",".TMM",IF(M29="מסירת חזקה",".MH",IF(M29="מסירת חזקה מהנדס",".MHM",""))))),".",VLOOKUP(Check[[#This Row],[טיפוס]],Tipus[],5,FALSE),".",VLOOKUP(Check[[#This Row],[מגדל]],Tower,2,FALSE),".Ap.",Check[[#This Row],[מספר דירה]])</f>
        <v>O.S.2F.TS.Ap.27</v>
      </c>
      <c r="C29" s="3" t="s">
        <v>55</v>
      </c>
      <c r="D29" s="3">
        <v>4</v>
      </c>
      <c r="E29" s="4">
        <v>27</v>
      </c>
      <c r="F29" s="3">
        <v>407</v>
      </c>
      <c r="G29" s="3" t="s">
        <v>12</v>
      </c>
      <c r="H29" s="3">
        <f>VLOOKUP(Check[[#This Row],[טיפוס]],Tipus[],2,FALSE)</f>
        <v>2</v>
      </c>
      <c r="I29" s="3" t="str">
        <f>VLOOKUP(Check[[#This Row],[טיפוס]],Tipus[],3,FALSE)</f>
        <v>סטנדרט</v>
      </c>
      <c r="J29" s="3" t="str">
        <f>VLOOKUP(Check[[#This Row],[טיפוס]],Tipus[],4,FALSE)</f>
        <v>A</v>
      </c>
      <c r="K29" s="3" t="str">
        <f>IF(Check[[#This Row],[סטטוס2]]="הולד","פנויה",Check[[#This Row],[סטטוס2]])</f>
        <v>בעלים</v>
      </c>
      <c r="L29" s="382" t="s">
        <v>91</v>
      </c>
      <c r="M29" s="382"/>
      <c r="N29" s="383"/>
      <c r="O29" s="383"/>
      <c r="P29" s="411"/>
      <c r="Q29" s="411"/>
      <c r="R29" s="383"/>
      <c r="S29" s="384">
        <v>44040</v>
      </c>
      <c r="T29" s="384" t="s">
        <v>384</v>
      </c>
      <c r="U29" s="385" t="s">
        <v>385</v>
      </c>
      <c r="V29" s="385" t="s">
        <v>214</v>
      </c>
      <c r="W29" s="385" t="s">
        <v>284</v>
      </c>
    </row>
    <row r="30" spans="1:23" x14ac:dyDescent="0.2">
      <c r="A30" s="13" t="str">
        <f>_xlfn.CONCAT(VLOOKUP(Check[[#This Row],[סטטוס]],Sold,2,FALSE),IF(Check[[#This Row],[סטטוס]]="פנויה",IF(N30="גמר מלא סטנדרט",".GMS",IF(N30="גמר מלא טיוב חומרים",".GMC",IF(N30="גמר מינימלי",".GM",IF(N30="דירת שיווק",".DS","")))),""),".",VLOOKUP(Check[[#This Row],[טיפוס]],Tipus[],5,FALSE),".",VLOOKUP(Check[[#This Row],[מגדל]],Tower,2,FALSE),".Ap.",Check[[#This Row],[מספר דירה]])</f>
        <v>V.GMS.S.4A.TS.Ap.28</v>
      </c>
      <c r="B30" s="13" t="str">
        <f>_xlfn.CONCAT(VLOOKUP(Check[[#This Row],[סטטוס]],Sold,2,FALSE),IF(Check[[#This Row],[סטטוס]]="פנויה",IF(N30="גמר מלא סטנדרט",".GMS",IF(N30="גמר מלא טיוב חומרים",".GMC",IF(N30="גמר מינימלי",".GM",IF(N30="דירת שיווק",".DS","")))),""),IF(M30="זומן לטרום",".ZLT",IF(M30="טרום מסירה",".TM",IF(M30="טרום מסירה מהנדס",".TMM",IF(M30="מסירת חזקה",".MH",IF(M30="מסירת חזקה מהנדס",".MHM",""))))),".",VLOOKUP(Check[[#This Row],[טיפוס]],Tipus[],5,FALSE),".",VLOOKUP(Check[[#This Row],[מגדל]],Tower,2,FALSE),".Ap.",Check[[#This Row],[מספר דירה]])</f>
        <v>V.GMS.S.4A.TS.Ap.28</v>
      </c>
      <c r="C30" s="3" t="s">
        <v>55</v>
      </c>
      <c r="D30" s="3">
        <v>4</v>
      </c>
      <c r="E30" s="4">
        <v>28</v>
      </c>
      <c r="F30" s="3">
        <v>408</v>
      </c>
      <c r="G30" s="3" t="s">
        <v>14</v>
      </c>
      <c r="H30" s="3">
        <f>VLOOKUP(Check[[#This Row],[טיפוס]],Tipus[],2,FALSE)</f>
        <v>4</v>
      </c>
      <c r="I30" s="3" t="str">
        <f>VLOOKUP(Check[[#This Row],[טיפוס]],Tipus[],3,FALSE)</f>
        <v>סטנדרט</v>
      </c>
      <c r="J30" s="3" t="str">
        <f>VLOOKUP(Check[[#This Row],[טיפוס]],Tipus[],4,FALSE)</f>
        <v>J</v>
      </c>
      <c r="K30" s="3" t="str">
        <f>IF(Check[[#This Row],[סטטוס2]]="הולד","פנויה",Check[[#This Row],[סטטוס2]])</f>
        <v>פנויה</v>
      </c>
      <c r="L30" s="382" t="s">
        <v>108</v>
      </c>
      <c r="M30" s="382"/>
      <c r="N30" t="s">
        <v>1367</v>
      </c>
      <c r="O30" s="383" t="s">
        <v>1390</v>
      </c>
      <c r="P30" s="410" t="s">
        <v>1389</v>
      </c>
      <c r="Q30" s="410"/>
      <c r="R30" s="383"/>
      <c r="S30" s="384"/>
      <c r="T30" s="384" t="s">
        <v>214</v>
      </c>
      <c r="U30" s="385"/>
      <c r="V30" s="385"/>
      <c r="W30" s="387"/>
    </row>
    <row r="31" spans="1:23" x14ac:dyDescent="0.2">
      <c r="A31" s="13" t="str">
        <f>_xlfn.CONCAT(VLOOKUP(Check[[#This Row],[סטטוס]],Sold,2,FALSE),IF(Check[[#This Row],[סטטוס]]="פנויה",IF(N31="גמר מלא סטנדרט",".GMS",IF(N31="גמר מלא טיוב חומרים",".GMC",IF(N31="גמר מינימלי",".GM",IF(N31="דירת שיווק",".DS","")))),""),".",VLOOKUP(Check[[#This Row],[טיפוס]],Tipus[],5,FALSE),".",VLOOKUP(Check[[#This Row],[מגדל]],Tower,2,FALSE),".Ap.",Check[[#This Row],[מספר דירה]])</f>
        <v>O.S.2G.TS.Ap.29</v>
      </c>
      <c r="B31" s="13" t="str">
        <f>_xlfn.CONCAT(VLOOKUP(Check[[#This Row],[סטטוס]],Sold,2,FALSE),IF(Check[[#This Row],[סטטוס]]="פנויה",IF(N31="גמר מלא סטנדרט",".GMS",IF(N31="גמר מלא טיוב חומרים",".GMC",IF(N31="גמר מינימלי",".GM",IF(N31="דירת שיווק",".DS","")))),""),IF(M31="זומן לטרום",".ZLT",IF(M31="טרום מסירה",".TM",IF(M31="טרום מסירה מהנדס",".TMM",IF(M31="מסירת חזקה",".MH",IF(M31="מסירת חזקה מהנדס",".MHM",""))))),".",VLOOKUP(Check[[#This Row],[טיפוס]],Tipus[],5,FALSE),".",VLOOKUP(Check[[#This Row],[מגדל]],Tower,2,FALSE),".Ap.",Check[[#This Row],[מספר דירה]])</f>
        <v>O.TM.S.2G.TS.Ap.29</v>
      </c>
      <c r="C31" s="3" t="s">
        <v>55</v>
      </c>
      <c r="D31" s="3">
        <v>4</v>
      </c>
      <c r="E31" s="4">
        <v>29</v>
      </c>
      <c r="F31" s="3">
        <v>409</v>
      </c>
      <c r="G31" s="3" t="s">
        <v>15</v>
      </c>
      <c r="H31" s="3">
        <f>VLOOKUP(Check[[#This Row],[טיפוס]],Tipus[],2,FALSE)</f>
        <v>2</v>
      </c>
      <c r="I31" s="3" t="str">
        <f>VLOOKUP(Check[[#This Row],[טיפוס]],Tipus[],3,FALSE)</f>
        <v>סטנדרט</v>
      </c>
      <c r="J31" s="3" t="str">
        <f>VLOOKUP(Check[[#This Row],[טיפוס]],Tipus[],4,FALSE)</f>
        <v>I</v>
      </c>
      <c r="K31" s="3" t="str">
        <f>IF(Check[[#This Row],[סטטוס2]]="הולד","פנויה",Check[[#This Row],[סטטוס2]])</f>
        <v>בעלים</v>
      </c>
      <c r="L31" s="382" t="s">
        <v>91</v>
      </c>
      <c r="M31" s="382" t="s">
        <v>1420</v>
      </c>
      <c r="N31" s="383"/>
      <c r="O31" s="383"/>
      <c r="P31" s="411"/>
      <c r="Q31" s="411"/>
      <c r="R31" s="383"/>
      <c r="S31" s="384">
        <v>44040</v>
      </c>
      <c r="T31" s="384" t="s">
        <v>285</v>
      </c>
      <c r="U31" s="385" t="s">
        <v>386</v>
      </c>
      <c r="V31" s="385" t="s">
        <v>214</v>
      </c>
      <c r="W31" s="385" t="s">
        <v>214</v>
      </c>
    </row>
    <row r="32" spans="1:23" x14ac:dyDescent="0.2">
      <c r="A32" s="13" t="str">
        <f>_xlfn.CONCAT(VLOOKUP(Check[[#This Row],[סטטוס]],Sold,2,FALSE),IF(Check[[#This Row],[סטטוס]]="פנויה",IF(N32="גמר מלא סטנדרט",".GMS",IF(N32="גמר מלא טיוב חומרים",".GMC",IF(N32="גמר מינימלי",".GM",IF(N32="דירת שיווק",".DS","")))),""),".",VLOOKUP(Check[[#This Row],[טיפוס]],Tipus[],5,FALSE),".",VLOOKUP(Check[[#This Row],[מגדל]],Tower,2,FALSE),".Ap.",Check[[#This Row],[מספר דירה]])</f>
        <v>V.GMS.S.4B.TS.Ap.30</v>
      </c>
      <c r="B32" s="13" t="str">
        <f>_xlfn.CONCAT(VLOOKUP(Check[[#This Row],[סטטוס]],Sold,2,FALSE),IF(Check[[#This Row],[סטטוס]]="פנויה",IF(N32="גמר מלא סטנדרט",".GMS",IF(N32="גמר מלא טיוב חומרים",".GMC",IF(N32="גמר מינימלי",".GM",IF(N32="דירת שיווק",".DS","")))),""),IF(M32="זומן לטרום",".ZLT",IF(M32="טרום מסירה",".TM",IF(M32="טרום מסירה מהנדס",".TMM",IF(M32="מסירת חזקה",".MH",IF(M32="מסירת חזקה מהנדס",".MHM",""))))),".",VLOOKUP(Check[[#This Row],[טיפוס]],Tipus[],5,FALSE),".",VLOOKUP(Check[[#This Row],[מגדל]],Tower,2,FALSE),".Ap.",Check[[#This Row],[מספר דירה]])</f>
        <v>V.GMS.S.4B.TS.Ap.30</v>
      </c>
      <c r="C32" s="3" t="s">
        <v>55</v>
      </c>
      <c r="D32" s="3">
        <v>4</v>
      </c>
      <c r="E32" s="4">
        <v>30</v>
      </c>
      <c r="F32" s="3">
        <v>410</v>
      </c>
      <c r="G32" s="3" t="s">
        <v>16</v>
      </c>
      <c r="H32" s="3">
        <f>VLOOKUP(Check[[#This Row],[טיפוס]],Tipus[],2,FALSE)</f>
        <v>4</v>
      </c>
      <c r="I32" s="3" t="str">
        <f>VLOOKUP(Check[[#This Row],[טיפוס]],Tipus[],3,FALSE)</f>
        <v>סטנדרט</v>
      </c>
      <c r="J32" s="3" t="str">
        <f>VLOOKUP(Check[[#This Row],[טיפוס]],Tipus[],4,FALSE)</f>
        <v>H</v>
      </c>
      <c r="K32" s="3" t="str">
        <f>IF(Check[[#This Row],[סטטוס2]]="הולד","פנויה",Check[[#This Row],[סטטוס2]])</f>
        <v>פנויה</v>
      </c>
      <c r="L32" s="382" t="s">
        <v>108</v>
      </c>
      <c r="M32" s="382"/>
      <c r="N32" t="s">
        <v>1367</v>
      </c>
      <c r="O32" s="383" t="s">
        <v>1390</v>
      </c>
      <c r="P32" s="410" t="s">
        <v>1389</v>
      </c>
      <c r="Q32" s="410"/>
      <c r="R32" s="383"/>
      <c r="S32" s="384"/>
      <c r="T32" s="384" t="s">
        <v>214</v>
      </c>
      <c r="U32" s="385"/>
      <c r="V32" s="385"/>
      <c r="W32" s="387"/>
    </row>
    <row r="33" spans="1:23" x14ac:dyDescent="0.2">
      <c r="A33" s="13" t="str">
        <f>_xlfn.CONCAT(VLOOKUP(Check[[#This Row],[סטטוס]],Sold,2,FALSE),IF(Check[[#This Row],[סטטוס]]="פנויה",IF(N33="גמר מלא סטנדרט",".GMS",IF(N33="גמר מלא טיוב חומרים",".GMC",IF(N33="גמר מינימלי",".GM",IF(N33="דירת שיווק",".DS","")))),""),".",VLOOKUP(Check[[#This Row],[טיפוס]],Tipus[],5,FALSE),".",VLOOKUP(Check[[#This Row],[מגדל]],Tower,2,FALSE),".Ap.",Check[[#This Row],[מספר דירה]])</f>
        <v>O.S.2A.TS.Ap.31</v>
      </c>
      <c r="B33" s="13" t="str">
        <f>_xlfn.CONCAT(VLOOKUP(Check[[#This Row],[סטטוס]],Sold,2,FALSE),IF(Check[[#This Row],[סטטוס]]="פנויה",IF(N33="גמר מלא סטנדרט",".GMS",IF(N33="גמר מלא טיוב חומרים",".GMC",IF(N33="גמר מינימלי",".GM",IF(N33="דירת שיווק",".DS","")))),""),IF(M33="זומן לטרום",".ZLT",IF(M33="טרום מסירה",".TM",IF(M33="טרום מסירה מהנדס",".TMM",IF(M33="מסירת חזקה",".MH",IF(M33="מסירת חזקה מהנדס",".MHM",""))))),".",VLOOKUP(Check[[#This Row],[טיפוס]],Tipus[],5,FALSE),".",VLOOKUP(Check[[#This Row],[מגדל]],Tower,2,FALSE),".Ap.",Check[[#This Row],[מספר דירה]])</f>
        <v>O.S.2A.TS.Ap.31</v>
      </c>
      <c r="C33" s="3" t="s">
        <v>55</v>
      </c>
      <c r="D33" s="3">
        <v>5</v>
      </c>
      <c r="E33" s="4">
        <v>31</v>
      </c>
      <c r="F33" s="3">
        <v>501</v>
      </c>
      <c r="G33" s="3" t="s">
        <v>6</v>
      </c>
      <c r="H33" s="3">
        <f>VLOOKUP(Check[[#This Row],[טיפוס]],Tipus[],2,FALSE)</f>
        <v>2</v>
      </c>
      <c r="I33" s="3" t="str">
        <f>VLOOKUP(Check[[#This Row],[טיפוס]],Tipus[],3,FALSE)</f>
        <v>סטנדרט</v>
      </c>
      <c r="J33" s="3" t="str">
        <f>VLOOKUP(Check[[#This Row],[טיפוס]],Tipus[],4,FALSE)</f>
        <v>G</v>
      </c>
      <c r="K33" s="3" t="str">
        <f>IF(Check[[#This Row],[סטטוס2]]="הולד","פנויה",Check[[#This Row],[סטטוס2]])</f>
        <v>בעלים</v>
      </c>
      <c r="L33" s="382" t="s">
        <v>91</v>
      </c>
      <c r="M33" s="382"/>
      <c r="N33" s="383"/>
      <c r="O33" s="383"/>
      <c r="P33" s="411"/>
      <c r="Q33" s="411"/>
      <c r="R33" s="383"/>
      <c r="S33" s="384">
        <v>44040</v>
      </c>
      <c r="T33" s="384" t="s">
        <v>384</v>
      </c>
      <c r="U33" s="385" t="s">
        <v>387</v>
      </c>
      <c r="V33" s="385" t="s">
        <v>214</v>
      </c>
      <c r="W33" s="385" t="s">
        <v>214</v>
      </c>
    </row>
    <row r="34" spans="1:23" x14ac:dyDescent="0.2">
      <c r="A34" s="13" t="str">
        <f>_xlfn.CONCAT(VLOOKUP(Check[[#This Row],[סטטוס]],Sold,2,FALSE),IF(Check[[#This Row],[סטטוס]]="פנויה",IF(N34="גמר מלא סטנדרט",".GMS",IF(N34="גמר מלא טיוב חומרים",".GMC",IF(N34="גמר מינימלי",".GM",IF(N34="דירת שיווק",".DS","")))),""),".",VLOOKUP(Check[[#This Row],[טיפוס]],Tipus[],5,FALSE),".",VLOOKUP(Check[[#This Row],[מגדל]],Tower,2,FALSE),".Ap.",Check[[#This Row],[מספר דירה]])</f>
        <v>O.S.2B.TS.Ap.32</v>
      </c>
      <c r="B34" s="13" t="str">
        <f>_xlfn.CONCAT(VLOOKUP(Check[[#This Row],[סטטוס]],Sold,2,FALSE),IF(Check[[#This Row],[סטטוס]]="פנויה",IF(N34="גמר מלא סטנדרט",".GMS",IF(N34="גמר מלא טיוב חומרים",".GMC",IF(N34="גמר מינימלי",".GM",IF(N34="דירת שיווק",".DS","")))),""),IF(M34="זומן לטרום",".ZLT",IF(M34="טרום מסירה",".TM",IF(M34="טרום מסירה מהנדס",".TMM",IF(M34="מסירת חזקה",".MH",IF(M34="מסירת חזקה מהנדס",".MHM",""))))),".",VLOOKUP(Check[[#This Row],[טיפוס]],Tipus[],5,FALSE),".",VLOOKUP(Check[[#This Row],[מגדל]],Tower,2,FALSE),".Ap.",Check[[#This Row],[מספר דירה]])</f>
        <v>O.TM.S.2B.TS.Ap.32</v>
      </c>
      <c r="C34" s="3" t="s">
        <v>55</v>
      </c>
      <c r="D34" s="3">
        <v>5</v>
      </c>
      <c r="E34" s="4">
        <v>32</v>
      </c>
      <c r="F34" s="3">
        <v>502</v>
      </c>
      <c r="G34" s="3" t="s">
        <v>7</v>
      </c>
      <c r="H34" s="3">
        <f>VLOOKUP(Check[[#This Row],[טיפוס]],Tipus[],2,FALSE)</f>
        <v>2</v>
      </c>
      <c r="I34" s="3" t="str">
        <f>VLOOKUP(Check[[#This Row],[טיפוס]],Tipus[],3,FALSE)</f>
        <v>סטנדרט</v>
      </c>
      <c r="J34" s="3" t="str">
        <f>VLOOKUP(Check[[#This Row],[טיפוס]],Tipus[],4,FALSE)</f>
        <v>F</v>
      </c>
      <c r="K34" s="3" t="str">
        <f>IF(Check[[#This Row],[סטטוס2]]="הולד","פנויה",Check[[#This Row],[סטטוס2]])</f>
        <v>בעלים</v>
      </c>
      <c r="L34" s="382" t="s">
        <v>91</v>
      </c>
      <c r="M34" s="382" t="s">
        <v>1420</v>
      </c>
      <c r="N34" s="383"/>
      <c r="O34" s="383"/>
      <c r="P34" s="411"/>
      <c r="Q34" s="411"/>
      <c r="R34" s="383"/>
      <c r="S34" s="384">
        <v>44040</v>
      </c>
      <c r="T34" s="384" t="s">
        <v>373</v>
      </c>
      <c r="U34" s="385" t="s">
        <v>388</v>
      </c>
      <c r="V34" s="385" t="s">
        <v>214</v>
      </c>
      <c r="W34" s="385" t="s">
        <v>214</v>
      </c>
    </row>
    <row r="35" spans="1:23" x14ac:dyDescent="0.2">
      <c r="A35" s="13" t="str">
        <f>_xlfn.CONCAT(VLOOKUP(Check[[#This Row],[סטטוס]],Sold,2,FALSE),IF(Check[[#This Row],[סטטוס]]="פנויה",IF(N35="גמר מלא סטנדרט",".GMS",IF(N35="גמר מלא טיוב חומרים",".GMC",IF(N35="גמר מינימלי",".GM",IF(N35="דירת שיווק",".DS","")))),""),".",VLOOKUP(Check[[#This Row],[טיפוס]],Tipus[],5,FALSE),".",VLOOKUP(Check[[#This Row],[מגדל]],Tower,2,FALSE),".Ap.",Check[[#This Row],[מספר דירה]])</f>
        <v>O.S.2C.TS.Ap.33</v>
      </c>
      <c r="B35" s="13" t="str">
        <f>_xlfn.CONCAT(VLOOKUP(Check[[#This Row],[סטטוס]],Sold,2,FALSE),IF(Check[[#This Row],[סטטוס]]="פנויה",IF(N35="גמר מלא סטנדרט",".GMS",IF(N35="גמר מלא טיוב חומרים",".GMC",IF(N35="גמר מינימלי",".GM",IF(N35="דירת שיווק",".DS","")))),""),IF(M35="זומן לטרום",".ZLT",IF(M35="טרום מסירה",".TM",IF(M35="טרום מסירה מהנדס",".TMM",IF(M35="מסירת חזקה",".MH",IF(M35="מסירת חזקה מהנדס",".MHM",""))))),".",VLOOKUP(Check[[#This Row],[טיפוס]],Tipus[],5,FALSE),".",VLOOKUP(Check[[#This Row],[מגדל]],Tower,2,FALSE),".Ap.",Check[[#This Row],[מספר דירה]])</f>
        <v>O.S.2C.TS.Ap.33</v>
      </c>
      <c r="C35" s="3" t="s">
        <v>55</v>
      </c>
      <c r="D35" s="3">
        <v>5</v>
      </c>
      <c r="E35" s="4">
        <v>33</v>
      </c>
      <c r="F35" s="3">
        <v>503</v>
      </c>
      <c r="G35" s="3" t="s">
        <v>8</v>
      </c>
      <c r="H35" s="3">
        <f>VLOOKUP(Check[[#This Row],[טיפוס]],Tipus[],2,FALSE)</f>
        <v>2</v>
      </c>
      <c r="I35" s="3" t="str">
        <f>VLOOKUP(Check[[#This Row],[טיפוס]],Tipus[],3,FALSE)</f>
        <v>סטנדרט</v>
      </c>
      <c r="J35" s="3" t="str">
        <f>VLOOKUP(Check[[#This Row],[טיפוס]],Tipus[],4,FALSE)</f>
        <v>E</v>
      </c>
      <c r="K35" s="3" t="str">
        <f>IF(Check[[#This Row],[סטטוס2]]="הולד","פנויה",Check[[#This Row],[סטטוס2]])</f>
        <v>בעלים</v>
      </c>
      <c r="L35" s="382" t="s">
        <v>91</v>
      </c>
      <c r="M35" s="382"/>
      <c r="N35" s="383"/>
      <c r="O35" s="383"/>
      <c r="P35" s="411"/>
      <c r="Q35" s="411"/>
      <c r="R35" s="383"/>
      <c r="S35" s="384">
        <v>44040</v>
      </c>
      <c r="T35" s="384" t="s">
        <v>382</v>
      </c>
      <c r="U35" s="385" t="s">
        <v>389</v>
      </c>
      <c r="V35" s="385" t="s">
        <v>214</v>
      </c>
      <c r="W35" s="385" t="s">
        <v>214</v>
      </c>
    </row>
    <row r="36" spans="1:23" x14ac:dyDescent="0.2">
      <c r="A36" s="13" t="str">
        <f>_xlfn.CONCAT(VLOOKUP(Check[[#This Row],[סטטוס]],Sold,2,FALSE),IF(Check[[#This Row],[סטטוס]]="פנויה",IF(N36="גמר מלא סטנדרט",".GMS",IF(N36="גמר מלא טיוב חומרים",".GMC",IF(N36="גמר מינימלי",".GM",IF(N36="דירת שיווק",".DS","")))),""),".",VLOOKUP(Check[[#This Row],[טיפוס]],Tipus[],5,FALSE),".",VLOOKUP(Check[[#This Row],[מגדל]],Tower,2,FALSE),".Ap.",Check[[#This Row],[מספר דירה]])</f>
        <v>O.S.3A.TS.Ap.34</v>
      </c>
      <c r="B36" s="13" t="str">
        <f>_xlfn.CONCAT(VLOOKUP(Check[[#This Row],[סטטוס]],Sold,2,FALSE),IF(Check[[#This Row],[סטטוס]]="פנויה",IF(N36="גמר מלא סטנדרט",".GMS",IF(N36="גמר מלא טיוב חומרים",".GMC",IF(N36="גמר מינימלי",".GM",IF(N36="דירת שיווק",".DS","")))),""),IF(M36="זומן לטרום",".ZLT",IF(M36="טרום מסירה",".TM",IF(M36="טרום מסירה מהנדס",".TMM",IF(M36="מסירת חזקה",".MH",IF(M36="מסירת חזקה מהנדס",".MHM",""))))),".",VLOOKUP(Check[[#This Row],[טיפוס]],Tipus[],5,FALSE),".",VLOOKUP(Check[[#This Row],[מגדל]],Tower,2,FALSE),".Ap.",Check[[#This Row],[מספר דירה]])</f>
        <v>O.TM.S.3A.TS.Ap.34</v>
      </c>
      <c r="C36" s="3" t="s">
        <v>55</v>
      </c>
      <c r="D36" s="3">
        <v>5</v>
      </c>
      <c r="E36" s="4">
        <v>34</v>
      </c>
      <c r="F36" s="3">
        <v>504</v>
      </c>
      <c r="G36" s="3" t="s">
        <v>9</v>
      </c>
      <c r="H36" s="3">
        <f>VLOOKUP(Check[[#This Row],[טיפוס]],Tipus[],2,FALSE)</f>
        <v>3</v>
      </c>
      <c r="I36" s="3" t="str">
        <f>VLOOKUP(Check[[#This Row],[טיפוס]],Tipus[],3,FALSE)</f>
        <v>סטנדרט</v>
      </c>
      <c r="J36" s="3" t="str">
        <f>VLOOKUP(Check[[#This Row],[טיפוס]],Tipus[],4,FALSE)</f>
        <v>D</v>
      </c>
      <c r="K36" s="3" t="str">
        <f>IF(Check[[#This Row],[סטטוס2]]="הולד","פנויה",Check[[#This Row],[סטטוס2]])</f>
        <v>בעלים</v>
      </c>
      <c r="L36" s="382" t="s">
        <v>91</v>
      </c>
      <c r="M36" s="382" t="s">
        <v>1420</v>
      </c>
      <c r="N36" s="383"/>
      <c r="O36" s="383"/>
      <c r="P36" s="411"/>
      <c r="Q36" s="411"/>
      <c r="R36" s="383"/>
      <c r="S36" s="384">
        <v>44040</v>
      </c>
      <c r="T36" s="384" t="s">
        <v>390</v>
      </c>
      <c r="U36" s="385" t="s">
        <v>391</v>
      </c>
      <c r="V36" s="385" t="s">
        <v>214</v>
      </c>
      <c r="W36" s="385" t="s">
        <v>284</v>
      </c>
    </row>
    <row r="37" spans="1:23" x14ac:dyDescent="0.2">
      <c r="A37" s="13" t="str">
        <f>_xlfn.CONCAT(VLOOKUP(Check[[#This Row],[סטטוס]],Sold,2,FALSE),IF(Check[[#This Row],[סטטוס]]="פנויה",IF(N37="גמר מלא סטנדרט",".GMS",IF(N37="גמר מלא טיוב חומרים",".GMC",IF(N37="גמר מינימלי",".GM",IF(N37="דירת שיווק",".DS","")))),""),".",VLOOKUP(Check[[#This Row],[טיפוס]],Tipus[],5,FALSE),".",VLOOKUP(Check[[#This Row],[מגדל]],Tower,2,FALSE),".Ap.",Check[[#This Row],[מספר דירה]])</f>
        <v>S.S.2D.TS.Ap.35</v>
      </c>
      <c r="B37" s="13" t="str">
        <f>_xlfn.CONCAT(VLOOKUP(Check[[#This Row],[סטטוס]],Sold,2,FALSE),IF(Check[[#This Row],[סטטוס]]="פנויה",IF(N37="גמר מלא סטנדרט",".GMS",IF(N37="גמר מלא טיוב חומרים",".GMC",IF(N37="גמר מינימלי",".GM",IF(N37="דירת שיווק",".DS","")))),""),IF(M37="זומן לטרום",".ZLT",IF(M37="טרום מסירה",".TM",IF(M37="טרום מסירה מהנדס",".TMM",IF(M37="מסירת חזקה",".MH",IF(M37="מסירת חזקה מהנדס",".MHM",""))))),".",VLOOKUP(Check[[#This Row],[טיפוס]],Tipus[],5,FALSE),".",VLOOKUP(Check[[#This Row],[מגדל]],Tower,2,FALSE),".Ap.",Check[[#This Row],[מספר דירה]])</f>
        <v>S.TM.S.2D.TS.Ap.35</v>
      </c>
      <c r="C37" s="3" t="s">
        <v>55</v>
      </c>
      <c r="D37" s="3">
        <v>5</v>
      </c>
      <c r="E37" s="4">
        <v>35</v>
      </c>
      <c r="F37" s="3">
        <v>505</v>
      </c>
      <c r="G37" s="3" t="s">
        <v>10</v>
      </c>
      <c r="H37" s="3">
        <f>VLOOKUP(Check[[#This Row],[טיפוס]],Tipus[],2,FALSE)</f>
        <v>2</v>
      </c>
      <c r="I37" s="3" t="str">
        <f>VLOOKUP(Check[[#This Row],[טיפוס]],Tipus[],3,FALSE)</f>
        <v>סטנדרט</v>
      </c>
      <c r="J37" s="3" t="str">
        <f>VLOOKUP(Check[[#This Row],[טיפוס]],Tipus[],4,FALSE)</f>
        <v>C</v>
      </c>
      <c r="K37" s="3" t="str">
        <f>IF(Check[[#This Row],[סטטוס2]]="הולד","פנויה",Check[[#This Row],[סטטוס2]])</f>
        <v>מכורה</v>
      </c>
      <c r="L37" s="382" t="s">
        <v>130</v>
      </c>
      <c r="M37" s="382" t="s">
        <v>1420</v>
      </c>
      <c r="N37" s="383"/>
      <c r="O37" s="383"/>
      <c r="P37" s="411"/>
      <c r="Q37" s="411"/>
      <c r="R37" s="383"/>
      <c r="S37" s="386">
        <v>44518</v>
      </c>
      <c r="T37" s="386" t="s">
        <v>1090</v>
      </c>
      <c r="U37" s="387"/>
      <c r="V37" s="387"/>
      <c r="W37" s="387"/>
    </row>
    <row r="38" spans="1:23" x14ac:dyDescent="0.2">
      <c r="A38" s="13" t="str">
        <f>_xlfn.CONCAT(VLOOKUP(Check[[#This Row],[סטטוס]],Sold,2,FALSE),IF(Check[[#This Row],[סטטוס]]="פנויה",IF(N38="גמר מלא סטנדרט",".GMS",IF(N38="גמר מלא טיוב חומרים",".GMC",IF(N38="גמר מינימלי",".GM",IF(N38="דירת שיווק",".DS","")))),""),".",VLOOKUP(Check[[#This Row],[טיפוס]],Tipus[],5,FALSE),".",VLOOKUP(Check[[#This Row],[מגדל]],Tower,2,FALSE),".Ap.",Check[[#This Row],[מספר דירה]])</f>
        <v>S.S.2E.TS.Ap.36</v>
      </c>
      <c r="B38" s="13" t="str">
        <f>_xlfn.CONCAT(VLOOKUP(Check[[#This Row],[סטטוס]],Sold,2,FALSE),IF(Check[[#This Row],[סטטוס]]="פנויה",IF(N38="גמר מלא סטנדרט",".GMS",IF(N38="גמר מלא טיוב חומרים",".GMC",IF(N38="גמר מינימלי",".GM",IF(N38="דירת שיווק",".DS","")))),""),IF(M38="זומן לטרום",".ZLT",IF(M38="טרום מסירה",".TM",IF(M38="טרום מסירה מהנדס",".TMM",IF(M38="מסירת חזקה",".MH",IF(M38="מסירת חזקה מהנדס",".MHM",""))))),".",VLOOKUP(Check[[#This Row],[טיפוס]],Tipus[],5,FALSE),".",VLOOKUP(Check[[#This Row],[מגדל]],Tower,2,FALSE),".Ap.",Check[[#This Row],[מספר דירה]])</f>
        <v>S.TM.S.2E.TS.Ap.36</v>
      </c>
      <c r="C38" s="3" t="s">
        <v>55</v>
      </c>
      <c r="D38" s="3">
        <v>5</v>
      </c>
      <c r="E38" s="4">
        <v>36</v>
      </c>
      <c r="F38" s="3">
        <v>506</v>
      </c>
      <c r="G38" s="3" t="s">
        <v>11</v>
      </c>
      <c r="H38" s="3">
        <f>VLOOKUP(Check[[#This Row],[טיפוס]],Tipus[],2,FALSE)</f>
        <v>2</v>
      </c>
      <c r="I38" s="3" t="str">
        <f>VLOOKUP(Check[[#This Row],[טיפוס]],Tipus[],3,FALSE)</f>
        <v>סטנדרט</v>
      </c>
      <c r="J38" s="3" t="str">
        <f>VLOOKUP(Check[[#This Row],[טיפוס]],Tipus[],4,FALSE)</f>
        <v>B</v>
      </c>
      <c r="K38" s="3" t="str">
        <f>IF(Check[[#This Row],[סטטוס2]]="הולד","פנויה",Check[[#This Row],[סטטוס2]])</f>
        <v>מכורה</v>
      </c>
      <c r="L38" s="382" t="s">
        <v>130</v>
      </c>
      <c r="M38" s="382" t="s">
        <v>1420</v>
      </c>
      <c r="N38" s="383"/>
      <c r="O38" s="383"/>
      <c r="P38" s="411"/>
      <c r="Q38" s="411"/>
      <c r="R38" s="383"/>
      <c r="S38" s="386">
        <v>44783</v>
      </c>
      <c r="T38" s="386" t="s">
        <v>1291</v>
      </c>
      <c r="U38" s="387"/>
      <c r="V38" s="387"/>
      <c r="W38" s="387"/>
    </row>
    <row r="39" spans="1:23" x14ac:dyDescent="0.2">
      <c r="A39" s="13" t="str">
        <f>_xlfn.CONCAT(VLOOKUP(Check[[#This Row],[סטטוס]],Sold,2,FALSE),IF(Check[[#This Row],[סטטוס]]="פנויה",IF(N39="גמר מלא סטנדרט",".GMS",IF(N39="גמר מלא טיוב חומרים",".GMC",IF(N39="גמר מינימלי",".GM",IF(N39="דירת שיווק",".DS","")))),""),".",VLOOKUP(Check[[#This Row],[טיפוס]],Tipus[],5,FALSE),".",VLOOKUP(Check[[#This Row],[מגדל]],Tower,2,FALSE),".Ap.",Check[[#This Row],[מספר דירה]])</f>
        <v>O.S.2F.TS.Ap.37</v>
      </c>
      <c r="B39" s="13" t="str">
        <f>_xlfn.CONCAT(VLOOKUP(Check[[#This Row],[סטטוס]],Sold,2,FALSE),IF(Check[[#This Row],[סטטוס]]="פנויה",IF(N39="גמר מלא סטנדרט",".GMS",IF(N39="גמר מלא טיוב חומרים",".GMC",IF(N39="גמר מינימלי",".GM",IF(N39="דירת שיווק",".DS","")))),""),IF(M39="זומן לטרום",".ZLT",IF(M39="טרום מסירה",".TM",IF(M39="טרום מסירה מהנדס",".TMM",IF(M39="מסירת חזקה",".MH",IF(M39="מסירת חזקה מהנדס",".MHM",""))))),".",VLOOKUP(Check[[#This Row],[טיפוס]],Tipus[],5,FALSE),".",VLOOKUP(Check[[#This Row],[מגדל]],Tower,2,FALSE),".Ap.",Check[[#This Row],[מספר דירה]])</f>
        <v>O.S.2F.TS.Ap.37</v>
      </c>
      <c r="C39" s="3" t="s">
        <v>55</v>
      </c>
      <c r="D39" s="3">
        <v>5</v>
      </c>
      <c r="E39" s="4">
        <v>37</v>
      </c>
      <c r="F39" s="3">
        <v>507</v>
      </c>
      <c r="G39" s="3" t="s">
        <v>12</v>
      </c>
      <c r="H39" s="3">
        <f>VLOOKUP(Check[[#This Row],[טיפוס]],Tipus[],2,FALSE)</f>
        <v>2</v>
      </c>
      <c r="I39" s="3" t="str">
        <f>VLOOKUP(Check[[#This Row],[טיפוס]],Tipus[],3,FALSE)</f>
        <v>סטנדרט</v>
      </c>
      <c r="J39" s="3" t="str">
        <f>VLOOKUP(Check[[#This Row],[טיפוס]],Tipus[],4,FALSE)</f>
        <v>A</v>
      </c>
      <c r="K39" s="3" t="str">
        <f>IF(Check[[#This Row],[סטטוס2]]="הולד","פנויה",Check[[#This Row],[סטטוס2]])</f>
        <v>בעלים</v>
      </c>
      <c r="L39" s="382" t="s">
        <v>91</v>
      </c>
      <c r="M39" s="382"/>
      <c r="N39" s="383"/>
      <c r="O39" s="383"/>
      <c r="P39" s="411"/>
      <c r="Q39" s="411"/>
      <c r="R39" s="383"/>
      <c r="S39" s="384">
        <v>44040</v>
      </c>
      <c r="T39" s="384" t="s">
        <v>392</v>
      </c>
      <c r="U39" s="385" t="s">
        <v>393</v>
      </c>
      <c r="V39" s="385" t="s">
        <v>214</v>
      </c>
      <c r="W39" s="385" t="s">
        <v>237</v>
      </c>
    </row>
    <row r="40" spans="1:23" x14ac:dyDescent="0.2">
      <c r="A40" s="13" t="str">
        <f>_xlfn.CONCAT(VLOOKUP(Check[[#This Row],[סטטוס]],Sold,2,FALSE),IF(Check[[#This Row],[סטטוס]]="פנויה",IF(N40="גמר מלא סטנדרט",".GMS",IF(N40="גמר מלא טיוב חומרים",".GMC",IF(N40="גמר מינימלי",".GM",IF(N40="דירת שיווק",".DS","")))),""),".",VLOOKUP(Check[[#This Row],[טיפוס]],Tipus[],5,FALSE),".",VLOOKUP(Check[[#This Row],[מגדל]],Tower,2,FALSE),".Ap.",Check[[#This Row],[מספר דירה]])</f>
        <v>V.GMS.S.4A.TS.Ap.38</v>
      </c>
      <c r="B40" s="13" t="str">
        <f>_xlfn.CONCAT(VLOOKUP(Check[[#This Row],[סטטוס]],Sold,2,FALSE),IF(Check[[#This Row],[סטטוס]]="פנויה",IF(N40="גמר מלא סטנדרט",".GMS",IF(N40="גמר מלא טיוב חומרים",".GMC",IF(N40="גמר מינימלי",".GM",IF(N40="דירת שיווק",".DS","")))),""),IF(M40="זומן לטרום",".ZLT",IF(M40="טרום מסירה",".TM",IF(M40="טרום מסירה מהנדס",".TMM",IF(M40="מסירת חזקה",".MH",IF(M40="מסירת חזקה מהנדס",".MHM",""))))),".",VLOOKUP(Check[[#This Row],[טיפוס]],Tipus[],5,FALSE),".",VLOOKUP(Check[[#This Row],[מגדל]],Tower,2,FALSE),".Ap.",Check[[#This Row],[מספר דירה]])</f>
        <v>V.GMS.S.4A.TS.Ap.38</v>
      </c>
      <c r="C40" s="3" t="s">
        <v>55</v>
      </c>
      <c r="D40" s="3">
        <v>5</v>
      </c>
      <c r="E40" s="4">
        <v>38</v>
      </c>
      <c r="F40" s="3">
        <v>508</v>
      </c>
      <c r="G40" s="3" t="s">
        <v>14</v>
      </c>
      <c r="H40" s="3">
        <f>VLOOKUP(Check[[#This Row],[טיפוס]],Tipus[],2,FALSE)</f>
        <v>4</v>
      </c>
      <c r="I40" s="3" t="str">
        <f>VLOOKUP(Check[[#This Row],[טיפוס]],Tipus[],3,FALSE)</f>
        <v>סטנדרט</v>
      </c>
      <c r="J40" s="3" t="str">
        <f>VLOOKUP(Check[[#This Row],[טיפוס]],Tipus[],4,FALSE)</f>
        <v>J</v>
      </c>
      <c r="K40" s="3" t="str">
        <f>IF(Check[[#This Row],[סטטוס2]]="הולד","פנויה",Check[[#This Row],[סטטוס2]])</f>
        <v>פנויה</v>
      </c>
      <c r="L40" s="382" t="s">
        <v>108</v>
      </c>
      <c r="M40" s="382"/>
      <c r="N40" t="s">
        <v>1367</v>
      </c>
      <c r="O40" s="383" t="s">
        <v>1390</v>
      </c>
      <c r="P40" s="410" t="s">
        <v>1389</v>
      </c>
      <c r="Q40" s="410"/>
      <c r="R40" s="383"/>
      <c r="S40" s="384"/>
      <c r="T40" s="384" t="s">
        <v>214</v>
      </c>
      <c r="U40" s="385"/>
      <c r="V40" s="385"/>
      <c r="W40" s="387"/>
    </row>
    <row r="41" spans="1:23" x14ac:dyDescent="0.2">
      <c r="A41" s="13" t="str">
        <f>_xlfn.CONCAT(VLOOKUP(Check[[#This Row],[סטטוס]],Sold,2,FALSE),IF(Check[[#This Row],[סטטוס]]="פנויה",IF(N41="גמר מלא סטנדרט",".GMS",IF(N41="גמר מלא טיוב חומרים",".GMC",IF(N41="גמר מינימלי",".GM",IF(N41="דירת שיווק",".DS","")))),""),".",VLOOKUP(Check[[#This Row],[טיפוס]],Tipus[],5,FALSE),".",VLOOKUP(Check[[#This Row],[מגדל]],Tower,2,FALSE),".Ap.",Check[[#This Row],[מספר דירה]])</f>
        <v>O.S.2G.TS.Ap.39</v>
      </c>
      <c r="B41" s="13" t="str">
        <f>_xlfn.CONCAT(VLOOKUP(Check[[#This Row],[סטטוס]],Sold,2,FALSE),IF(Check[[#This Row],[סטטוס]]="פנויה",IF(N41="גמר מלא סטנדרט",".GMS",IF(N41="גמר מלא טיוב חומרים",".GMC",IF(N41="גמר מינימלי",".GM",IF(N41="דירת שיווק",".DS","")))),""),IF(M41="זומן לטרום",".ZLT",IF(M41="טרום מסירה",".TM",IF(M41="טרום מסירה מהנדס",".TMM",IF(M41="מסירת חזקה",".MH",IF(M41="מסירת חזקה מהנדס",".MHM",""))))),".",VLOOKUP(Check[[#This Row],[טיפוס]],Tipus[],5,FALSE),".",VLOOKUP(Check[[#This Row],[מגדל]],Tower,2,FALSE),".Ap.",Check[[#This Row],[מספר דירה]])</f>
        <v>O.TM.S.2G.TS.Ap.39</v>
      </c>
      <c r="C41" s="3" t="s">
        <v>55</v>
      </c>
      <c r="D41" s="3">
        <v>5</v>
      </c>
      <c r="E41" s="4">
        <v>39</v>
      </c>
      <c r="F41" s="3">
        <v>509</v>
      </c>
      <c r="G41" s="3" t="s">
        <v>15</v>
      </c>
      <c r="H41" s="3">
        <f>VLOOKUP(Check[[#This Row],[טיפוס]],Tipus[],2,FALSE)</f>
        <v>2</v>
      </c>
      <c r="I41" s="3" t="str">
        <f>VLOOKUP(Check[[#This Row],[טיפוס]],Tipus[],3,FALSE)</f>
        <v>סטנדרט</v>
      </c>
      <c r="J41" s="3" t="str">
        <f>VLOOKUP(Check[[#This Row],[טיפוס]],Tipus[],4,FALSE)</f>
        <v>I</v>
      </c>
      <c r="K41" s="3" t="str">
        <f>IF(Check[[#This Row],[סטטוס2]]="הולד","פנויה",Check[[#This Row],[סטטוס2]])</f>
        <v>בעלים</v>
      </c>
      <c r="L41" s="382" t="s">
        <v>91</v>
      </c>
      <c r="M41" s="382" t="s">
        <v>1420</v>
      </c>
      <c r="N41" s="383"/>
      <c r="O41" s="383"/>
      <c r="P41" s="411"/>
      <c r="Q41" s="411"/>
      <c r="R41" s="383"/>
      <c r="S41" s="384">
        <v>44040</v>
      </c>
      <c r="T41" s="384" t="s">
        <v>392</v>
      </c>
      <c r="U41" s="385" t="s">
        <v>394</v>
      </c>
      <c r="V41" s="385" t="s">
        <v>214</v>
      </c>
      <c r="W41" s="385" t="s">
        <v>214</v>
      </c>
    </row>
    <row r="42" spans="1:23" x14ac:dyDescent="0.2">
      <c r="A42" s="13" t="str">
        <f>_xlfn.CONCAT(VLOOKUP(Check[[#This Row],[סטטוס]],Sold,2,FALSE),IF(Check[[#This Row],[סטטוס]]="פנויה",IF(N42="גמר מלא סטנדרט",".GMS",IF(N42="גמר מלא טיוב חומרים",".GMC",IF(N42="גמר מינימלי",".GM",IF(N42="דירת שיווק",".DS","")))),""),".",VLOOKUP(Check[[#This Row],[טיפוס]],Tipus[],5,FALSE),".",VLOOKUP(Check[[#This Row],[מגדל]],Tower,2,FALSE),".Ap.",Check[[#This Row],[מספר דירה]])</f>
        <v>V.GMS.S.4B.TS.Ap.40</v>
      </c>
      <c r="B42" s="13" t="str">
        <f>_xlfn.CONCAT(VLOOKUP(Check[[#This Row],[סטטוס]],Sold,2,FALSE),IF(Check[[#This Row],[סטטוס]]="פנויה",IF(N42="גמר מלא סטנדרט",".GMS",IF(N42="גמר מלא טיוב חומרים",".GMC",IF(N42="גמר מינימלי",".GM",IF(N42="דירת שיווק",".DS","")))),""),IF(M42="זומן לטרום",".ZLT",IF(M42="טרום מסירה",".TM",IF(M42="טרום מסירה מהנדס",".TMM",IF(M42="מסירת חזקה",".MH",IF(M42="מסירת חזקה מהנדס",".MHM",""))))),".",VLOOKUP(Check[[#This Row],[טיפוס]],Tipus[],5,FALSE),".",VLOOKUP(Check[[#This Row],[מגדל]],Tower,2,FALSE),".Ap.",Check[[#This Row],[מספר דירה]])</f>
        <v>V.GMS.S.4B.TS.Ap.40</v>
      </c>
      <c r="C42" s="3" t="s">
        <v>55</v>
      </c>
      <c r="D42" s="3">
        <v>5</v>
      </c>
      <c r="E42" s="4">
        <v>40</v>
      </c>
      <c r="F42" s="3">
        <v>510</v>
      </c>
      <c r="G42" s="3" t="s">
        <v>16</v>
      </c>
      <c r="H42" s="3">
        <f>VLOOKUP(Check[[#This Row],[טיפוס]],Tipus[],2,FALSE)</f>
        <v>4</v>
      </c>
      <c r="I42" s="3" t="str">
        <f>VLOOKUP(Check[[#This Row],[טיפוס]],Tipus[],3,FALSE)</f>
        <v>סטנדרט</v>
      </c>
      <c r="J42" s="3" t="str">
        <f>VLOOKUP(Check[[#This Row],[טיפוס]],Tipus[],4,FALSE)</f>
        <v>H</v>
      </c>
      <c r="K42" s="3" t="str">
        <f>IF(Check[[#This Row],[סטטוס2]]="הולד","פנויה",Check[[#This Row],[סטטוס2]])</f>
        <v>פנויה</v>
      </c>
      <c r="L42" s="382" t="s">
        <v>108</v>
      </c>
      <c r="M42" s="382"/>
      <c r="N42" t="s">
        <v>1367</v>
      </c>
      <c r="O42" s="383" t="s">
        <v>1390</v>
      </c>
      <c r="P42" s="410" t="s">
        <v>1389</v>
      </c>
      <c r="Q42" s="410"/>
      <c r="R42" s="383"/>
      <c r="S42" s="384"/>
      <c r="T42" s="384" t="s">
        <v>214</v>
      </c>
      <c r="U42" s="385"/>
      <c r="V42" s="385"/>
      <c r="W42" s="387"/>
    </row>
    <row r="43" spans="1:23" x14ac:dyDescent="0.2">
      <c r="A43" s="13" t="str">
        <f>_xlfn.CONCAT(VLOOKUP(Check[[#This Row],[סטטוס]],Sold,2,FALSE),IF(Check[[#This Row],[סטטוס]]="פנויה",IF(N43="גמר מלא סטנדרט",".GMS",IF(N43="גמר מלא טיוב חומרים",".GMC",IF(N43="גמר מינימלי",".GM",IF(N43="דירת שיווק",".DS","")))),""),".",VLOOKUP(Check[[#This Row],[טיפוס]],Tipus[],5,FALSE),".",VLOOKUP(Check[[#This Row],[מגדל]],Tower,2,FALSE),".Ap.",Check[[#This Row],[מספר דירה]])</f>
        <v>S.S.2A.TS.Ap.41</v>
      </c>
      <c r="B43" s="13" t="str">
        <f>_xlfn.CONCAT(VLOOKUP(Check[[#This Row],[סטטוס]],Sold,2,FALSE),IF(Check[[#This Row],[סטטוס]]="פנויה",IF(N43="גמר מלא סטנדרט",".GMS",IF(N43="גמר מלא טיוב חומרים",".GMC",IF(N43="גמר מינימלי",".GM",IF(N43="דירת שיווק",".DS","")))),""),IF(M43="זומן לטרום",".ZLT",IF(M43="טרום מסירה",".TM",IF(M43="טרום מסירה מהנדס",".TMM",IF(M43="מסירת חזקה",".MH",IF(M43="מסירת חזקה מהנדס",".MHM",""))))),".",VLOOKUP(Check[[#This Row],[טיפוס]],Tipus[],5,FALSE),".",VLOOKUP(Check[[#This Row],[מגדל]],Tower,2,FALSE),".Ap.",Check[[#This Row],[מספר דירה]])</f>
        <v>S.S.2A.TS.Ap.41</v>
      </c>
      <c r="C43" s="3" t="s">
        <v>55</v>
      </c>
      <c r="D43" s="3">
        <v>6</v>
      </c>
      <c r="E43" s="4">
        <v>41</v>
      </c>
      <c r="F43" s="3">
        <v>601</v>
      </c>
      <c r="G43" s="3" t="s">
        <v>6</v>
      </c>
      <c r="H43" s="3">
        <f>VLOOKUP(Check[[#This Row],[טיפוס]],Tipus[],2,FALSE)</f>
        <v>2</v>
      </c>
      <c r="I43" s="3" t="str">
        <f>VLOOKUP(Check[[#This Row],[טיפוס]],Tipus[],3,FALSE)</f>
        <v>סטנדרט</v>
      </c>
      <c r="J43" s="3" t="str">
        <f>VLOOKUP(Check[[#This Row],[טיפוס]],Tipus[],4,FALSE)</f>
        <v>G</v>
      </c>
      <c r="K43" s="3" t="str">
        <f>IF(Check[[#This Row],[סטטוס2]]="הולד","פנויה",Check[[#This Row],[סטטוס2]])</f>
        <v>מכורה</v>
      </c>
      <c r="L43" s="382" t="s">
        <v>130</v>
      </c>
      <c r="M43" s="382"/>
      <c r="N43" s="383"/>
      <c r="O43" s="383"/>
      <c r="P43" s="411"/>
      <c r="Q43" s="411"/>
      <c r="R43" s="383"/>
      <c r="S43" s="386">
        <v>44544</v>
      </c>
      <c r="T43" s="386" t="s">
        <v>1091</v>
      </c>
      <c r="U43" s="387"/>
      <c r="V43" s="387"/>
      <c r="W43" s="387"/>
    </row>
    <row r="44" spans="1:23" x14ac:dyDescent="0.2">
      <c r="A44" s="13" t="str">
        <f>_xlfn.CONCAT(VLOOKUP(Check[[#This Row],[סטטוס]],Sold,2,FALSE),IF(Check[[#This Row],[סטטוס]]="פנויה",IF(N44="גמר מלא סטנדרט",".GMS",IF(N44="גמר מלא טיוב חומרים",".GMC",IF(N44="גמר מינימלי",".GM",IF(N44="דירת שיווק",".DS","")))),""),".",VLOOKUP(Check[[#This Row],[טיפוס]],Tipus[],5,FALSE),".",VLOOKUP(Check[[#This Row],[מגדל]],Tower,2,FALSE),".Ap.",Check[[#This Row],[מספר דירה]])</f>
        <v>O.S.2B.TS.Ap.42</v>
      </c>
      <c r="B44" s="13" t="str">
        <f>_xlfn.CONCAT(VLOOKUP(Check[[#This Row],[סטטוס]],Sold,2,FALSE),IF(Check[[#This Row],[סטטוס]]="פנויה",IF(N44="גמר מלא סטנדרט",".GMS",IF(N44="גמר מלא טיוב חומרים",".GMC",IF(N44="גמר מינימלי",".GM",IF(N44="דירת שיווק",".DS","")))),""),IF(M44="זומן לטרום",".ZLT",IF(M44="טרום מסירה",".TM",IF(M44="טרום מסירה מהנדס",".TMM",IF(M44="מסירת חזקה",".MH",IF(M44="מסירת חזקה מהנדס",".MHM",""))))),".",VLOOKUP(Check[[#This Row],[טיפוס]],Tipus[],5,FALSE),".",VLOOKUP(Check[[#This Row],[מגדל]],Tower,2,FALSE),".Ap.",Check[[#This Row],[מספר דירה]])</f>
        <v>O.TM.S.2B.TS.Ap.42</v>
      </c>
      <c r="C44" s="3" t="s">
        <v>55</v>
      </c>
      <c r="D44" s="3">
        <v>6</v>
      </c>
      <c r="E44" s="4">
        <v>42</v>
      </c>
      <c r="F44" s="3">
        <v>602</v>
      </c>
      <c r="G44" s="3" t="s">
        <v>7</v>
      </c>
      <c r="H44" s="3">
        <f>VLOOKUP(Check[[#This Row],[טיפוס]],Tipus[],2,FALSE)</f>
        <v>2</v>
      </c>
      <c r="I44" s="3" t="str">
        <f>VLOOKUP(Check[[#This Row],[טיפוס]],Tipus[],3,FALSE)</f>
        <v>סטנדרט</v>
      </c>
      <c r="J44" s="3" t="str">
        <f>VLOOKUP(Check[[#This Row],[טיפוס]],Tipus[],4,FALSE)</f>
        <v>F</v>
      </c>
      <c r="K44" s="3" t="str">
        <f>IF(Check[[#This Row],[סטטוס2]]="הולד","פנויה",Check[[#This Row],[סטטוס2]])</f>
        <v>בעלים</v>
      </c>
      <c r="L44" s="382" t="s">
        <v>91</v>
      </c>
      <c r="M44" s="382" t="s">
        <v>1420</v>
      </c>
      <c r="N44" s="383"/>
      <c r="O44" s="383"/>
      <c r="P44" s="411"/>
      <c r="Q44" s="411"/>
      <c r="R44" s="383"/>
      <c r="S44" s="384">
        <v>44040</v>
      </c>
      <c r="T44" s="384" t="s">
        <v>390</v>
      </c>
      <c r="U44" s="385" t="s">
        <v>395</v>
      </c>
      <c r="V44" s="385" t="s">
        <v>214</v>
      </c>
      <c r="W44" s="385" t="s">
        <v>214</v>
      </c>
    </row>
    <row r="45" spans="1:23" x14ac:dyDescent="0.2">
      <c r="A45" s="13" t="str">
        <f>_xlfn.CONCAT(VLOOKUP(Check[[#This Row],[סטטוס]],Sold,2,FALSE),IF(Check[[#This Row],[סטטוס]]="פנויה",IF(N45="גמר מלא סטנדרט",".GMS",IF(N45="גמר מלא טיוב חומרים",".GMC",IF(N45="גמר מינימלי",".GM",IF(N45="דירת שיווק",".DS","")))),""),".",VLOOKUP(Check[[#This Row],[טיפוס]],Tipus[],5,FALSE),".",VLOOKUP(Check[[#This Row],[מגדל]],Tower,2,FALSE),".Ap.",Check[[#This Row],[מספר דירה]])</f>
        <v>O.S.2C.TS.Ap.43</v>
      </c>
      <c r="B45" s="13" t="str">
        <f>_xlfn.CONCAT(VLOOKUP(Check[[#This Row],[סטטוס]],Sold,2,FALSE),IF(Check[[#This Row],[סטטוס]]="פנויה",IF(N45="גמר מלא סטנדרט",".GMS",IF(N45="גמר מלא טיוב חומרים",".GMC",IF(N45="גמר מינימלי",".GM",IF(N45="דירת שיווק",".DS","")))),""),IF(M45="זומן לטרום",".ZLT",IF(M45="טרום מסירה",".TM",IF(M45="טרום מסירה מהנדס",".TMM",IF(M45="מסירת חזקה",".MH",IF(M45="מסירת חזקה מהנדס",".MHM",""))))),".",VLOOKUP(Check[[#This Row],[טיפוס]],Tipus[],5,FALSE),".",VLOOKUP(Check[[#This Row],[מגדל]],Tower,2,FALSE),".Ap.",Check[[#This Row],[מספר דירה]])</f>
        <v>O.S.2C.TS.Ap.43</v>
      </c>
      <c r="C45" s="3" t="s">
        <v>55</v>
      </c>
      <c r="D45" s="3">
        <v>6</v>
      </c>
      <c r="E45" s="4">
        <v>43</v>
      </c>
      <c r="F45" s="3">
        <v>603</v>
      </c>
      <c r="G45" s="3" t="s">
        <v>8</v>
      </c>
      <c r="H45" s="3">
        <f>VLOOKUP(Check[[#This Row],[טיפוס]],Tipus[],2,FALSE)</f>
        <v>2</v>
      </c>
      <c r="I45" s="3" t="str">
        <f>VLOOKUP(Check[[#This Row],[טיפוס]],Tipus[],3,FALSE)</f>
        <v>סטנדרט</v>
      </c>
      <c r="J45" s="3" t="str">
        <f>VLOOKUP(Check[[#This Row],[טיפוס]],Tipus[],4,FALSE)</f>
        <v>E</v>
      </c>
      <c r="K45" s="3" t="str">
        <f>IF(Check[[#This Row],[סטטוס2]]="הולד","פנויה",Check[[#This Row],[סטטוס2]])</f>
        <v>בעלים</v>
      </c>
      <c r="L45" s="382" t="s">
        <v>91</v>
      </c>
      <c r="M45" s="382"/>
      <c r="N45" s="383"/>
      <c r="O45" s="383"/>
      <c r="P45" s="411"/>
      <c r="Q45" s="411"/>
      <c r="R45" s="383"/>
      <c r="S45" s="384">
        <v>44040</v>
      </c>
      <c r="T45" s="384" t="s">
        <v>396</v>
      </c>
      <c r="U45" s="385" t="s">
        <v>397</v>
      </c>
      <c r="V45" s="385" t="s">
        <v>214</v>
      </c>
      <c r="W45" s="385" t="s">
        <v>221</v>
      </c>
    </row>
    <row r="46" spans="1:23" x14ac:dyDescent="0.2">
      <c r="A46" s="13" t="str">
        <f>_xlfn.CONCAT(VLOOKUP(Check[[#This Row],[סטטוס]],Sold,2,FALSE),IF(Check[[#This Row],[סטטוס]]="פנויה",IF(N46="גמר מלא סטנדרט",".GMS",IF(N46="גמר מלא טיוב חומרים",".GMC",IF(N46="גמר מינימלי",".GM",IF(N46="דירת שיווק",".DS","")))),""),".",VLOOKUP(Check[[#This Row],[טיפוס]],Tipus[],5,FALSE),".",VLOOKUP(Check[[#This Row],[מגדל]],Tower,2,FALSE),".Ap.",Check[[#This Row],[מספר דירה]])</f>
        <v>O.S.3A.TS.Ap.44</v>
      </c>
      <c r="B46" s="13" t="str">
        <f>_xlfn.CONCAT(VLOOKUP(Check[[#This Row],[סטטוס]],Sold,2,FALSE),IF(Check[[#This Row],[סטטוס]]="פנויה",IF(N46="גמר מלא סטנדרט",".GMS",IF(N46="גמר מלא טיוב חומרים",".GMC",IF(N46="גמר מינימלי",".GM",IF(N46="דירת שיווק",".DS","")))),""),IF(M46="זומן לטרום",".ZLT",IF(M46="טרום מסירה",".TM",IF(M46="טרום מסירה מהנדס",".TMM",IF(M46="מסירת חזקה",".MH",IF(M46="מסירת חזקה מהנדס",".MHM",""))))),".",VLOOKUP(Check[[#This Row],[טיפוס]],Tipus[],5,FALSE),".",VLOOKUP(Check[[#This Row],[מגדל]],Tower,2,FALSE),".Ap.",Check[[#This Row],[מספר דירה]])</f>
        <v>O.S.3A.TS.Ap.44</v>
      </c>
      <c r="C46" s="3" t="s">
        <v>55</v>
      </c>
      <c r="D46" s="3">
        <v>6</v>
      </c>
      <c r="E46" s="4">
        <v>44</v>
      </c>
      <c r="F46" s="3">
        <v>604</v>
      </c>
      <c r="G46" s="3" t="s">
        <v>9</v>
      </c>
      <c r="H46" s="3">
        <f>VLOOKUP(Check[[#This Row],[טיפוס]],Tipus[],2,FALSE)</f>
        <v>3</v>
      </c>
      <c r="I46" s="3" t="str">
        <f>VLOOKUP(Check[[#This Row],[טיפוס]],Tipus[],3,FALSE)</f>
        <v>סטנדרט</v>
      </c>
      <c r="J46" s="3" t="str">
        <f>VLOOKUP(Check[[#This Row],[טיפוס]],Tipus[],4,FALSE)</f>
        <v>D</v>
      </c>
      <c r="K46" s="3" t="str">
        <f>IF(Check[[#This Row],[סטטוס2]]="הולד","פנויה",Check[[#This Row],[סטטוס2]])</f>
        <v>בעלים</v>
      </c>
      <c r="L46" s="382" t="s">
        <v>91</v>
      </c>
      <c r="M46" s="382"/>
      <c r="N46" s="383"/>
      <c r="O46" s="383"/>
      <c r="P46" s="411"/>
      <c r="Q46" s="411"/>
      <c r="R46" s="383"/>
      <c r="S46" s="384">
        <v>44040</v>
      </c>
      <c r="T46" s="384" t="s">
        <v>396</v>
      </c>
      <c r="U46" s="385" t="s">
        <v>398</v>
      </c>
      <c r="V46" s="385" t="s">
        <v>214</v>
      </c>
      <c r="W46" s="385" t="s">
        <v>214</v>
      </c>
    </row>
    <row r="47" spans="1:23" x14ac:dyDescent="0.2">
      <c r="A47" s="13" t="str">
        <f>_xlfn.CONCAT(VLOOKUP(Check[[#This Row],[סטטוס]],Sold,2,FALSE),IF(Check[[#This Row],[סטטוס]]="פנויה",IF(N47="גמר מלא סטנדרט",".GMS",IF(N47="גמר מלא טיוב חומרים",".GMC",IF(N47="גמר מינימלי",".GM",IF(N47="דירת שיווק",".DS","")))),""),".",VLOOKUP(Check[[#This Row],[טיפוס]],Tipus[],5,FALSE),".",VLOOKUP(Check[[#This Row],[מגדל]],Tower,2,FALSE),".Ap.",Check[[#This Row],[מספר דירה]])</f>
        <v>O.S.2D.TS.Ap.45</v>
      </c>
      <c r="B47" s="13" t="str">
        <f>_xlfn.CONCAT(VLOOKUP(Check[[#This Row],[סטטוס]],Sold,2,FALSE),IF(Check[[#This Row],[סטטוס]]="פנויה",IF(N47="גמר מלא סטנדרט",".GMS",IF(N47="גמר מלא טיוב חומרים",".GMC",IF(N47="גמר מינימלי",".GM",IF(N47="דירת שיווק",".DS","")))),""),IF(M47="זומן לטרום",".ZLT",IF(M47="טרום מסירה",".TM",IF(M47="טרום מסירה מהנדס",".TMM",IF(M47="מסירת חזקה",".MH",IF(M47="מסירת חזקה מהנדס",".MHM",""))))),".",VLOOKUP(Check[[#This Row],[טיפוס]],Tipus[],5,FALSE),".",VLOOKUP(Check[[#This Row],[מגדל]],Tower,2,FALSE),".Ap.",Check[[#This Row],[מספר דירה]])</f>
        <v>O.TM.S.2D.TS.Ap.45</v>
      </c>
      <c r="C47" s="3" t="s">
        <v>55</v>
      </c>
      <c r="D47" s="3">
        <v>6</v>
      </c>
      <c r="E47" s="4">
        <v>45</v>
      </c>
      <c r="F47" s="3">
        <v>605</v>
      </c>
      <c r="G47" s="3" t="s">
        <v>10</v>
      </c>
      <c r="H47" s="3">
        <f>VLOOKUP(Check[[#This Row],[טיפוס]],Tipus[],2,FALSE)</f>
        <v>2</v>
      </c>
      <c r="I47" s="3" t="str">
        <f>VLOOKUP(Check[[#This Row],[טיפוס]],Tipus[],3,FALSE)</f>
        <v>סטנדרט</v>
      </c>
      <c r="J47" s="3" t="str">
        <f>VLOOKUP(Check[[#This Row],[טיפוס]],Tipus[],4,FALSE)</f>
        <v>C</v>
      </c>
      <c r="K47" s="3" t="str">
        <f>IF(Check[[#This Row],[סטטוס2]]="הולד","פנויה",Check[[#This Row],[סטטוס2]])</f>
        <v>בעלים</v>
      </c>
      <c r="L47" s="382" t="s">
        <v>91</v>
      </c>
      <c r="M47" s="382" t="s">
        <v>1420</v>
      </c>
      <c r="N47" s="383"/>
      <c r="O47" s="383"/>
      <c r="P47" s="411"/>
      <c r="Q47" s="411"/>
      <c r="R47" s="383"/>
      <c r="S47" s="384">
        <v>44040</v>
      </c>
      <c r="T47" s="384" t="s">
        <v>399</v>
      </c>
      <c r="U47" s="385" t="s">
        <v>400</v>
      </c>
      <c r="V47" s="385" t="s">
        <v>214</v>
      </c>
      <c r="W47" s="385" t="s">
        <v>229</v>
      </c>
    </row>
    <row r="48" spans="1:23" x14ac:dyDescent="0.2">
      <c r="A48" s="13" t="str">
        <f>_xlfn.CONCAT(VLOOKUP(Check[[#This Row],[סטטוס]],Sold,2,FALSE),IF(Check[[#This Row],[סטטוס]]="פנויה",IF(N48="גמר מלא סטנדרט",".GMS",IF(N48="גמר מלא טיוב חומרים",".GMC",IF(N48="גמר מינימלי",".GM",IF(N48="דירת שיווק",".DS","")))),""),".",VLOOKUP(Check[[#This Row],[טיפוס]],Tipus[],5,FALSE),".",VLOOKUP(Check[[#This Row],[מגדל]],Tower,2,FALSE),".Ap.",Check[[#This Row],[מספר דירה]])</f>
        <v>O.S.2E.TS.Ap.46</v>
      </c>
      <c r="B48" s="13" t="str">
        <f>_xlfn.CONCAT(VLOOKUP(Check[[#This Row],[סטטוס]],Sold,2,FALSE),IF(Check[[#This Row],[סטטוס]]="פנויה",IF(N48="גמר מלא סטנדרט",".GMS",IF(N48="גמר מלא טיוב חומרים",".GMC",IF(N48="גמר מינימלי",".GM",IF(N48="דירת שיווק",".DS","")))),""),IF(M48="זומן לטרום",".ZLT",IF(M48="טרום מסירה",".TM",IF(M48="טרום מסירה מהנדס",".TMM",IF(M48="מסירת חזקה",".MH",IF(M48="מסירת חזקה מהנדס",".MHM",""))))),".",VLOOKUP(Check[[#This Row],[טיפוס]],Tipus[],5,FALSE),".",VLOOKUP(Check[[#This Row],[מגדל]],Tower,2,FALSE),".Ap.",Check[[#This Row],[מספר דירה]])</f>
        <v>O.TM.S.2E.TS.Ap.46</v>
      </c>
      <c r="C48" s="3" t="s">
        <v>55</v>
      </c>
      <c r="D48" s="3">
        <v>6</v>
      </c>
      <c r="E48" s="4">
        <v>46</v>
      </c>
      <c r="F48" s="3">
        <v>606</v>
      </c>
      <c r="G48" s="3" t="s">
        <v>11</v>
      </c>
      <c r="H48" s="3">
        <f>VLOOKUP(Check[[#This Row],[טיפוס]],Tipus[],2,FALSE)</f>
        <v>2</v>
      </c>
      <c r="I48" s="3" t="str">
        <f>VLOOKUP(Check[[#This Row],[טיפוס]],Tipus[],3,FALSE)</f>
        <v>סטנדרט</v>
      </c>
      <c r="J48" s="3" t="str">
        <f>VLOOKUP(Check[[#This Row],[טיפוס]],Tipus[],4,FALSE)</f>
        <v>B</v>
      </c>
      <c r="K48" s="3" t="str">
        <f>IF(Check[[#This Row],[סטטוס2]]="הולד","פנויה",Check[[#This Row],[סטטוס2]])</f>
        <v>בעלים</v>
      </c>
      <c r="L48" s="382" t="s">
        <v>91</v>
      </c>
      <c r="M48" s="382" t="s">
        <v>1420</v>
      </c>
      <c r="N48" s="383"/>
      <c r="O48" s="383"/>
      <c r="P48" s="411"/>
      <c r="Q48" s="411"/>
      <c r="R48" s="383"/>
      <c r="S48" s="384">
        <v>44040</v>
      </c>
      <c r="T48" s="384" t="s">
        <v>401</v>
      </c>
      <c r="U48" s="385" t="s">
        <v>402</v>
      </c>
      <c r="V48" s="385" t="s">
        <v>214</v>
      </c>
      <c r="W48" s="385" t="s">
        <v>229</v>
      </c>
    </row>
    <row r="49" spans="1:23" x14ac:dyDescent="0.2">
      <c r="A49" s="13" t="str">
        <f>_xlfn.CONCAT(VLOOKUP(Check[[#This Row],[סטטוס]],Sold,2,FALSE),IF(Check[[#This Row],[סטטוס]]="פנויה",IF(N49="גמר מלא סטנדרט",".GMS",IF(N49="גמר מלא טיוב חומרים",".GMC",IF(N49="גמר מינימלי",".GM",IF(N49="דירת שיווק",".DS","")))),""),".",VLOOKUP(Check[[#This Row],[טיפוס]],Tipus[],5,FALSE),".",VLOOKUP(Check[[#This Row],[מגדל]],Tower,2,FALSE),".Ap.",Check[[#This Row],[מספר דירה]])</f>
        <v>S.S.2F.TS.Ap.47</v>
      </c>
      <c r="B49" s="13" t="str">
        <f>_xlfn.CONCAT(VLOOKUP(Check[[#This Row],[סטטוס]],Sold,2,FALSE),IF(Check[[#This Row],[סטטוס]]="פנויה",IF(N49="גמר מלא סטנדרט",".GMS",IF(N49="גמר מלא טיוב חומרים",".GMC",IF(N49="גמר מינימלי",".GM",IF(N49="דירת שיווק",".DS","")))),""),IF(M49="זומן לטרום",".ZLT",IF(M49="טרום מסירה",".TM",IF(M49="טרום מסירה מהנדס",".TMM",IF(M49="מסירת חזקה",".MH",IF(M49="מסירת חזקה מהנדס",".MHM",""))))),".",VLOOKUP(Check[[#This Row],[טיפוס]],Tipus[],5,FALSE),".",VLOOKUP(Check[[#This Row],[מגדל]],Tower,2,FALSE),".Ap.",Check[[#This Row],[מספר דירה]])</f>
        <v>S.S.2F.TS.Ap.47</v>
      </c>
      <c r="C49" s="3" t="s">
        <v>55</v>
      </c>
      <c r="D49" s="3">
        <v>6</v>
      </c>
      <c r="E49" s="4">
        <v>47</v>
      </c>
      <c r="F49" s="3">
        <v>607</v>
      </c>
      <c r="G49" s="3" t="s">
        <v>12</v>
      </c>
      <c r="H49" s="3">
        <f>VLOOKUP(Check[[#This Row],[טיפוס]],Tipus[],2,FALSE)</f>
        <v>2</v>
      </c>
      <c r="I49" s="3" t="str">
        <f>VLOOKUP(Check[[#This Row],[טיפוס]],Tipus[],3,FALSE)</f>
        <v>סטנדרט</v>
      </c>
      <c r="J49" s="3" t="str">
        <f>VLOOKUP(Check[[#This Row],[טיפוס]],Tipus[],4,FALSE)</f>
        <v>A</v>
      </c>
      <c r="K49" s="3" t="str">
        <f>IF(Check[[#This Row],[סטטוס2]]="הולד","פנויה",Check[[#This Row],[סטטוס2]])</f>
        <v>מכורה</v>
      </c>
      <c r="L49" s="382" t="s">
        <v>130</v>
      </c>
      <c r="M49" s="382"/>
      <c r="N49" s="383"/>
      <c r="O49" s="383"/>
      <c r="P49" s="411"/>
      <c r="Q49" s="411"/>
      <c r="R49" s="383"/>
      <c r="S49" s="386">
        <v>44521</v>
      </c>
      <c r="T49" s="386" t="s">
        <v>1071</v>
      </c>
      <c r="U49" s="387"/>
      <c r="V49" s="387"/>
      <c r="W49" s="387"/>
    </row>
    <row r="50" spans="1:23" x14ac:dyDescent="0.2">
      <c r="A50" s="13" t="str">
        <f>_xlfn.CONCAT(VLOOKUP(Check[[#This Row],[סטטוס]],Sold,2,FALSE),IF(Check[[#This Row],[סטטוס]]="פנויה",IF(N50="גמר מלא סטנדרט",".GMS",IF(N50="גמר מלא טיוב חומרים",".GMC",IF(N50="גמר מינימלי",".GM",IF(N50="דירת שיווק",".DS","")))),""),".",VLOOKUP(Check[[#This Row],[טיפוס]],Tipus[],5,FALSE),".",VLOOKUP(Check[[#This Row],[מגדל]],Tower,2,FALSE),".Ap.",Check[[#This Row],[מספר דירה]])</f>
        <v>O.S.4A.TS.Ap.48</v>
      </c>
      <c r="B50" s="13" t="str">
        <f>_xlfn.CONCAT(VLOOKUP(Check[[#This Row],[סטטוס]],Sold,2,FALSE),IF(Check[[#This Row],[סטטוס]]="פנויה",IF(N50="גמר מלא סטנדרט",".GMS",IF(N50="גמר מלא טיוב חומרים",".GMC",IF(N50="גמר מינימלי",".GM",IF(N50="דירת שיווק",".DS","")))),""),IF(M50="זומן לטרום",".ZLT",IF(M50="טרום מסירה",".TM",IF(M50="טרום מסירה מהנדס",".TMM",IF(M50="מסירת חזקה",".MH",IF(M50="מסירת חזקה מהנדס",".MHM",""))))),".",VLOOKUP(Check[[#This Row],[טיפוס]],Tipus[],5,FALSE),".",VLOOKUP(Check[[#This Row],[מגדל]],Tower,2,FALSE),".Ap.",Check[[#This Row],[מספר דירה]])</f>
        <v>O.S.4A.TS.Ap.48</v>
      </c>
      <c r="C50" s="3" t="s">
        <v>55</v>
      </c>
      <c r="D50" s="3">
        <v>6</v>
      </c>
      <c r="E50" s="4">
        <v>48</v>
      </c>
      <c r="F50" s="3">
        <v>608</v>
      </c>
      <c r="G50" s="3" t="s">
        <v>14</v>
      </c>
      <c r="H50" s="3">
        <f>VLOOKUP(Check[[#This Row],[טיפוס]],Tipus[],2,FALSE)</f>
        <v>4</v>
      </c>
      <c r="I50" s="3" t="str">
        <f>VLOOKUP(Check[[#This Row],[טיפוס]],Tipus[],3,FALSE)</f>
        <v>סטנדרט</v>
      </c>
      <c r="J50" s="3" t="str">
        <f>VLOOKUP(Check[[#This Row],[טיפוס]],Tipus[],4,FALSE)</f>
        <v>J</v>
      </c>
      <c r="K50" s="3" t="str">
        <f>IF(Check[[#This Row],[סטטוס2]]="הולד","פנויה",Check[[#This Row],[סטטוס2]])</f>
        <v>בעלים</v>
      </c>
      <c r="L50" s="382" t="s">
        <v>91</v>
      </c>
      <c r="M50" s="382"/>
      <c r="N50" s="383"/>
      <c r="O50" s="383"/>
      <c r="P50" s="411"/>
      <c r="Q50" s="411"/>
      <c r="R50" s="383"/>
      <c r="S50" s="384">
        <v>44040</v>
      </c>
      <c r="T50" s="384" t="s">
        <v>243</v>
      </c>
      <c r="U50" s="385"/>
      <c r="V50" s="385"/>
      <c r="W50" s="385"/>
    </row>
    <row r="51" spans="1:23" x14ac:dyDescent="0.2">
      <c r="A51" s="13" t="str">
        <f>_xlfn.CONCAT(VLOOKUP(Check[[#This Row],[סטטוס]],Sold,2,FALSE),IF(Check[[#This Row],[סטטוס]]="פנויה",IF(N51="גמר מלא סטנדרט",".GMS",IF(N51="גמר מלא טיוב חומרים",".GMC",IF(N51="גמר מינימלי",".GM",IF(N51="דירת שיווק",".DS","")))),""),".",VLOOKUP(Check[[#This Row],[טיפוס]],Tipus[],5,FALSE),".",VLOOKUP(Check[[#This Row],[מגדל]],Tower,2,FALSE),".Ap.",Check[[#This Row],[מספר דירה]])</f>
        <v>V.GMS.S.2G.TS.Ap.49</v>
      </c>
      <c r="B51" s="13" t="str">
        <f>_xlfn.CONCAT(VLOOKUP(Check[[#This Row],[סטטוס]],Sold,2,FALSE),IF(Check[[#This Row],[סטטוס]]="פנויה",IF(N51="גמר מלא סטנדרט",".GMS",IF(N51="גמר מלא טיוב חומרים",".GMC",IF(N51="גמר מינימלי",".GM",IF(N51="דירת שיווק",".DS","")))),""),IF(M51="זומן לטרום",".ZLT",IF(M51="טרום מסירה",".TM",IF(M51="טרום מסירה מהנדס",".TMM",IF(M51="מסירת חזקה",".MH",IF(M51="מסירת חזקה מהנדס",".MHM",""))))),".",VLOOKUP(Check[[#This Row],[טיפוס]],Tipus[],5,FALSE),".",VLOOKUP(Check[[#This Row],[מגדל]],Tower,2,FALSE),".Ap.",Check[[#This Row],[מספר דירה]])</f>
        <v>V.GMS.S.2G.TS.Ap.49</v>
      </c>
      <c r="C51" s="3" t="s">
        <v>55</v>
      </c>
      <c r="D51" s="3">
        <v>6</v>
      </c>
      <c r="E51" s="4">
        <v>49</v>
      </c>
      <c r="F51" s="3">
        <v>609</v>
      </c>
      <c r="G51" s="3" t="s">
        <v>15</v>
      </c>
      <c r="H51" s="3">
        <f>VLOOKUP(Check[[#This Row],[טיפוס]],Tipus[],2,FALSE)</f>
        <v>2</v>
      </c>
      <c r="I51" s="3" t="str">
        <f>VLOOKUP(Check[[#This Row],[טיפוס]],Tipus[],3,FALSE)</f>
        <v>סטנדרט</v>
      </c>
      <c r="J51" s="3" t="str">
        <f>VLOOKUP(Check[[#This Row],[טיפוס]],Tipus[],4,FALSE)</f>
        <v>I</v>
      </c>
      <c r="K51" s="3" t="str">
        <f>IF(Check[[#This Row],[סטטוס2]]="הולד","פנויה",Check[[#This Row],[סטטוס2]])</f>
        <v>פנויה</v>
      </c>
      <c r="L51" s="382" t="s">
        <v>108</v>
      </c>
      <c r="M51" s="382"/>
      <c r="N51" t="s">
        <v>1367</v>
      </c>
      <c r="O51" s="383" t="s">
        <v>1390</v>
      </c>
      <c r="P51" s="410" t="s">
        <v>1389</v>
      </c>
      <c r="Q51" s="410"/>
      <c r="R51" s="383"/>
      <c r="S51" s="384"/>
      <c r="T51" s="384" t="s">
        <v>214</v>
      </c>
      <c r="U51" s="385"/>
      <c r="V51" s="385"/>
      <c r="W51" s="387"/>
    </row>
    <row r="52" spans="1:23" x14ac:dyDescent="0.2">
      <c r="A52" s="13" t="str">
        <f>_xlfn.CONCAT(VLOOKUP(Check[[#This Row],[סטטוס]],Sold,2,FALSE),IF(Check[[#This Row],[סטטוס]]="פנויה",IF(N52="גמר מלא סטנדרט",".GMS",IF(N52="גמר מלא טיוב חומרים",".GMC",IF(N52="גמר מינימלי",".GM",IF(N52="דירת שיווק",".DS","")))),""),".",VLOOKUP(Check[[#This Row],[טיפוס]],Tipus[],5,FALSE),".",VLOOKUP(Check[[#This Row],[מגדל]],Tower,2,FALSE),".Ap.",Check[[#This Row],[מספר דירה]])</f>
        <v>O.S.4B.TS.Ap.50</v>
      </c>
      <c r="B52" s="13" t="str">
        <f>_xlfn.CONCAT(VLOOKUP(Check[[#This Row],[סטטוס]],Sold,2,FALSE),IF(Check[[#This Row],[סטטוס]]="פנויה",IF(N52="גמר מלא סטנדרט",".GMS",IF(N52="גמר מלא טיוב חומרים",".GMC",IF(N52="גמר מינימלי",".GM",IF(N52="דירת שיווק",".DS","")))),""),IF(M52="זומן לטרום",".ZLT",IF(M52="טרום מסירה",".TM",IF(M52="טרום מסירה מהנדס",".TMM",IF(M52="מסירת חזקה",".MH",IF(M52="מסירת חזקה מהנדס",".MHM",""))))),".",VLOOKUP(Check[[#This Row],[טיפוס]],Tipus[],5,FALSE),".",VLOOKUP(Check[[#This Row],[מגדל]],Tower,2,FALSE),".Ap.",Check[[#This Row],[מספר דירה]])</f>
        <v>O.S.4B.TS.Ap.50</v>
      </c>
      <c r="C52" s="3" t="s">
        <v>55</v>
      </c>
      <c r="D52" s="3">
        <v>6</v>
      </c>
      <c r="E52" s="4">
        <v>50</v>
      </c>
      <c r="F52" s="3">
        <v>610</v>
      </c>
      <c r="G52" s="3" t="s">
        <v>16</v>
      </c>
      <c r="H52" s="3">
        <f>VLOOKUP(Check[[#This Row],[טיפוס]],Tipus[],2,FALSE)</f>
        <v>4</v>
      </c>
      <c r="I52" s="3" t="str">
        <f>VLOOKUP(Check[[#This Row],[טיפוס]],Tipus[],3,FALSE)</f>
        <v>סטנדרט</v>
      </c>
      <c r="J52" s="3" t="str">
        <f>VLOOKUP(Check[[#This Row],[טיפוס]],Tipus[],4,FALSE)</f>
        <v>H</v>
      </c>
      <c r="K52" s="3" t="str">
        <f>IF(Check[[#This Row],[סטטוס2]]="הולד","פנויה",Check[[#This Row],[סטטוס2]])</f>
        <v>בעלים</v>
      </c>
      <c r="L52" s="382" t="s">
        <v>91</v>
      </c>
      <c r="M52" s="382"/>
      <c r="N52" s="383"/>
      <c r="O52" s="383"/>
      <c r="P52" s="411"/>
      <c r="Q52" s="411"/>
      <c r="R52" s="383"/>
      <c r="S52" s="384">
        <v>44040</v>
      </c>
      <c r="T52" s="384" t="s">
        <v>1292</v>
      </c>
      <c r="U52" s="385" t="s">
        <v>403</v>
      </c>
      <c r="V52" s="385" t="s">
        <v>214</v>
      </c>
      <c r="W52" s="385" t="s">
        <v>253</v>
      </c>
    </row>
    <row r="53" spans="1:23" x14ac:dyDescent="0.2">
      <c r="A53" s="13" t="str">
        <f>_xlfn.CONCAT(VLOOKUP(Check[[#This Row],[סטטוס]],Sold,2,FALSE),IF(Check[[#This Row],[סטטוס]]="פנויה",IF(N53="גמר מלא סטנדרט",".GMS",IF(N53="גמר מלא טיוב חומרים",".GMC",IF(N53="גמר מינימלי",".GM",IF(N53="דירת שיווק",".DS","")))),""),".",VLOOKUP(Check[[#This Row],[טיפוס]],Tipus[],5,FALSE),".",VLOOKUP(Check[[#This Row],[מגדל]],Tower,2,FALSE),".Ap.",Check[[#This Row],[מספר דירה]])</f>
        <v>S.S.2A.TS.Ap.51</v>
      </c>
      <c r="B53" s="13" t="str">
        <f>_xlfn.CONCAT(VLOOKUP(Check[[#This Row],[סטטוס]],Sold,2,FALSE),IF(Check[[#This Row],[סטטוס]]="פנויה",IF(N53="גמר מלא סטנדרט",".GMS",IF(N53="גמר מלא טיוב חומרים",".GMC",IF(N53="גמר מינימלי",".GM",IF(N53="דירת שיווק",".DS","")))),""),IF(M53="זומן לטרום",".ZLT",IF(M53="טרום מסירה",".TM",IF(M53="טרום מסירה מהנדס",".TMM",IF(M53="מסירת חזקה",".MH",IF(M53="מסירת חזקה מהנדס",".MHM",""))))),".",VLOOKUP(Check[[#This Row],[טיפוס]],Tipus[],5,FALSE),".",VLOOKUP(Check[[#This Row],[מגדל]],Tower,2,FALSE),".Ap.",Check[[#This Row],[מספר דירה]])</f>
        <v>S.ZLT.S.2A.TS.Ap.51</v>
      </c>
      <c r="C53" s="3" t="s">
        <v>55</v>
      </c>
      <c r="D53" s="3">
        <v>7</v>
      </c>
      <c r="E53" s="4">
        <v>51</v>
      </c>
      <c r="F53" s="3">
        <v>701</v>
      </c>
      <c r="G53" s="3" t="s">
        <v>6</v>
      </c>
      <c r="H53" s="3">
        <f>VLOOKUP(Check[[#This Row],[טיפוס]],Tipus[],2,FALSE)</f>
        <v>2</v>
      </c>
      <c r="I53" s="3" t="str">
        <f>VLOOKUP(Check[[#This Row],[טיפוס]],Tipus[],3,FALSE)</f>
        <v>סטנדרט</v>
      </c>
      <c r="J53" s="3" t="str">
        <f>VLOOKUP(Check[[#This Row],[טיפוס]],Tipus[],4,FALSE)</f>
        <v>G</v>
      </c>
      <c r="K53" s="3" t="str">
        <f>IF(Check[[#This Row],[סטטוס2]]="הולד","פנויה",Check[[#This Row],[סטטוס2]])</f>
        <v>מכורה</v>
      </c>
      <c r="L53" s="382" t="s">
        <v>130</v>
      </c>
      <c r="M53" s="382" t="s">
        <v>1419</v>
      </c>
      <c r="N53" s="383"/>
      <c r="O53" s="383"/>
      <c r="P53" s="411"/>
      <c r="Q53" s="411"/>
      <c r="R53" s="383"/>
      <c r="S53" s="386">
        <v>44544</v>
      </c>
      <c r="T53" s="386" t="s">
        <v>1092</v>
      </c>
      <c r="U53" s="387"/>
      <c r="V53" s="387"/>
      <c r="W53" s="387"/>
    </row>
    <row r="54" spans="1:23" x14ac:dyDescent="0.2">
      <c r="A54" s="13" t="str">
        <f>_xlfn.CONCAT(VLOOKUP(Check[[#This Row],[סטטוס]],Sold,2,FALSE),IF(Check[[#This Row],[סטטוס]]="פנויה",IF(N54="גמר מלא סטנדרט",".GMS",IF(N54="גמר מלא טיוב חומרים",".GMC",IF(N54="גמר מינימלי",".GM",IF(N54="דירת שיווק",".DS","")))),""),".",VLOOKUP(Check[[#This Row],[טיפוס]],Tipus[],5,FALSE),".",VLOOKUP(Check[[#This Row],[מגדל]],Tower,2,FALSE),".Ap.",Check[[#This Row],[מספר דירה]])</f>
        <v>S.S.2B.TS.Ap.52</v>
      </c>
      <c r="B54" s="13" t="str">
        <f>_xlfn.CONCAT(VLOOKUP(Check[[#This Row],[סטטוס]],Sold,2,FALSE),IF(Check[[#This Row],[סטטוס]]="פנויה",IF(N54="גמר מלא סטנדרט",".GMS",IF(N54="גמר מלא טיוב חומרים",".GMC",IF(N54="גמר מינימלי",".GM",IF(N54="דירת שיווק",".DS","")))),""),IF(M54="זומן לטרום",".ZLT",IF(M54="טרום מסירה",".TM",IF(M54="טרום מסירה מהנדס",".TMM",IF(M54="מסירת חזקה",".MH",IF(M54="מסירת חזקה מהנדס",".MHM",""))))),".",VLOOKUP(Check[[#This Row],[טיפוס]],Tipus[],5,FALSE),".",VLOOKUP(Check[[#This Row],[מגדל]],Tower,2,FALSE),".Ap.",Check[[#This Row],[מספר דירה]])</f>
        <v>S.ZLT.S.2B.TS.Ap.52</v>
      </c>
      <c r="C54" s="3" t="s">
        <v>55</v>
      </c>
      <c r="D54" s="3">
        <v>7</v>
      </c>
      <c r="E54" s="4">
        <v>52</v>
      </c>
      <c r="F54" s="3">
        <v>702</v>
      </c>
      <c r="G54" s="3" t="s">
        <v>7</v>
      </c>
      <c r="H54" s="3">
        <f>VLOOKUP(Check[[#This Row],[טיפוס]],Tipus[],2,FALSE)</f>
        <v>2</v>
      </c>
      <c r="I54" s="3" t="str">
        <f>VLOOKUP(Check[[#This Row],[טיפוס]],Tipus[],3,FALSE)</f>
        <v>סטנדרט</v>
      </c>
      <c r="J54" s="3" t="str">
        <f>VLOOKUP(Check[[#This Row],[טיפוס]],Tipus[],4,FALSE)</f>
        <v>F</v>
      </c>
      <c r="K54" s="3" t="str">
        <f>IF(Check[[#This Row],[סטטוס2]]="הולד","פנויה",Check[[#This Row],[סטטוס2]])</f>
        <v>מכורה</v>
      </c>
      <c r="L54" s="382" t="s">
        <v>130</v>
      </c>
      <c r="M54" s="382" t="s">
        <v>1419</v>
      </c>
      <c r="N54" s="383"/>
      <c r="O54" s="383"/>
      <c r="P54" s="411"/>
      <c r="Q54" s="411"/>
      <c r="R54" s="383"/>
      <c r="S54" s="386">
        <v>44762</v>
      </c>
      <c r="T54" s="386" t="s">
        <v>1071</v>
      </c>
      <c r="U54" s="387"/>
      <c r="V54" s="387"/>
      <c r="W54" s="387"/>
    </row>
    <row r="55" spans="1:23" x14ac:dyDescent="0.2">
      <c r="A55" s="13" t="str">
        <f>_xlfn.CONCAT(VLOOKUP(Check[[#This Row],[סטטוס]],Sold,2,FALSE),IF(Check[[#This Row],[סטטוס]]="פנויה",IF(N55="גמר מלא סטנדרט",".GMS",IF(N55="גמר מלא טיוב חומרים",".GMC",IF(N55="גמר מינימלי",".GM",IF(N55="דירת שיווק",".DS","")))),""),".",VLOOKUP(Check[[#This Row],[טיפוס]],Tipus[],5,FALSE),".",VLOOKUP(Check[[#This Row],[מגדל]],Tower,2,FALSE),".Ap.",Check[[#This Row],[מספר דירה]])</f>
        <v>S.S.2C.TS.Ap.53</v>
      </c>
      <c r="B55" s="13" t="str">
        <f>_xlfn.CONCAT(VLOOKUP(Check[[#This Row],[סטטוס]],Sold,2,FALSE),IF(Check[[#This Row],[סטטוס]]="פנויה",IF(N55="גמר מלא סטנדרט",".GMS",IF(N55="גמר מלא טיוב חומרים",".GMC",IF(N55="גמר מינימלי",".GM",IF(N55="דירת שיווק",".DS","")))),""),IF(M55="זומן לטרום",".ZLT",IF(M55="טרום מסירה",".TM",IF(M55="טרום מסירה מהנדס",".TMM",IF(M55="מסירת חזקה",".MH",IF(M55="מסירת חזקה מהנדס",".MHM",""))))),".",VLOOKUP(Check[[#This Row],[טיפוס]],Tipus[],5,FALSE),".",VLOOKUP(Check[[#This Row],[מגדל]],Tower,2,FALSE),".Ap.",Check[[#This Row],[מספר דירה]])</f>
        <v>S.TM.S.2C.TS.Ap.53</v>
      </c>
      <c r="C55" s="3" t="s">
        <v>55</v>
      </c>
      <c r="D55" s="3">
        <v>7</v>
      </c>
      <c r="E55" s="4">
        <v>53</v>
      </c>
      <c r="F55" s="3">
        <v>703</v>
      </c>
      <c r="G55" s="3" t="s">
        <v>8</v>
      </c>
      <c r="H55" s="3">
        <f>VLOOKUP(Check[[#This Row],[טיפוס]],Tipus[],2,FALSE)</f>
        <v>2</v>
      </c>
      <c r="I55" s="3" t="str">
        <f>VLOOKUP(Check[[#This Row],[טיפוס]],Tipus[],3,FALSE)</f>
        <v>סטנדרט</v>
      </c>
      <c r="J55" s="3" t="str">
        <f>VLOOKUP(Check[[#This Row],[טיפוס]],Tipus[],4,FALSE)</f>
        <v>E</v>
      </c>
      <c r="K55" s="3" t="str">
        <f>IF(Check[[#This Row],[סטטוס2]]="הולד","פנויה",Check[[#This Row],[סטטוס2]])</f>
        <v>מכורה</v>
      </c>
      <c r="L55" s="382" t="s">
        <v>130</v>
      </c>
      <c r="M55" s="382" t="s">
        <v>1420</v>
      </c>
      <c r="N55" s="383"/>
      <c r="O55" s="383"/>
      <c r="P55" s="411"/>
      <c r="Q55" s="411"/>
      <c r="R55" s="383"/>
      <c r="S55" s="384">
        <v>45288</v>
      </c>
      <c r="T55" s="384" t="s">
        <v>1210</v>
      </c>
      <c r="U55" s="385"/>
      <c r="V55" s="385"/>
      <c r="W55" s="387"/>
    </row>
    <row r="56" spans="1:23" x14ac:dyDescent="0.2">
      <c r="A56" s="13" t="str">
        <f>_xlfn.CONCAT(VLOOKUP(Check[[#This Row],[סטטוס]],Sold,2,FALSE),IF(Check[[#This Row],[סטטוס]]="פנויה",IF(N56="גמר מלא סטנדרט",".GMS",IF(N56="גמר מלא טיוב חומרים",".GMC",IF(N56="גמר מינימלי",".GM",IF(N56="דירת שיווק",".DS","")))),""),".",VLOOKUP(Check[[#This Row],[טיפוס]],Tipus[],5,FALSE),".",VLOOKUP(Check[[#This Row],[מגדל]],Tower,2,FALSE),".Ap.",Check[[#This Row],[מספר דירה]])</f>
        <v>O.S.3A.TS.Ap.54</v>
      </c>
      <c r="B56" s="13" t="str">
        <f>_xlfn.CONCAT(VLOOKUP(Check[[#This Row],[סטטוס]],Sold,2,FALSE),IF(Check[[#This Row],[סטטוס]]="פנויה",IF(N56="גמר מלא סטנדרט",".GMS",IF(N56="גמר מלא טיוב חומרים",".GMC",IF(N56="גמר מינימלי",".GM",IF(N56="דירת שיווק",".DS","")))),""),IF(M56="זומן לטרום",".ZLT",IF(M56="טרום מסירה",".TM",IF(M56="טרום מסירה מהנדס",".TMM",IF(M56="מסירת חזקה",".MH",IF(M56="מסירת חזקה מהנדס",".MHM",""))))),".",VLOOKUP(Check[[#This Row],[טיפוס]],Tipus[],5,FALSE),".",VLOOKUP(Check[[#This Row],[מגדל]],Tower,2,FALSE),".Ap.",Check[[#This Row],[מספר דירה]])</f>
        <v>O.S.3A.TS.Ap.54</v>
      </c>
      <c r="C56" s="3" t="s">
        <v>55</v>
      </c>
      <c r="D56" s="3">
        <v>7</v>
      </c>
      <c r="E56" s="4">
        <v>54</v>
      </c>
      <c r="F56" s="3">
        <v>704</v>
      </c>
      <c r="G56" s="3" t="s">
        <v>9</v>
      </c>
      <c r="H56" s="3">
        <f>VLOOKUP(Check[[#This Row],[טיפוס]],Tipus[],2,FALSE)</f>
        <v>3</v>
      </c>
      <c r="I56" s="3" t="str">
        <f>VLOOKUP(Check[[#This Row],[טיפוס]],Tipus[],3,FALSE)</f>
        <v>סטנדרט</v>
      </c>
      <c r="J56" s="3" t="str">
        <f>VLOOKUP(Check[[#This Row],[טיפוס]],Tipus[],4,FALSE)</f>
        <v>D</v>
      </c>
      <c r="K56" s="3" t="str">
        <f>IF(Check[[#This Row],[סטטוס2]]="הולד","פנויה",Check[[#This Row],[סטטוס2]])</f>
        <v>בעלים</v>
      </c>
      <c r="L56" s="382" t="s">
        <v>91</v>
      </c>
      <c r="M56" s="382"/>
      <c r="N56" s="383"/>
      <c r="O56" s="383"/>
      <c r="P56" s="411"/>
      <c r="Q56" s="411"/>
      <c r="R56" s="383"/>
      <c r="S56" s="384">
        <v>44040</v>
      </c>
      <c r="T56" s="384" t="s">
        <v>254</v>
      </c>
      <c r="U56" s="385" t="s">
        <v>404</v>
      </c>
      <c r="V56" s="385" t="s">
        <v>214</v>
      </c>
      <c r="W56" s="385" t="s">
        <v>214</v>
      </c>
    </row>
    <row r="57" spans="1:23" x14ac:dyDescent="0.2">
      <c r="A57" s="13" t="str">
        <f>_xlfn.CONCAT(VLOOKUP(Check[[#This Row],[סטטוס]],Sold,2,FALSE),IF(Check[[#This Row],[סטטוס]]="פנויה",IF(N57="גמר מלא סטנדרט",".GMS",IF(N57="גמר מלא טיוב חומרים",".GMC",IF(N57="גמר מינימלי",".GM",IF(N57="דירת שיווק",".DS","")))),""),".",VLOOKUP(Check[[#This Row],[טיפוס]],Tipus[],5,FALSE),".",VLOOKUP(Check[[#This Row],[מגדל]],Tower,2,FALSE),".Ap.",Check[[#This Row],[מספר דירה]])</f>
        <v>S.S.2D.TS.Ap.55</v>
      </c>
      <c r="B57" s="13" t="str">
        <f>_xlfn.CONCAT(VLOOKUP(Check[[#This Row],[סטטוס]],Sold,2,FALSE),IF(Check[[#This Row],[סטטוס]]="פנויה",IF(N57="גמר מלא סטנדרט",".GMS",IF(N57="גמר מלא טיוב חומרים",".GMC",IF(N57="גמר מינימלי",".GM",IF(N57="דירת שיווק",".DS","")))),""),IF(M57="זומן לטרום",".ZLT",IF(M57="טרום מסירה",".TM",IF(M57="טרום מסירה מהנדס",".TMM",IF(M57="מסירת חזקה",".MH",IF(M57="מסירת חזקה מהנדס",".MHM",""))))),".",VLOOKUP(Check[[#This Row],[טיפוס]],Tipus[],5,FALSE),".",VLOOKUP(Check[[#This Row],[מגדל]],Tower,2,FALSE),".Ap.",Check[[#This Row],[מספר דירה]])</f>
        <v>S.TM.S.2D.TS.Ap.55</v>
      </c>
      <c r="C57" s="3" t="s">
        <v>55</v>
      </c>
      <c r="D57" s="3">
        <v>7</v>
      </c>
      <c r="E57" s="4">
        <v>55</v>
      </c>
      <c r="F57" s="3">
        <v>705</v>
      </c>
      <c r="G57" s="3" t="s">
        <v>10</v>
      </c>
      <c r="H57" s="3">
        <f>VLOOKUP(Check[[#This Row],[טיפוס]],Tipus[],2,FALSE)</f>
        <v>2</v>
      </c>
      <c r="I57" s="3" t="str">
        <f>VLOOKUP(Check[[#This Row],[טיפוס]],Tipus[],3,FALSE)</f>
        <v>סטנדרט</v>
      </c>
      <c r="J57" s="3" t="str">
        <f>VLOOKUP(Check[[#This Row],[טיפוס]],Tipus[],4,FALSE)</f>
        <v>C</v>
      </c>
      <c r="K57" s="3" t="str">
        <f>IF(Check[[#This Row],[סטטוס2]]="הולד","פנויה",Check[[#This Row],[סטטוס2]])</f>
        <v>מכורה</v>
      </c>
      <c r="L57" s="382" t="s">
        <v>130</v>
      </c>
      <c r="M57" s="382" t="s">
        <v>1420</v>
      </c>
      <c r="N57" s="383"/>
      <c r="O57" s="383"/>
      <c r="P57" s="411"/>
      <c r="Q57" s="411"/>
      <c r="R57" s="383"/>
      <c r="S57" s="386">
        <v>44518</v>
      </c>
      <c r="T57" s="386" t="s">
        <v>1293</v>
      </c>
      <c r="U57" s="387"/>
      <c r="V57" s="387"/>
      <c r="W57" s="387"/>
    </row>
    <row r="58" spans="1:23" x14ac:dyDescent="0.2">
      <c r="A58" s="13" t="str">
        <f>_xlfn.CONCAT(VLOOKUP(Check[[#This Row],[סטטוס]],Sold,2,FALSE),IF(Check[[#This Row],[סטטוס]]="פנויה",IF(N58="גמר מלא סטנדרט",".GMS",IF(N58="גמר מלא טיוב חומרים",".GMC",IF(N58="גמר מינימלי",".GM",IF(N58="דירת שיווק",".DS","")))),""),".",VLOOKUP(Check[[#This Row],[טיפוס]],Tipus[],5,FALSE),".",VLOOKUP(Check[[#This Row],[מגדל]],Tower,2,FALSE),".Ap.",Check[[#This Row],[מספר דירה]])</f>
        <v>S.S.2E.TS.Ap.56</v>
      </c>
      <c r="B58" s="13" t="str">
        <f>_xlfn.CONCAT(VLOOKUP(Check[[#This Row],[סטטוס]],Sold,2,FALSE),IF(Check[[#This Row],[סטטוס]]="פנויה",IF(N58="גמר מלא סטנדרט",".GMS",IF(N58="גמר מלא טיוב חומרים",".GMC",IF(N58="גמר מינימלי",".GM",IF(N58="דירת שיווק",".DS","")))),""),IF(M58="זומן לטרום",".ZLT",IF(M58="טרום מסירה",".TM",IF(M58="טרום מסירה מהנדס",".TMM",IF(M58="מסירת חזקה",".MH",IF(M58="מסירת חזקה מהנדס",".MHM",""))))),".",VLOOKUP(Check[[#This Row],[טיפוס]],Tipus[],5,FALSE),".",VLOOKUP(Check[[#This Row],[מגדל]],Tower,2,FALSE),".Ap.",Check[[#This Row],[מספר דירה]])</f>
        <v>S.TM.S.2E.TS.Ap.56</v>
      </c>
      <c r="C58" s="3" t="s">
        <v>55</v>
      </c>
      <c r="D58" s="3">
        <v>7</v>
      </c>
      <c r="E58" s="4">
        <v>56</v>
      </c>
      <c r="F58" s="3">
        <v>706</v>
      </c>
      <c r="G58" s="3" t="s">
        <v>11</v>
      </c>
      <c r="H58" s="3">
        <f>VLOOKUP(Check[[#This Row],[טיפוס]],Tipus[],2,FALSE)</f>
        <v>2</v>
      </c>
      <c r="I58" s="3" t="str">
        <f>VLOOKUP(Check[[#This Row],[טיפוס]],Tipus[],3,FALSE)</f>
        <v>סטנדרט</v>
      </c>
      <c r="J58" s="3" t="str">
        <f>VLOOKUP(Check[[#This Row],[טיפוס]],Tipus[],4,FALSE)</f>
        <v>B</v>
      </c>
      <c r="K58" s="3" t="str">
        <f>IF(Check[[#This Row],[סטטוס2]]="הולד","פנויה",Check[[#This Row],[סטטוס2]])</f>
        <v>מכורה</v>
      </c>
      <c r="L58" s="382" t="s">
        <v>130</v>
      </c>
      <c r="M58" s="382" t="s">
        <v>1420</v>
      </c>
      <c r="N58" s="383"/>
      <c r="O58" s="383"/>
      <c r="P58" s="411"/>
      <c r="Q58" s="411"/>
      <c r="R58" s="383"/>
      <c r="S58" s="386">
        <v>44766</v>
      </c>
      <c r="T58" s="386" t="s">
        <v>1294</v>
      </c>
      <c r="U58" s="387"/>
      <c r="V58" s="387"/>
      <c r="W58" s="387"/>
    </row>
    <row r="59" spans="1:23" x14ac:dyDescent="0.2">
      <c r="A59" s="13" t="str">
        <f>_xlfn.CONCAT(VLOOKUP(Check[[#This Row],[סטטוס]],Sold,2,FALSE),IF(Check[[#This Row],[סטטוס]]="פנויה",IF(N59="גמר מלא סטנדרט",".GMS",IF(N59="גמר מלא טיוב חומרים",".GMC",IF(N59="גמר מינימלי",".GM",IF(N59="דירת שיווק",".DS","")))),""),".",VLOOKUP(Check[[#This Row],[טיפוס]],Tipus[],5,FALSE),".",VLOOKUP(Check[[#This Row],[מגדל]],Tower,2,FALSE),".Ap.",Check[[#This Row],[מספר דירה]])</f>
        <v>S.S.2F.TS.Ap.57</v>
      </c>
      <c r="B59" s="13" t="str">
        <f>_xlfn.CONCAT(VLOOKUP(Check[[#This Row],[סטטוס]],Sold,2,FALSE),IF(Check[[#This Row],[סטטוס]]="פנויה",IF(N59="גמר מלא סטנדרט",".GMS",IF(N59="גמר מלא טיוב חומרים",".GMC",IF(N59="גמר מינימלי",".GM",IF(N59="דירת שיווק",".DS","")))),""),IF(M59="זומן לטרום",".ZLT",IF(M59="טרום מסירה",".TM",IF(M59="טרום מסירה מהנדס",".TMM",IF(M59="מסירת חזקה",".MH",IF(M59="מסירת חזקה מהנדס",".MHM",""))))),".",VLOOKUP(Check[[#This Row],[טיפוס]],Tipus[],5,FALSE),".",VLOOKUP(Check[[#This Row],[מגדל]],Tower,2,FALSE),".Ap.",Check[[#This Row],[מספר דירה]])</f>
        <v>S.S.2F.TS.Ap.57</v>
      </c>
      <c r="C59" s="3" t="s">
        <v>55</v>
      </c>
      <c r="D59" s="3">
        <v>7</v>
      </c>
      <c r="E59" s="4">
        <v>57</v>
      </c>
      <c r="F59" s="3">
        <v>707</v>
      </c>
      <c r="G59" s="3" t="s">
        <v>12</v>
      </c>
      <c r="H59" s="3">
        <f>VLOOKUP(Check[[#This Row],[טיפוס]],Tipus[],2,FALSE)</f>
        <v>2</v>
      </c>
      <c r="I59" s="3" t="str">
        <f>VLOOKUP(Check[[#This Row],[טיפוס]],Tipus[],3,FALSE)</f>
        <v>סטנדרט</v>
      </c>
      <c r="J59" s="3" t="str">
        <f>VLOOKUP(Check[[#This Row],[טיפוס]],Tipus[],4,FALSE)</f>
        <v>A</v>
      </c>
      <c r="K59" s="3" t="str">
        <f>IF(Check[[#This Row],[סטטוס2]]="הולד","פנויה",Check[[#This Row],[סטטוס2]])</f>
        <v>מכורה</v>
      </c>
      <c r="L59" s="382" t="s">
        <v>130</v>
      </c>
      <c r="M59" s="382"/>
      <c r="N59" s="383"/>
      <c r="O59" s="383"/>
      <c r="P59" s="411"/>
      <c r="Q59" s="411"/>
      <c r="R59" s="383"/>
      <c r="S59" s="386">
        <v>44598</v>
      </c>
      <c r="T59" s="386" t="s">
        <v>1093</v>
      </c>
      <c r="U59" s="387"/>
      <c r="V59" s="387"/>
      <c r="W59" s="387"/>
    </row>
    <row r="60" spans="1:23" x14ac:dyDescent="0.2">
      <c r="A60" s="13" t="str">
        <f>_xlfn.CONCAT(VLOOKUP(Check[[#This Row],[סטטוס]],Sold,2,FALSE),IF(Check[[#This Row],[סטטוס]]="פנויה",IF(N60="גמר מלא סטנדרט",".GMS",IF(N60="גמר מלא טיוב חומרים",".GMC",IF(N60="גמר מינימלי",".GM",IF(N60="דירת שיווק",".DS","")))),""),".",VLOOKUP(Check[[#This Row],[טיפוס]],Tipus[],5,FALSE),".",VLOOKUP(Check[[#This Row],[מגדל]],Tower,2,FALSE),".Ap.",Check[[#This Row],[מספר דירה]])</f>
        <v>V.GMS.S.4A.TS.Ap.58</v>
      </c>
      <c r="B60" s="13" t="str">
        <f>_xlfn.CONCAT(VLOOKUP(Check[[#This Row],[סטטוס]],Sold,2,FALSE),IF(Check[[#This Row],[סטטוס]]="פנויה",IF(N60="גמר מלא סטנדרט",".GMS",IF(N60="גמר מלא טיוב חומרים",".GMC",IF(N60="גמר מינימלי",".GM",IF(N60="דירת שיווק",".DS","")))),""),IF(M60="זומן לטרום",".ZLT",IF(M60="טרום מסירה",".TM",IF(M60="טרום מסירה מהנדס",".TMM",IF(M60="מסירת חזקה",".MH",IF(M60="מסירת חזקה מהנדס",".MHM",""))))),".",VLOOKUP(Check[[#This Row],[טיפוס]],Tipus[],5,FALSE),".",VLOOKUP(Check[[#This Row],[מגדל]],Tower,2,FALSE),".Ap.",Check[[#This Row],[מספר דירה]])</f>
        <v>V.GMS.S.4A.TS.Ap.58</v>
      </c>
      <c r="C60" s="3" t="s">
        <v>55</v>
      </c>
      <c r="D60" s="3">
        <v>7</v>
      </c>
      <c r="E60" s="4">
        <v>58</v>
      </c>
      <c r="F60" s="3">
        <v>708</v>
      </c>
      <c r="G60" s="3" t="s">
        <v>14</v>
      </c>
      <c r="H60" s="3">
        <f>VLOOKUP(Check[[#This Row],[טיפוס]],Tipus[],2,FALSE)</f>
        <v>4</v>
      </c>
      <c r="I60" s="3" t="str">
        <f>VLOOKUP(Check[[#This Row],[טיפוס]],Tipus[],3,FALSE)</f>
        <v>סטנדרט</v>
      </c>
      <c r="J60" s="3" t="str">
        <f>VLOOKUP(Check[[#This Row],[טיפוס]],Tipus[],4,FALSE)</f>
        <v>J</v>
      </c>
      <c r="K60" s="3" t="str">
        <f>IF(Check[[#This Row],[סטטוס2]]="הולד","פנויה",Check[[#This Row],[סטטוס2]])</f>
        <v>פנויה</v>
      </c>
      <c r="L60" s="382" t="s">
        <v>108</v>
      </c>
      <c r="M60" s="382"/>
      <c r="N60" t="s">
        <v>1367</v>
      </c>
      <c r="O60" s="383" t="s">
        <v>1390</v>
      </c>
      <c r="P60" s="410" t="s">
        <v>1389</v>
      </c>
      <c r="Q60" s="410"/>
      <c r="R60" s="383"/>
      <c r="S60" s="384"/>
      <c r="T60" s="384" t="s">
        <v>214</v>
      </c>
      <c r="U60" s="385"/>
      <c r="V60" s="385"/>
      <c r="W60" s="387"/>
    </row>
    <row r="61" spans="1:23" x14ac:dyDescent="0.2">
      <c r="A61" s="13" t="str">
        <f>_xlfn.CONCAT(VLOOKUP(Check[[#This Row],[סטטוס]],Sold,2,FALSE),IF(Check[[#This Row],[סטטוס]]="פנויה",IF(N61="גמר מלא סטנדרט",".GMS",IF(N61="גמר מלא טיוב חומרים",".GMC",IF(N61="גמר מינימלי",".GM",IF(N61="דירת שיווק",".DS","")))),""),".",VLOOKUP(Check[[#This Row],[טיפוס]],Tipus[],5,FALSE),".",VLOOKUP(Check[[#This Row],[מגדל]],Tower,2,FALSE),".Ap.",Check[[#This Row],[מספר דירה]])</f>
        <v>V.GMS.S.2G.TS.Ap.59</v>
      </c>
      <c r="B61" s="13" t="str">
        <f>_xlfn.CONCAT(VLOOKUP(Check[[#This Row],[סטטוס]],Sold,2,FALSE),IF(Check[[#This Row],[סטטוס]]="פנויה",IF(N61="גמר מלא סטנדרט",".GMS",IF(N61="גמר מלא טיוב חומרים",".GMC",IF(N61="גמר מינימלי",".GM",IF(N61="דירת שיווק",".DS","")))),""),IF(M61="זומן לטרום",".ZLT",IF(M61="טרום מסירה",".TM",IF(M61="טרום מסירה מהנדס",".TMM",IF(M61="מסירת חזקה",".MH",IF(M61="מסירת חזקה מהנדס",".MHM",""))))),".",VLOOKUP(Check[[#This Row],[טיפוס]],Tipus[],5,FALSE),".",VLOOKUP(Check[[#This Row],[מגדל]],Tower,2,FALSE),".Ap.",Check[[#This Row],[מספר דירה]])</f>
        <v>V.GMS.S.2G.TS.Ap.59</v>
      </c>
      <c r="C61" s="3" t="s">
        <v>55</v>
      </c>
      <c r="D61" s="3">
        <v>7</v>
      </c>
      <c r="E61" s="4">
        <v>59</v>
      </c>
      <c r="F61" s="3">
        <v>709</v>
      </c>
      <c r="G61" s="3" t="s">
        <v>15</v>
      </c>
      <c r="H61" s="3">
        <f>VLOOKUP(Check[[#This Row],[טיפוס]],Tipus[],2,FALSE)</f>
        <v>2</v>
      </c>
      <c r="I61" s="3" t="str">
        <f>VLOOKUP(Check[[#This Row],[טיפוס]],Tipus[],3,FALSE)</f>
        <v>סטנדרט</v>
      </c>
      <c r="J61" s="3" t="str">
        <f>VLOOKUP(Check[[#This Row],[טיפוס]],Tipus[],4,FALSE)</f>
        <v>I</v>
      </c>
      <c r="K61" s="3" t="str">
        <f>IF(Check[[#This Row],[סטטוס2]]="הולד","פנויה",Check[[#This Row],[סטטוס2]])</f>
        <v>פנויה</v>
      </c>
      <c r="L61" s="382" t="s">
        <v>108</v>
      </c>
      <c r="M61" s="382"/>
      <c r="N61" t="s">
        <v>1367</v>
      </c>
      <c r="O61" s="383" t="s">
        <v>1390</v>
      </c>
      <c r="P61" s="410" t="s">
        <v>1389</v>
      </c>
      <c r="Q61" s="410"/>
      <c r="R61" s="383"/>
      <c r="S61" s="384"/>
      <c r="T61" s="384" t="s">
        <v>214</v>
      </c>
      <c r="U61" s="385"/>
      <c r="V61" s="385"/>
      <c r="W61" s="387"/>
    </row>
    <row r="62" spans="1:23" x14ac:dyDescent="0.2">
      <c r="A62" s="13" t="str">
        <f>_xlfn.CONCAT(VLOOKUP(Check[[#This Row],[סטטוס]],Sold,2,FALSE),IF(Check[[#This Row],[סטטוס]]="פנויה",IF(N62="גמר מלא סטנדרט",".GMS",IF(N62="גמר מלא טיוב חומרים",".GMC",IF(N62="גמר מינימלי",".GM",IF(N62="דירת שיווק",".DS","")))),""),".",VLOOKUP(Check[[#This Row],[טיפוס]],Tipus[],5,FALSE),".",VLOOKUP(Check[[#This Row],[מגדל]],Tower,2,FALSE),".Ap.",Check[[#This Row],[מספר דירה]])</f>
        <v>V.GMS.S.4B.TS.Ap.60</v>
      </c>
      <c r="B62" s="13" t="str">
        <f>_xlfn.CONCAT(VLOOKUP(Check[[#This Row],[סטטוס]],Sold,2,FALSE),IF(Check[[#This Row],[סטטוס]]="פנויה",IF(N62="גמר מלא סטנדרט",".GMS",IF(N62="גמר מלא טיוב חומרים",".GMC",IF(N62="גמר מינימלי",".GM",IF(N62="דירת שיווק",".DS","")))),""),IF(M62="זומן לטרום",".ZLT",IF(M62="טרום מסירה",".TM",IF(M62="טרום מסירה מהנדס",".TMM",IF(M62="מסירת חזקה",".MH",IF(M62="מסירת חזקה מהנדס",".MHM",""))))),".",VLOOKUP(Check[[#This Row],[טיפוס]],Tipus[],5,FALSE),".",VLOOKUP(Check[[#This Row],[מגדל]],Tower,2,FALSE),".Ap.",Check[[#This Row],[מספר דירה]])</f>
        <v>V.GMS.S.4B.TS.Ap.60</v>
      </c>
      <c r="C62" s="3" t="s">
        <v>55</v>
      </c>
      <c r="D62" s="3">
        <v>7</v>
      </c>
      <c r="E62" s="4">
        <v>60</v>
      </c>
      <c r="F62" s="3">
        <v>710</v>
      </c>
      <c r="G62" s="3" t="s">
        <v>16</v>
      </c>
      <c r="H62" s="3">
        <f>VLOOKUP(Check[[#This Row],[טיפוס]],Tipus[],2,FALSE)</f>
        <v>4</v>
      </c>
      <c r="I62" s="3" t="str">
        <f>VLOOKUP(Check[[#This Row],[טיפוס]],Tipus[],3,FALSE)</f>
        <v>סטנדרט</v>
      </c>
      <c r="J62" s="3" t="str">
        <f>VLOOKUP(Check[[#This Row],[טיפוס]],Tipus[],4,FALSE)</f>
        <v>H</v>
      </c>
      <c r="K62" s="3" t="str">
        <f>IF(Check[[#This Row],[סטטוס2]]="הולד","פנויה",Check[[#This Row],[סטטוס2]])</f>
        <v>פנויה</v>
      </c>
      <c r="L62" s="382" t="s">
        <v>108</v>
      </c>
      <c r="M62" s="382"/>
      <c r="N62" t="s">
        <v>1367</v>
      </c>
      <c r="O62" s="383" t="s">
        <v>1390</v>
      </c>
      <c r="P62" s="410" t="s">
        <v>1389</v>
      </c>
      <c r="Q62" s="410"/>
      <c r="R62" s="383"/>
      <c r="S62" s="384"/>
      <c r="T62" s="384" t="s">
        <v>214</v>
      </c>
      <c r="U62" s="385"/>
      <c r="V62" s="385"/>
      <c r="W62" s="387"/>
    </row>
    <row r="63" spans="1:23" x14ac:dyDescent="0.2">
      <c r="A63" s="13" t="str">
        <f>_xlfn.CONCAT(VLOOKUP(Check[[#This Row],[סטטוס]],Sold,2,FALSE),IF(Check[[#This Row],[סטטוס]]="פנויה",IF(N63="גמר מלא סטנדרט",".GMS",IF(N63="גמר מלא טיוב חומרים",".GMC",IF(N63="גמר מינימלי",".GM",IF(N63="דירת שיווק",".DS","")))),""),".",VLOOKUP(Check[[#This Row],[טיפוס]],Tipus[],5,FALSE),".",VLOOKUP(Check[[#This Row],[מגדל]],Tower,2,FALSE),".Ap.",Check[[#This Row],[מספר דירה]])</f>
        <v>V.GMS.S.2A.TS.Ap.61</v>
      </c>
      <c r="B63" s="13" t="str">
        <f>_xlfn.CONCAT(VLOOKUP(Check[[#This Row],[סטטוס]],Sold,2,FALSE),IF(Check[[#This Row],[סטטוס]]="פנויה",IF(N63="גמר מלא סטנדרט",".GMS",IF(N63="גמר מלא טיוב חומרים",".GMC",IF(N63="גמר מינימלי",".GM",IF(N63="דירת שיווק",".DS","")))),""),IF(M63="זומן לטרום",".ZLT",IF(M63="טרום מסירה",".TM",IF(M63="טרום מסירה מהנדס",".TMM",IF(M63="מסירת חזקה",".MH",IF(M63="מסירת חזקה מהנדס",".MHM",""))))),".",VLOOKUP(Check[[#This Row],[טיפוס]],Tipus[],5,FALSE),".",VLOOKUP(Check[[#This Row],[מגדל]],Tower,2,FALSE),".Ap.",Check[[#This Row],[מספר דירה]])</f>
        <v>V.GMS.S.2A.TS.Ap.61</v>
      </c>
      <c r="C63" s="3" t="s">
        <v>55</v>
      </c>
      <c r="D63" s="3">
        <v>8</v>
      </c>
      <c r="E63" s="4">
        <v>61</v>
      </c>
      <c r="F63" s="3">
        <v>801</v>
      </c>
      <c r="G63" s="3" t="s">
        <v>6</v>
      </c>
      <c r="H63" s="3">
        <f>VLOOKUP(Check[[#This Row],[טיפוס]],Tipus[],2,FALSE)</f>
        <v>2</v>
      </c>
      <c r="I63" s="3" t="str">
        <f>VLOOKUP(Check[[#This Row],[טיפוס]],Tipus[],3,FALSE)</f>
        <v>סטנדרט</v>
      </c>
      <c r="J63" s="3" t="str">
        <f>VLOOKUP(Check[[#This Row],[טיפוס]],Tipus[],4,FALSE)</f>
        <v>G</v>
      </c>
      <c r="K63" s="3" t="str">
        <f>IF(Check[[#This Row],[סטטוס2]]="הולד","פנויה",Check[[#This Row],[סטטוס2]])</f>
        <v>פנויה</v>
      </c>
      <c r="L63" s="382" t="s">
        <v>108</v>
      </c>
      <c r="M63" s="382"/>
      <c r="N63" t="s">
        <v>1367</v>
      </c>
      <c r="O63" s="383" t="s">
        <v>1390</v>
      </c>
      <c r="P63" s="410" t="s">
        <v>1389</v>
      </c>
      <c r="Q63" s="410"/>
      <c r="R63" s="383"/>
      <c r="S63" s="384"/>
      <c r="T63" s="384" t="s">
        <v>214</v>
      </c>
      <c r="U63" s="385"/>
      <c r="V63" s="385"/>
      <c r="W63" s="387"/>
    </row>
    <row r="64" spans="1:23" x14ac:dyDescent="0.2">
      <c r="A64" s="13" t="str">
        <f>_xlfn.CONCAT(VLOOKUP(Check[[#This Row],[סטטוס]],Sold,2,FALSE),IF(Check[[#This Row],[סטטוס]]="פנויה",IF(N64="גמר מלא סטנדרט",".GMS",IF(N64="גמר מלא טיוב חומרים",".GMC",IF(N64="גמר מינימלי",".GM",IF(N64="דירת שיווק",".DS","")))),""),".",VLOOKUP(Check[[#This Row],[טיפוס]],Tipus[],5,FALSE),".",VLOOKUP(Check[[#This Row],[מגדל]],Tower,2,FALSE),".Ap.",Check[[#This Row],[מספר דירה]])</f>
        <v>S.S.2B.TS.Ap.62</v>
      </c>
      <c r="B64" s="13" t="str">
        <f>_xlfn.CONCAT(VLOOKUP(Check[[#This Row],[סטטוס]],Sold,2,FALSE),IF(Check[[#This Row],[סטטוס]]="פנויה",IF(N64="גמר מלא סטנדרט",".GMS",IF(N64="גמר מלא טיוב חומרים",".GMC",IF(N64="גמר מינימלי",".GM",IF(N64="דירת שיווק",".DS","")))),""),IF(M64="זומן לטרום",".ZLT",IF(M64="טרום מסירה",".TM",IF(M64="טרום מסירה מהנדס",".TMM",IF(M64="מסירת חזקה",".MH",IF(M64="מסירת חזקה מהנדס",".MHM",""))))),".",VLOOKUP(Check[[#This Row],[טיפוס]],Tipus[],5,FALSE),".",VLOOKUP(Check[[#This Row],[מגדל]],Tower,2,FALSE),".Ap.",Check[[#This Row],[מספר דירה]])</f>
        <v>S.ZLT.S.2B.TS.Ap.62</v>
      </c>
      <c r="C64" s="3" t="s">
        <v>55</v>
      </c>
      <c r="D64" s="3">
        <v>8</v>
      </c>
      <c r="E64" s="4">
        <v>62</v>
      </c>
      <c r="F64" s="3">
        <v>802</v>
      </c>
      <c r="G64" s="3" t="s">
        <v>7</v>
      </c>
      <c r="H64" s="3">
        <f>VLOOKUP(Check[[#This Row],[טיפוס]],Tipus[],2,FALSE)</f>
        <v>2</v>
      </c>
      <c r="I64" s="3" t="str">
        <f>VLOOKUP(Check[[#This Row],[טיפוס]],Tipus[],3,FALSE)</f>
        <v>סטנדרט</v>
      </c>
      <c r="J64" s="3" t="str">
        <f>VLOOKUP(Check[[#This Row],[טיפוס]],Tipus[],4,FALSE)</f>
        <v>F</v>
      </c>
      <c r="K64" s="3" t="str">
        <f>IF(Check[[#This Row],[סטטוס2]]="הולד","פנויה",Check[[#This Row],[סטטוס2]])</f>
        <v>מכורה</v>
      </c>
      <c r="L64" s="382" t="s">
        <v>130</v>
      </c>
      <c r="M64" s="382" t="s">
        <v>1419</v>
      </c>
      <c r="N64" s="383"/>
      <c r="O64" s="383"/>
      <c r="P64" s="411"/>
      <c r="Q64" s="411"/>
      <c r="R64" s="383"/>
      <c r="S64" s="386">
        <v>44762</v>
      </c>
      <c r="T64" s="386" t="s">
        <v>1094</v>
      </c>
      <c r="U64" s="387"/>
      <c r="V64" s="387"/>
      <c r="W64" s="387"/>
    </row>
    <row r="65" spans="1:23" x14ac:dyDescent="0.2">
      <c r="A65" s="13" t="str">
        <f>_xlfn.CONCAT(VLOOKUP(Check[[#This Row],[סטטוס]],Sold,2,FALSE),IF(Check[[#This Row],[סטטוס]]="פנויה",IF(N65="גמר מלא סטנדרט",".GMS",IF(N65="גמר מלא טיוב חומרים",".GMC",IF(N65="גמר מינימלי",".GM",IF(N65="דירת שיווק",".DS","")))),""),".",VLOOKUP(Check[[#This Row],[טיפוס]],Tipus[],5,FALSE),".",VLOOKUP(Check[[#This Row],[מגדל]],Tower,2,FALSE),".Ap.",Check[[#This Row],[מספר דירה]])</f>
        <v>S.S.2C.TS.Ap.63</v>
      </c>
      <c r="B65" s="13" t="str">
        <f>_xlfn.CONCAT(VLOOKUP(Check[[#This Row],[סטטוס]],Sold,2,FALSE),IF(Check[[#This Row],[סטטוס]]="פנויה",IF(N65="גמר מלא סטנדרט",".GMS",IF(N65="גמר מלא טיוב חומרים",".GMC",IF(N65="גמר מינימלי",".GM",IF(N65="דירת שיווק",".DS","")))),""),IF(M65="זומן לטרום",".ZLT",IF(M65="טרום מסירה",".TM",IF(M65="טרום מסירה מהנדס",".TMM",IF(M65="מסירת חזקה",".MH",IF(M65="מסירת חזקה מהנדס",".MHM",""))))),".",VLOOKUP(Check[[#This Row],[טיפוס]],Tipus[],5,FALSE),".",VLOOKUP(Check[[#This Row],[מגדל]],Tower,2,FALSE),".Ap.",Check[[#This Row],[מספר דירה]])</f>
        <v>S.TM.S.2C.TS.Ap.63</v>
      </c>
      <c r="C65" s="3" t="s">
        <v>55</v>
      </c>
      <c r="D65" s="3">
        <v>8</v>
      </c>
      <c r="E65" s="4">
        <v>63</v>
      </c>
      <c r="F65" s="3">
        <v>803</v>
      </c>
      <c r="G65" s="3" t="s">
        <v>8</v>
      </c>
      <c r="H65" s="3">
        <f>VLOOKUP(Check[[#This Row],[טיפוס]],Tipus[],2,FALSE)</f>
        <v>2</v>
      </c>
      <c r="I65" s="3" t="str">
        <f>VLOOKUP(Check[[#This Row],[טיפוס]],Tipus[],3,FALSE)</f>
        <v>סטנדרט</v>
      </c>
      <c r="J65" s="3" t="str">
        <f>VLOOKUP(Check[[#This Row],[טיפוס]],Tipus[],4,FALSE)</f>
        <v>E</v>
      </c>
      <c r="K65" s="3" t="str">
        <f>IF(Check[[#This Row],[סטטוס2]]="הולד","פנויה",Check[[#This Row],[סטטוס2]])</f>
        <v>מכורה</v>
      </c>
      <c r="L65" s="382" t="s">
        <v>130</v>
      </c>
      <c r="M65" s="382" t="s">
        <v>1420</v>
      </c>
      <c r="N65" s="383"/>
      <c r="O65" s="383"/>
      <c r="P65" s="411"/>
      <c r="Q65" s="411"/>
      <c r="R65" s="383"/>
      <c r="S65" s="386">
        <v>44825</v>
      </c>
      <c r="T65" s="386" t="s">
        <v>1095</v>
      </c>
      <c r="U65" s="387"/>
      <c r="V65" s="387"/>
      <c r="W65" s="387"/>
    </row>
    <row r="66" spans="1:23" x14ac:dyDescent="0.2">
      <c r="A66" s="13" t="str">
        <f>_xlfn.CONCAT(VLOOKUP(Check[[#This Row],[סטטוס]],Sold,2,FALSE),IF(Check[[#This Row],[סטטוס]]="פנויה",IF(N66="גמר מלא סטנדרט",".GMS",IF(N66="גמר מלא טיוב חומרים",".GMC",IF(N66="גמר מינימלי",".GM",IF(N66="דירת שיווק",".DS","")))),""),".",VLOOKUP(Check[[#This Row],[טיפוס]],Tipus[],5,FALSE),".",VLOOKUP(Check[[#This Row],[מגדל]],Tower,2,FALSE),".Ap.",Check[[#This Row],[מספר דירה]])</f>
        <v>O.S.3A.TS.Ap.64</v>
      </c>
      <c r="B66" s="13" t="str">
        <f>_xlfn.CONCAT(VLOOKUP(Check[[#This Row],[סטטוס]],Sold,2,FALSE),IF(Check[[#This Row],[סטטוס]]="פנויה",IF(N66="גמר מלא סטנדרט",".GMS",IF(N66="גמר מלא טיוב חומרים",".GMC",IF(N66="גמר מינימלי",".GM",IF(N66="דירת שיווק",".DS","")))),""),IF(M66="זומן לטרום",".ZLT",IF(M66="טרום מסירה",".TM",IF(M66="טרום מסירה מהנדס",".TMM",IF(M66="מסירת חזקה",".MH",IF(M66="מסירת חזקה מהנדס",".MHM",""))))),".",VLOOKUP(Check[[#This Row],[טיפוס]],Tipus[],5,FALSE),".",VLOOKUP(Check[[#This Row],[מגדל]],Tower,2,FALSE),".Ap.",Check[[#This Row],[מספר דירה]])</f>
        <v>O.TM.S.3A.TS.Ap.64</v>
      </c>
      <c r="C66" s="3" t="s">
        <v>55</v>
      </c>
      <c r="D66" s="3">
        <v>8</v>
      </c>
      <c r="E66" s="4">
        <v>64</v>
      </c>
      <c r="F66" s="3">
        <v>804</v>
      </c>
      <c r="G66" s="3" t="s">
        <v>9</v>
      </c>
      <c r="H66" s="3">
        <f>VLOOKUP(Check[[#This Row],[טיפוס]],Tipus[],2,FALSE)</f>
        <v>3</v>
      </c>
      <c r="I66" s="3" t="str">
        <f>VLOOKUP(Check[[#This Row],[טיפוס]],Tipus[],3,FALSE)</f>
        <v>סטנדרט</v>
      </c>
      <c r="J66" s="3" t="str">
        <f>VLOOKUP(Check[[#This Row],[טיפוס]],Tipus[],4,FALSE)</f>
        <v>D</v>
      </c>
      <c r="K66" s="3" t="str">
        <f>IF(Check[[#This Row],[סטטוס2]]="הולד","פנויה",Check[[#This Row],[סטטוס2]])</f>
        <v>בעלים</v>
      </c>
      <c r="L66" s="382" t="s">
        <v>91</v>
      </c>
      <c r="M66" s="382" t="s">
        <v>1420</v>
      </c>
      <c r="N66" s="383"/>
      <c r="O66" s="383"/>
      <c r="P66" s="411"/>
      <c r="Q66" s="411"/>
      <c r="R66" s="383"/>
      <c r="S66" s="384">
        <v>44040</v>
      </c>
      <c r="T66" s="384" t="s">
        <v>405</v>
      </c>
      <c r="U66" s="385" t="s">
        <v>406</v>
      </c>
      <c r="V66" s="385" t="s">
        <v>214</v>
      </c>
      <c r="W66" s="385" t="s">
        <v>407</v>
      </c>
    </row>
    <row r="67" spans="1:23" x14ac:dyDescent="0.2">
      <c r="A67" s="13" t="str">
        <f>_xlfn.CONCAT(VLOOKUP(Check[[#This Row],[סטטוס]],Sold,2,FALSE),IF(Check[[#This Row],[סטטוס]]="פנויה",IF(N67="גמר מלא סטנדרט",".GMS",IF(N67="גמר מלא טיוב חומרים",".GMC",IF(N67="גמר מינימלי",".GM",IF(N67="דירת שיווק",".DS","")))),""),".",VLOOKUP(Check[[#This Row],[טיפוס]],Tipus[],5,FALSE),".",VLOOKUP(Check[[#This Row],[מגדל]],Tower,2,FALSE),".Ap.",Check[[#This Row],[מספר דירה]])</f>
        <v>O.S.2D.TS.Ap.65</v>
      </c>
      <c r="B67" s="13" t="str">
        <f>_xlfn.CONCAT(VLOOKUP(Check[[#This Row],[סטטוס]],Sold,2,FALSE),IF(Check[[#This Row],[סטטוס]]="פנויה",IF(N67="גמר מלא סטנדרט",".GMS",IF(N67="גמר מלא טיוב חומרים",".GMC",IF(N67="גמר מינימלי",".GM",IF(N67="דירת שיווק",".DS","")))),""),IF(M67="זומן לטרום",".ZLT",IF(M67="טרום מסירה",".TM",IF(M67="טרום מסירה מהנדס",".TMM",IF(M67="מסירת חזקה",".MH",IF(M67="מסירת חזקה מהנדס",".MHM",""))))),".",VLOOKUP(Check[[#This Row],[טיפוס]],Tipus[],5,FALSE),".",VLOOKUP(Check[[#This Row],[מגדל]],Tower,2,FALSE),".Ap.",Check[[#This Row],[מספר דירה]])</f>
        <v>O.TM.S.2D.TS.Ap.65</v>
      </c>
      <c r="C67" s="3" t="s">
        <v>55</v>
      </c>
      <c r="D67" s="3">
        <v>8</v>
      </c>
      <c r="E67" s="4">
        <v>65</v>
      </c>
      <c r="F67" s="3">
        <v>805</v>
      </c>
      <c r="G67" s="3" t="s">
        <v>10</v>
      </c>
      <c r="H67" s="3">
        <f>VLOOKUP(Check[[#This Row],[טיפוס]],Tipus[],2,FALSE)</f>
        <v>2</v>
      </c>
      <c r="I67" s="3" t="str">
        <f>VLOOKUP(Check[[#This Row],[טיפוס]],Tipus[],3,FALSE)</f>
        <v>סטנדרט</v>
      </c>
      <c r="J67" s="3" t="str">
        <f>VLOOKUP(Check[[#This Row],[טיפוס]],Tipus[],4,FALSE)</f>
        <v>C</v>
      </c>
      <c r="K67" s="3" t="str">
        <f>IF(Check[[#This Row],[סטטוס2]]="הולד","פנויה",Check[[#This Row],[סטטוס2]])</f>
        <v>בעלים</v>
      </c>
      <c r="L67" s="382" t="s">
        <v>91</v>
      </c>
      <c r="M67" s="382" t="s">
        <v>1420</v>
      </c>
      <c r="N67" s="383"/>
      <c r="O67" s="383"/>
      <c r="P67" s="411"/>
      <c r="Q67" s="411"/>
      <c r="R67" s="383"/>
      <c r="S67" s="384">
        <v>44040</v>
      </c>
      <c r="T67" s="384" t="s">
        <v>405</v>
      </c>
      <c r="U67" s="385" t="s">
        <v>408</v>
      </c>
      <c r="V67" s="385" t="s">
        <v>214</v>
      </c>
      <c r="W67" s="385" t="s">
        <v>214</v>
      </c>
    </row>
    <row r="68" spans="1:23" x14ac:dyDescent="0.2">
      <c r="A68" s="13" t="str">
        <f>_xlfn.CONCAT(VLOOKUP(Check[[#This Row],[סטטוס]],Sold,2,FALSE),IF(Check[[#This Row],[סטטוס]]="פנויה",IF(N68="גמר מלא סטנדרט",".GMS",IF(N68="גמר מלא טיוב חומרים",".GMC",IF(N68="גמר מינימלי",".GM",IF(N68="דירת שיווק",".DS","")))),""),".",VLOOKUP(Check[[#This Row],[טיפוס]],Tipus[],5,FALSE),".",VLOOKUP(Check[[#This Row],[מגדל]],Tower,2,FALSE),".Ap.",Check[[#This Row],[מספר דירה]])</f>
        <v>S.S.2E.TS.Ap.66</v>
      </c>
      <c r="B68" s="13" t="str">
        <f>_xlfn.CONCAT(VLOOKUP(Check[[#This Row],[סטטוס]],Sold,2,FALSE),IF(Check[[#This Row],[סטטוס]]="פנויה",IF(N68="גמר מלא סטנדרט",".GMS",IF(N68="גמר מלא טיוב חומרים",".GMC",IF(N68="גמר מינימלי",".GM",IF(N68="דירת שיווק",".DS","")))),""),IF(M68="זומן לטרום",".ZLT",IF(M68="טרום מסירה",".TM",IF(M68="טרום מסירה מהנדס",".TMM",IF(M68="מסירת חזקה",".MH",IF(M68="מסירת חזקה מהנדס",".MHM",""))))),".",VLOOKUP(Check[[#This Row],[טיפוס]],Tipus[],5,FALSE),".",VLOOKUP(Check[[#This Row],[מגדל]],Tower,2,FALSE),".Ap.",Check[[#This Row],[מספר דירה]])</f>
        <v>S.TM.S.2E.TS.Ap.66</v>
      </c>
      <c r="C68" s="3" t="s">
        <v>55</v>
      </c>
      <c r="D68" s="3">
        <v>8</v>
      </c>
      <c r="E68" s="4">
        <v>66</v>
      </c>
      <c r="F68" s="3">
        <v>806</v>
      </c>
      <c r="G68" s="3" t="s">
        <v>11</v>
      </c>
      <c r="H68" s="3">
        <f>VLOOKUP(Check[[#This Row],[טיפוס]],Tipus[],2,FALSE)</f>
        <v>2</v>
      </c>
      <c r="I68" s="3" t="str">
        <f>VLOOKUP(Check[[#This Row],[טיפוס]],Tipus[],3,FALSE)</f>
        <v>סטנדרט</v>
      </c>
      <c r="J68" s="3" t="str">
        <f>VLOOKUP(Check[[#This Row],[טיפוס]],Tipus[],4,FALSE)</f>
        <v>B</v>
      </c>
      <c r="K68" s="3" t="str">
        <f>IF(Check[[#This Row],[סטטוס2]]="הולד","פנויה",Check[[#This Row],[סטטוס2]])</f>
        <v>מכורה</v>
      </c>
      <c r="L68" s="382" t="s">
        <v>130</v>
      </c>
      <c r="M68" s="382" t="s">
        <v>1420</v>
      </c>
      <c r="N68" s="383"/>
      <c r="O68" s="383"/>
      <c r="P68" s="411"/>
      <c r="Q68" s="411"/>
      <c r="R68" s="383"/>
      <c r="S68" s="386">
        <v>44935</v>
      </c>
      <c r="T68" s="386" t="s">
        <v>1096</v>
      </c>
      <c r="U68" s="387"/>
      <c r="V68" s="387"/>
      <c r="W68" s="387"/>
    </row>
    <row r="69" spans="1:23" x14ac:dyDescent="0.2">
      <c r="A69" s="13" t="str">
        <f>_xlfn.CONCAT(VLOOKUP(Check[[#This Row],[סטטוס]],Sold,2,FALSE),IF(Check[[#This Row],[סטטוס]]="פנויה",IF(N69="גמר מלא סטנדרט",".GMS",IF(N69="גמר מלא טיוב חומרים",".GMC",IF(N69="גמר מינימלי",".GM",IF(N69="דירת שיווק",".DS","")))),""),".",VLOOKUP(Check[[#This Row],[טיפוס]],Tipus[],5,FALSE),".",VLOOKUP(Check[[#This Row],[מגדל]],Tower,2,FALSE),".Ap.",Check[[#This Row],[מספר דירה]])</f>
        <v>O.S.2F.TS.Ap.67</v>
      </c>
      <c r="B69" s="13" t="str">
        <f>_xlfn.CONCAT(VLOOKUP(Check[[#This Row],[סטטוס]],Sold,2,FALSE),IF(Check[[#This Row],[סטטוס]]="פנויה",IF(N69="גמר מלא סטנדרט",".GMS",IF(N69="גמר מלא טיוב חומרים",".GMC",IF(N69="גמר מינימלי",".GM",IF(N69="דירת שיווק",".DS","")))),""),IF(M69="זומן לטרום",".ZLT",IF(M69="טרום מסירה",".TM",IF(M69="טרום מסירה מהנדס",".TMM",IF(M69="מסירת חזקה",".MH",IF(M69="מסירת חזקה מהנדס",".MHM",""))))),".",VLOOKUP(Check[[#This Row],[טיפוס]],Tipus[],5,FALSE),".",VLOOKUP(Check[[#This Row],[מגדל]],Tower,2,FALSE),".Ap.",Check[[#This Row],[מספר דירה]])</f>
        <v>O.S.2F.TS.Ap.67</v>
      </c>
      <c r="C69" s="3" t="s">
        <v>55</v>
      </c>
      <c r="D69" s="3">
        <v>8</v>
      </c>
      <c r="E69" s="4">
        <v>67</v>
      </c>
      <c r="F69" s="3">
        <v>807</v>
      </c>
      <c r="G69" s="3" t="s">
        <v>12</v>
      </c>
      <c r="H69" s="3">
        <f>VLOOKUP(Check[[#This Row],[טיפוס]],Tipus[],2,FALSE)</f>
        <v>2</v>
      </c>
      <c r="I69" s="3" t="str">
        <f>VLOOKUP(Check[[#This Row],[טיפוס]],Tipus[],3,FALSE)</f>
        <v>סטנדרט</v>
      </c>
      <c r="J69" s="3" t="str">
        <f>VLOOKUP(Check[[#This Row],[טיפוס]],Tipus[],4,FALSE)</f>
        <v>A</v>
      </c>
      <c r="K69" s="3" t="str">
        <f>IF(Check[[#This Row],[סטטוס2]]="הולד","פנויה",Check[[#This Row],[סטטוס2]])</f>
        <v>בעלים</v>
      </c>
      <c r="L69" s="382" t="s">
        <v>91</v>
      </c>
      <c r="M69" s="382"/>
      <c r="N69" s="383"/>
      <c r="O69" s="383"/>
      <c r="P69" s="411"/>
      <c r="Q69" s="411"/>
      <c r="R69" s="383"/>
      <c r="S69" s="384">
        <v>44040</v>
      </c>
      <c r="T69" s="384" t="s">
        <v>233</v>
      </c>
      <c r="U69" s="385" t="s">
        <v>409</v>
      </c>
      <c r="V69" s="385" t="s">
        <v>214</v>
      </c>
      <c r="W69" s="385" t="s">
        <v>214</v>
      </c>
    </row>
    <row r="70" spans="1:23" x14ac:dyDescent="0.2">
      <c r="A70" s="13" t="str">
        <f>_xlfn.CONCAT(VLOOKUP(Check[[#This Row],[סטטוס]],Sold,2,FALSE),IF(Check[[#This Row],[סטטוס]]="פנויה",IF(N70="גמר מלא סטנדרט",".GMS",IF(N70="גמר מלא טיוב חומרים",".GMC",IF(N70="גמר מינימלי",".GM",IF(N70="דירת שיווק",".DS","")))),""),".",VLOOKUP(Check[[#This Row],[טיפוס]],Tipus[],5,FALSE),".",VLOOKUP(Check[[#This Row],[מגדל]],Tower,2,FALSE),".Ap.",Check[[#This Row],[מספר דירה]])</f>
        <v>O.S.4A.TS.Ap.68</v>
      </c>
      <c r="B70" s="13" t="str">
        <f>_xlfn.CONCAT(VLOOKUP(Check[[#This Row],[סטטוס]],Sold,2,FALSE),IF(Check[[#This Row],[סטטוס]]="פנויה",IF(N70="גמר מלא סטנדרט",".GMS",IF(N70="גמר מלא טיוב חומרים",".GMC",IF(N70="גמר מינימלי",".GM",IF(N70="דירת שיווק",".DS","")))),""),IF(M70="זומן לטרום",".ZLT",IF(M70="טרום מסירה",".TM",IF(M70="טרום מסירה מהנדס",".TMM",IF(M70="מסירת חזקה",".MH",IF(M70="מסירת חזקה מהנדס",".MHM",""))))),".",VLOOKUP(Check[[#This Row],[טיפוס]],Tipus[],5,FALSE),".",VLOOKUP(Check[[#This Row],[מגדל]],Tower,2,FALSE),".Ap.",Check[[#This Row],[מספר דירה]])</f>
        <v>O.TM.S.4A.TS.Ap.68</v>
      </c>
      <c r="C70" s="3" t="s">
        <v>55</v>
      </c>
      <c r="D70" s="3">
        <v>8</v>
      </c>
      <c r="E70" s="4">
        <v>68</v>
      </c>
      <c r="F70" s="3">
        <v>808</v>
      </c>
      <c r="G70" s="3" t="s">
        <v>14</v>
      </c>
      <c r="H70" s="3">
        <f>VLOOKUP(Check[[#This Row],[טיפוס]],Tipus[],2,FALSE)</f>
        <v>4</v>
      </c>
      <c r="I70" s="3" t="str">
        <f>VLOOKUP(Check[[#This Row],[טיפוס]],Tipus[],3,FALSE)</f>
        <v>סטנדרט</v>
      </c>
      <c r="J70" s="3" t="str">
        <f>VLOOKUP(Check[[#This Row],[טיפוס]],Tipus[],4,FALSE)</f>
        <v>J</v>
      </c>
      <c r="K70" s="3" t="str">
        <f>IF(Check[[#This Row],[סטטוס2]]="הולד","פנויה",Check[[#This Row],[סטטוס2]])</f>
        <v>בעלים</v>
      </c>
      <c r="L70" s="382" t="s">
        <v>91</v>
      </c>
      <c r="M70" s="382" t="s">
        <v>1420</v>
      </c>
      <c r="N70" s="383"/>
      <c r="O70" s="383"/>
      <c r="P70" s="411"/>
      <c r="Q70" s="411"/>
      <c r="R70" s="383"/>
      <c r="S70" s="384">
        <v>44040</v>
      </c>
      <c r="T70" s="384" t="s">
        <v>410</v>
      </c>
      <c r="U70" s="385" t="s">
        <v>411</v>
      </c>
      <c r="V70" s="385" t="s">
        <v>214</v>
      </c>
      <c r="W70" s="385" t="s">
        <v>407</v>
      </c>
    </row>
    <row r="71" spans="1:23" x14ac:dyDescent="0.2">
      <c r="A71" s="13" t="str">
        <f>_xlfn.CONCAT(VLOOKUP(Check[[#This Row],[סטטוס]],Sold,2,FALSE),IF(Check[[#This Row],[סטטוס]]="פנויה",IF(N71="גמר מלא סטנדרט",".GMS",IF(N71="גמר מלא טיוב חומרים",".GMC",IF(N71="גמר מינימלי",".GM",IF(N71="דירת שיווק",".DS","")))),""),".",VLOOKUP(Check[[#This Row],[טיפוס]],Tipus[],5,FALSE),".",VLOOKUP(Check[[#This Row],[מגדל]],Tower,2,FALSE),".Ap.",Check[[#This Row],[מספר דירה]])</f>
        <v>V.GMS.S.2G.TS.Ap.69</v>
      </c>
      <c r="B71" s="13" t="str">
        <f>_xlfn.CONCAT(VLOOKUP(Check[[#This Row],[סטטוס]],Sold,2,FALSE),IF(Check[[#This Row],[סטטוס]]="פנויה",IF(N71="גמר מלא סטנדרט",".GMS",IF(N71="גמר מלא טיוב חומרים",".GMC",IF(N71="גמר מינימלי",".GM",IF(N71="דירת שיווק",".DS","")))),""),IF(M71="זומן לטרום",".ZLT",IF(M71="טרום מסירה",".TM",IF(M71="טרום מסירה מהנדס",".TMM",IF(M71="מסירת חזקה",".MH",IF(M71="מסירת חזקה מהנדס",".MHM",""))))),".",VLOOKUP(Check[[#This Row],[טיפוס]],Tipus[],5,FALSE),".",VLOOKUP(Check[[#This Row],[מגדל]],Tower,2,FALSE),".Ap.",Check[[#This Row],[מספר דירה]])</f>
        <v>V.GMS.S.2G.TS.Ap.69</v>
      </c>
      <c r="C71" s="3" t="s">
        <v>55</v>
      </c>
      <c r="D71" s="3">
        <v>8</v>
      </c>
      <c r="E71" s="4">
        <v>69</v>
      </c>
      <c r="F71" s="3">
        <v>809</v>
      </c>
      <c r="G71" s="3" t="s">
        <v>15</v>
      </c>
      <c r="H71" s="3">
        <f>VLOOKUP(Check[[#This Row],[טיפוס]],Tipus[],2,FALSE)</f>
        <v>2</v>
      </c>
      <c r="I71" s="3" t="str">
        <f>VLOOKUP(Check[[#This Row],[טיפוס]],Tipus[],3,FALSE)</f>
        <v>סטנדרט</v>
      </c>
      <c r="J71" s="3" t="str">
        <f>VLOOKUP(Check[[#This Row],[טיפוס]],Tipus[],4,FALSE)</f>
        <v>I</v>
      </c>
      <c r="K71" s="3" t="str">
        <f>IF(Check[[#This Row],[סטטוס2]]="הולד","פנויה",Check[[#This Row],[סטטוס2]])</f>
        <v>פנויה</v>
      </c>
      <c r="L71" s="382" t="s">
        <v>108</v>
      </c>
      <c r="M71" s="382"/>
      <c r="N71" t="s">
        <v>1367</v>
      </c>
      <c r="O71" s="383" t="s">
        <v>1390</v>
      </c>
      <c r="P71" s="410" t="s">
        <v>1389</v>
      </c>
      <c r="Q71" s="410"/>
      <c r="R71" s="383"/>
      <c r="S71" s="384"/>
      <c r="T71" s="384" t="s">
        <v>214</v>
      </c>
      <c r="U71" s="385"/>
      <c r="V71" s="385"/>
      <c r="W71" s="387"/>
    </row>
    <row r="72" spans="1:23" x14ac:dyDescent="0.2">
      <c r="A72" s="13" t="str">
        <f>_xlfn.CONCAT(VLOOKUP(Check[[#This Row],[סטטוס]],Sold,2,FALSE),IF(Check[[#This Row],[סטטוס]]="פנויה",IF(N72="גמר מלא סטנדרט",".GMS",IF(N72="גמר מלא טיוב חומרים",".GMC",IF(N72="גמר מינימלי",".GM",IF(N72="דירת שיווק",".DS","")))),""),".",VLOOKUP(Check[[#This Row],[טיפוס]],Tipus[],5,FALSE),".",VLOOKUP(Check[[#This Row],[מגדל]],Tower,2,FALSE),".Ap.",Check[[#This Row],[מספר דירה]])</f>
        <v>V.GMS.S.4B.TS.Ap.70</v>
      </c>
      <c r="B72" s="13" t="str">
        <f>_xlfn.CONCAT(VLOOKUP(Check[[#This Row],[סטטוס]],Sold,2,FALSE),IF(Check[[#This Row],[סטטוס]]="פנויה",IF(N72="גמר מלא סטנדרט",".GMS",IF(N72="גמר מלא טיוב חומרים",".GMC",IF(N72="גמר מינימלי",".GM",IF(N72="דירת שיווק",".DS","")))),""),IF(M72="זומן לטרום",".ZLT",IF(M72="טרום מסירה",".TM",IF(M72="טרום מסירה מהנדס",".TMM",IF(M72="מסירת חזקה",".MH",IF(M72="מסירת חזקה מהנדס",".MHM",""))))),".",VLOOKUP(Check[[#This Row],[טיפוס]],Tipus[],5,FALSE),".",VLOOKUP(Check[[#This Row],[מגדל]],Tower,2,FALSE),".Ap.",Check[[#This Row],[מספר דירה]])</f>
        <v>V.GMS.S.4B.TS.Ap.70</v>
      </c>
      <c r="C72" s="3" t="s">
        <v>55</v>
      </c>
      <c r="D72" s="3">
        <v>8</v>
      </c>
      <c r="E72" s="4">
        <v>70</v>
      </c>
      <c r="F72" s="3">
        <v>810</v>
      </c>
      <c r="G72" s="3" t="s">
        <v>16</v>
      </c>
      <c r="H72" s="3">
        <f>VLOOKUP(Check[[#This Row],[טיפוס]],Tipus[],2,FALSE)</f>
        <v>4</v>
      </c>
      <c r="I72" s="3" t="str">
        <f>VLOOKUP(Check[[#This Row],[טיפוס]],Tipus[],3,FALSE)</f>
        <v>סטנדרט</v>
      </c>
      <c r="J72" s="3" t="str">
        <f>VLOOKUP(Check[[#This Row],[טיפוס]],Tipus[],4,FALSE)</f>
        <v>H</v>
      </c>
      <c r="K72" s="3" t="str">
        <f>IF(Check[[#This Row],[סטטוס2]]="הולד","פנויה",Check[[#This Row],[סטטוס2]])</f>
        <v>פנויה</v>
      </c>
      <c r="L72" s="382" t="s">
        <v>108</v>
      </c>
      <c r="M72" s="382"/>
      <c r="N72" t="s">
        <v>1367</v>
      </c>
      <c r="O72" s="383" t="s">
        <v>1390</v>
      </c>
      <c r="P72" s="410" t="s">
        <v>1389</v>
      </c>
      <c r="Q72" s="410"/>
      <c r="R72" s="383"/>
      <c r="S72" s="384"/>
      <c r="T72" s="384" t="s">
        <v>214</v>
      </c>
      <c r="U72" s="385"/>
      <c r="V72" s="385"/>
      <c r="W72" s="387"/>
    </row>
    <row r="73" spans="1:23" x14ac:dyDescent="0.2">
      <c r="A73" s="13" t="str">
        <f>_xlfn.CONCAT(VLOOKUP(Check[[#This Row],[סטטוס]],Sold,2,FALSE),IF(Check[[#This Row],[סטטוס]]="פנויה",IF(N73="גמר מלא סטנדרט",".GMS",IF(N73="גמר מלא טיוב חומרים",".GMC",IF(N73="גמר מינימלי",".GM",IF(N73="דירת שיווק",".DS","")))),""),".",VLOOKUP(Check[[#This Row],[טיפוס]],Tipus[],5,FALSE),".",VLOOKUP(Check[[#This Row],[מגדל]],Tower,2,FALSE),".Ap.",Check[[#This Row],[מספר דירה]])</f>
        <v>S.S.2A.TS.Ap.71</v>
      </c>
      <c r="B73" s="13" t="str">
        <f>_xlfn.CONCAT(VLOOKUP(Check[[#This Row],[סטטוס]],Sold,2,FALSE),IF(Check[[#This Row],[סטטוס]]="פנויה",IF(N73="גמר מלא סטנדרט",".GMS",IF(N73="גמר מלא טיוב חומרים",".GMC",IF(N73="גמר מינימלי",".GM",IF(N73="דירת שיווק",".DS","")))),""),IF(M73="זומן לטרום",".ZLT",IF(M73="טרום מסירה",".TM",IF(M73="טרום מסירה מהנדס",".TMM",IF(M73="מסירת חזקה",".MH",IF(M73="מסירת חזקה מהנדס",".MHM",""))))),".",VLOOKUP(Check[[#This Row],[טיפוס]],Tipus[],5,FALSE),".",VLOOKUP(Check[[#This Row],[מגדל]],Tower,2,FALSE),".Ap.",Check[[#This Row],[מספר דירה]])</f>
        <v>S.S.2A.TS.Ap.71</v>
      </c>
      <c r="C73" s="3" t="s">
        <v>55</v>
      </c>
      <c r="D73" s="3">
        <v>9</v>
      </c>
      <c r="E73" s="4">
        <v>71</v>
      </c>
      <c r="F73" s="3">
        <v>901</v>
      </c>
      <c r="G73" s="3" t="s">
        <v>6</v>
      </c>
      <c r="H73" s="3">
        <f>VLOOKUP(Check[[#This Row],[טיפוס]],Tipus[],2,FALSE)</f>
        <v>2</v>
      </c>
      <c r="I73" s="3" t="str">
        <f>VLOOKUP(Check[[#This Row],[טיפוס]],Tipus[],3,FALSE)</f>
        <v>סטנדרט</v>
      </c>
      <c r="J73" s="3" t="str">
        <f>VLOOKUP(Check[[#This Row],[טיפוס]],Tipus[],4,FALSE)</f>
        <v>G</v>
      </c>
      <c r="K73" s="3" t="str">
        <f>IF(Check[[#This Row],[סטטוס2]]="הולד","פנויה",Check[[#This Row],[סטטוס2]])</f>
        <v>מכורה</v>
      </c>
      <c r="L73" s="382" t="s">
        <v>130</v>
      </c>
      <c r="M73" s="382"/>
      <c r="N73" s="383"/>
      <c r="O73" s="383"/>
      <c r="P73" s="411"/>
      <c r="Q73" s="411"/>
      <c r="R73" s="383"/>
      <c r="S73" s="386">
        <v>44893</v>
      </c>
      <c r="T73" s="386" t="s">
        <v>1097</v>
      </c>
      <c r="U73" s="385" t="s">
        <v>946</v>
      </c>
      <c r="V73" s="387"/>
      <c r="W73" s="387"/>
    </row>
    <row r="74" spans="1:23" x14ac:dyDescent="0.2">
      <c r="A74" s="13" t="str">
        <f>_xlfn.CONCAT(VLOOKUP(Check[[#This Row],[סטטוס]],Sold,2,FALSE),IF(Check[[#This Row],[סטטוס]]="פנויה",IF(N74="גמר מלא סטנדרט",".GMS",IF(N74="גמר מלא טיוב חומרים",".GMC",IF(N74="גמר מינימלי",".GM",IF(N74="דירת שיווק",".DS","")))),""),".",VLOOKUP(Check[[#This Row],[טיפוס]],Tipus[],5,FALSE),".",VLOOKUP(Check[[#This Row],[מגדל]],Tower,2,FALSE),".Ap.",Check[[#This Row],[מספר דירה]])</f>
        <v>S.S.2B.TS.Ap.72</v>
      </c>
      <c r="B74" s="13" t="str">
        <f>_xlfn.CONCAT(VLOOKUP(Check[[#This Row],[סטטוס]],Sold,2,FALSE),IF(Check[[#This Row],[סטטוס]]="פנויה",IF(N74="גמר מלא סטנדרט",".GMS",IF(N74="גמר מלא טיוב חומרים",".GMC",IF(N74="גמר מינימלי",".GM",IF(N74="דירת שיווק",".DS","")))),""),IF(M74="זומן לטרום",".ZLT",IF(M74="טרום מסירה",".TM",IF(M74="טרום מסירה מהנדס",".TMM",IF(M74="מסירת חזקה",".MH",IF(M74="מסירת חזקה מהנדס",".MHM",""))))),".",VLOOKUP(Check[[#This Row],[טיפוס]],Tipus[],5,FALSE),".",VLOOKUP(Check[[#This Row],[מגדל]],Tower,2,FALSE),".Ap.",Check[[#This Row],[מספר דירה]])</f>
        <v>S.ZLT.S.2B.TS.Ap.72</v>
      </c>
      <c r="C74" s="3" t="s">
        <v>55</v>
      </c>
      <c r="D74" s="3">
        <v>9</v>
      </c>
      <c r="E74" s="4">
        <v>72</v>
      </c>
      <c r="F74" s="3">
        <v>902</v>
      </c>
      <c r="G74" s="3" t="s">
        <v>7</v>
      </c>
      <c r="H74" s="3">
        <f>VLOOKUP(Check[[#This Row],[טיפוס]],Tipus[],2,FALSE)</f>
        <v>2</v>
      </c>
      <c r="I74" s="3" t="str">
        <f>VLOOKUP(Check[[#This Row],[טיפוס]],Tipus[],3,FALSE)</f>
        <v>סטנדרט</v>
      </c>
      <c r="J74" s="3" t="str">
        <f>VLOOKUP(Check[[#This Row],[טיפוס]],Tipus[],4,FALSE)</f>
        <v>F</v>
      </c>
      <c r="K74" s="3" t="str">
        <f>IF(Check[[#This Row],[סטטוס2]]="הולד","פנויה",Check[[#This Row],[סטטוס2]])</f>
        <v>מכורה</v>
      </c>
      <c r="L74" s="382" t="s">
        <v>130</v>
      </c>
      <c r="M74" s="382" t="s">
        <v>1419</v>
      </c>
      <c r="N74" s="383"/>
      <c r="O74" s="383"/>
      <c r="P74" s="411"/>
      <c r="Q74" s="411"/>
      <c r="R74" s="383"/>
      <c r="S74" s="386">
        <v>44762</v>
      </c>
      <c r="T74" s="386" t="s">
        <v>1071</v>
      </c>
      <c r="U74" s="387"/>
      <c r="V74" s="387"/>
      <c r="W74" s="387"/>
    </row>
    <row r="75" spans="1:23" x14ac:dyDescent="0.2">
      <c r="A75" s="13" t="str">
        <f>_xlfn.CONCAT(VLOOKUP(Check[[#This Row],[סטטוס]],Sold,2,FALSE),IF(Check[[#This Row],[סטטוס]]="פנויה",IF(N75="גמר מלא סטנדרט",".GMS",IF(N75="גמר מלא טיוב חומרים",".GMC",IF(N75="גמר מינימלי",".GM",IF(N75="דירת שיווק",".DS","")))),""),".",VLOOKUP(Check[[#This Row],[טיפוס]],Tipus[],5,FALSE),".",VLOOKUP(Check[[#This Row],[מגדל]],Tower,2,FALSE),".Ap.",Check[[#This Row],[מספר דירה]])</f>
        <v>S.S.2C.TS.Ap.73</v>
      </c>
      <c r="B75" s="13" t="str">
        <f>_xlfn.CONCAT(VLOOKUP(Check[[#This Row],[סטטוס]],Sold,2,FALSE),IF(Check[[#This Row],[סטטוס]]="פנויה",IF(N75="גמר מלא סטנדרט",".GMS",IF(N75="גמר מלא טיוב חומרים",".GMC",IF(N75="גמר מינימלי",".GM",IF(N75="דירת שיווק",".DS","")))),""),IF(M75="זומן לטרום",".ZLT",IF(M75="טרום מסירה",".TM",IF(M75="טרום מסירה מהנדס",".TMM",IF(M75="מסירת חזקה",".MH",IF(M75="מסירת חזקה מהנדס",".MHM",""))))),".",VLOOKUP(Check[[#This Row],[טיפוס]],Tipus[],5,FALSE),".",VLOOKUP(Check[[#This Row],[מגדל]],Tower,2,FALSE),".Ap.",Check[[#This Row],[מספר דירה]])</f>
        <v>S.TM.S.2C.TS.Ap.73</v>
      </c>
      <c r="C75" s="3" t="s">
        <v>55</v>
      </c>
      <c r="D75" s="3">
        <v>9</v>
      </c>
      <c r="E75" s="4">
        <v>73</v>
      </c>
      <c r="F75" s="3">
        <v>903</v>
      </c>
      <c r="G75" s="3" t="s">
        <v>8</v>
      </c>
      <c r="H75" s="3">
        <f>VLOOKUP(Check[[#This Row],[טיפוס]],Tipus[],2,FALSE)</f>
        <v>2</v>
      </c>
      <c r="I75" s="3" t="str">
        <f>VLOOKUP(Check[[#This Row],[טיפוס]],Tipus[],3,FALSE)</f>
        <v>סטנדרט</v>
      </c>
      <c r="J75" s="3" t="str">
        <f>VLOOKUP(Check[[#This Row],[טיפוס]],Tipus[],4,FALSE)</f>
        <v>E</v>
      </c>
      <c r="K75" s="3" t="str">
        <f>IF(Check[[#This Row],[סטטוס2]]="הולד","פנויה",Check[[#This Row],[סטטוס2]])</f>
        <v>מכורה</v>
      </c>
      <c r="L75" s="382" t="s">
        <v>130</v>
      </c>
      <c r="M75" s="382" t="s">
        <v>1420</v>
      </c>
      <c r="N75" s="383"/>
      <c r="O75" s="383"/>
      <c r="P75" s="411"/>
      <c r="Q75" s="411"/>
      <c r="R75" s="383"/>
      <c r="S75" s="386">
        <v>44748</v>
      </c>
      <c r="T75" s="386" t="s">
        <v>1295</v>
      </c>
      <c r="U75" s="387"/>
      <c r="V75" s="387"/>
      <c r="W75" s="387"/>
    </row>
    <row r="76" spans="1:23" x14ac:dyDescent="0.2">
      <c r="A76" s="13" t="str">
        <f>_xlfn.CONCAT(VLOOKUP(Check[[#This Row],[סטטוס]],Sold,2,FALSE),IF(Check[[#This Row],[סטטוס]]="פנויה",IF(N76="גמר מלא סטנדרט",".GMS",IF(N76="גמר מלא טיוב חומרים",".GMC",IF(N76="גמר מינימלי",".GM",IF(N76="דירת שיווק",".DS","")))),""),".",VLOOKUP(Check[[#This Row],[טיפוס]],Tipus[],5,FALSE),".",VLOOKUP(Check[[#This Row],[מגדל]],Tower,2,FALSE),".Ap.",Check[[#This Row],[מספר דירה]])</f>
        <v>O.S.3A.TS.Ap.74</v>
      </c>
      <c r="B76" s="13" t="str">
        <f>_xlfn.CONCAT(VLOOKUP(Check[[#This Row],[סטטוס]],Sold,2,FALSE),IF(Check[[#This Row],[סטטוס]]="פנויה",IF(N76="גמר מלא סטנדרט",".GMS",IF(N76="גמר מלא טיוב חומרים",".GMC",IF(N76="גמר מינימלי",".GM",IF(N76="דירת שיווק",".DS","")))),""),IF(M76="זומן לטרום",".ZLT",IF(M76="טרום מסירה",".TM",IF(M76="טרום מסירה מהנדס",".TMM",IF(M76="מסירת חזקה",".MH",IF(M76="מסירת חזקה מהנדס",".MHM",""))))),".",VLOOKUP(Check[[#This Row],[טיפוס]],Tipus[],5,FALSE),".",VLOOKUP(Check[[#This Row],[מגדל]],Tower,2,FALSE),".Ap.",Check[[#This Row],[מספר דירה]])</f>
        <v>O.S.3A.TS.Ap.74</v>
      </c>
      <c r="C76" s="3" t="s">
        <v>55</v>
      </c>
      <c r="D76" s="3">
        <v>9</v>
      </c>
      <c r="E76" s="4">
        <v>74</v>
      </c>
      <c r="F76" s="3">
        <v>904</v>
      </c>
      <c r="G76" s="3" t="s">
        <v>9</v>
      </c>
      <c r="H76" s="3">
        <f>VLOOKUP(Check[[#This Row],[טיפוס]],Tipus[],2,FALSE)</f>
        <v>3</v>
      </c>
      <c r="I76" s="3" t="str">
        <f>VLOOKUP(Check[[#This Row],[טיפוס]],Tipus[],3,FALSE)</f>
        <v>סטנדרט</v>
      </c>
      <c r="J76" s="3" t="str">
        <f>VLOOKUP(Check[[#This Row],[טיפוס]],Tipus[],4,FALSE)</f>
        <v>D</v>
      </c>
      <c r="K76" s="3" t="str">
        <f>IF(Check[[#This Row],[סטטוס2]]="הולד","פנויה",Check[[#This Row],[סטטוס2]])</f>
        <v>בעלים</v>
      </c>
      <c r="L76" s="382" t="s">
        <v>91</v>
      </c>
      <c r="M76" s="382"/>
      <c r="N76" s="383"/>
      <c r="O76" s="383"/>
      <c r="P76" s="411"/>
      <c r="Q76" s="411"/>
      <c r="R76" s="383"/>
      <c r="S76" s="384">
        <v>44040</v>
      </c>
      <c r="T76" s="384" t="s">
        <v>247</v>
      </c>
      <c r="U76" s="385" t="s">
        <v>412</v>
      </c>
      <c r="V76" s="385" t="s">
        <v>214</v>
      </c>
      <c r="W76" s="385" t="s">
        <v>214</v>
      </c>
    </row>
    <row r="77" spans="1:23" x14ac:dyDescent="0.2">
      <c r="A77" s="13" t="str">
        <f>_xlfn.CONCAT(VLOOKUP(Check[[#This Row],[סטטוס]],Sold,2,FALSE),IF(Check[[#This Row],[סטטוס]]="פנויה",IF(N77="גמר מלא סטנדרט",".GMS",IF(N77="גמר מלא טיוב חומרים",".GMC",IF(N77="גמר מינימלי",".GM",IF(N77="דירת שיווק",".DS","")))),""),".",VLOOKUP(Check[[#This Row],[טיפוס]],Tipus[],5,FALSE),".",VLOOKUP(Check[[#This Row],[מגדל]],Tower,2,FALSE),".Ap.",Check[[#This Row],[מספר דירה]])</f>
        <v>S.S.2D.TS.Ap.75</v>
      </c>
      <c r="B77" s="13" t="str">
        <f>_xlfn.CONCAT(VLOOKUP(Check[[#This Row],[סטטוס]],Sold,2,FALSE),IF(Check[[#This Row],[סטטוס]]="פנויה",IF(N77="גמר מלא סטנדרט",".GMS",IF(N77="גמר מלא טיוב חומרים",".GMC",IF(N77="גמר מינימלי",".GM",IF(N77="דירת שיווק",".DS","")))),""),IF(M77="זומן לטרום",".ZLT",IF(M77="טרום מסירה",".TM",IF(M77="טרום מסירה מהנדס",".TMM",IF(M77="מסירת חזקה",".MH",IF(M77="מסירת חזקה מהנדס",".MHM",""))))),".",VLOOKUP(Check[[#This Row],[טיפוס]],Tipus[],5,FALSE),".",VLOOKUP(Check[[#This Row],[מגדל]],Tower,2,FALSE),".Ap.",Check[[#This Row],[מספר דירה]])</f>
        <v>S.TM.S.2D.TS.Ap.75</v>
      </c>
      <c r="C77" s="3" t="s">
        <v>55</v>
      </c>
      <c r="D77" s="3">
        <v>9</v>
      </c>
      <c r="E77" s="4">
        <v>75</v>
      </c>
      <c r="F77" s="3">
        <v>905</v>
      </c>
      <c r="G77" s="3" t="s">
        <v>10</v>
      </c>
      <c r="H77" s="3">
        <f>VLOOKUP(Check[[#This Row],[טיפוס]],Tipus[],2,FALSE)</f>
        <v>2</v>
      </c>
      <c r="I77" s="3" t="str">
        <f>VLOOKUP(Check[[#This Row],[טיפוס]],Tipus[],3,FALSE)</f>
        <v>סטנדרט</v>
      </c>
      <c r="J77" s="3" t="str">
        <f>VLOOKUP(Check[[#This Row],[טיפוס]],Tipus[],4,FALSE)</f>
        <v>C</v>
      </c>
      <c r="K77" s="3" t="str">
        <f>IF(Check[[#This Row],[סטטוס2]]="הולד","פנויה",Check[[#This Row],[סטטוס2]])</f>
        <v>מכורה</v>
      </c>
      <c r="L77" s="382" t="s">
        <v>130</v>
      </c>
      <c r="M77" s="382" t="s">
        <v>1420</v>
      </c>
      <c r="N77" s="383"/>
      <c r="O77" s="383"/>
      <c r="P77" s="411"/>
      <c r="Q77" s="411"/>
      <c r="R77" s="383"/>
      <c r="S77" s="386">
        <v>44522</v>
      </c>
      <c r="T77" s="386" t="s">
        <v>1098</v>
      </c>
      <c r="U77" s="387"/>
      <c r="V77" s="387"/>
      <c r="W77" s="387"/>
    </row>
    <row r="78" spans="1:23" x14ac:dyDescent="0.2">
      <c r="A78" s="13" t="str">
        <f>_xlfn.CONCAT(VLOOKUP(Check[[#This Row],[סטטוס]],Sold,2,FALSE),IF(Check[[#This Row],[סטטוס]]="פנויה",IF(N78="גמר מלא סטנדרט",".GMS",IF(N78="גמר מלא טיוב חומרים",".GMC",IF(N78="גמר מינימלי",".GM",IF(N78="דירת שיווק",".DS","")))),""),".",VLOOKUP(Check[[#This Row],[טיפוס]],Tipus[],5,FALSE),".",VLOOKUP(Check[[#This Row],[מגדל]],Tower,2,FALSE),".Ap.",Check[[#This Row],[מספר דירה]])</f>
        <v>S.S.2E.TS.Ap.76</v>
      </c>
      <c r="B78" s="13" t="str">
        <f>_xlfn.CONCAT(VLOOKUP(Check[[#This Row],[סטטוס]],Sold,2,FALSE),IF(Check[[#This Row],[סטטוס]]="פנויה",IF(N78="גמר מלא סטנדרט",".GMS",IF(N78="גמר מלא טיוב חומרים",".GMC",IF(N78="גמר מינימלי",".GM",IF(N78="דירת שיווק",".DS","")))),""),IF(M78="זומן לטרום",".ZLT",IF(M78="טרום מסירה",".TM",IF(M78="טרום מסירה מהנדס",".TMM",IF(M78="מסירת חזקה",".MH",IF(M78="מסירת חזקה מהנדס",".MHM",""))))),".",VLOOKUP(Check[[#This Row],[טיפוס]],Tipus[],5,FALSE),".",VLOOKUP(Check[[#This Row],[מגדל]],Tower,2,FALSE),".Ap.",Check[[#This Row],[מספר דירה]])</f>
        <v>S.ZLT.S.2E.TS.Ap.76</v>
      </c>
      <c r="C78" s="3" t="s">
        <v>55</v>
      </c>
      <c r="D78" s="3">
        <v>9</v>
      </c>
      <c r="E78" s="4">
        <v>76</v>
      </c>
      <c r="F78" s="3">
        <v>906</v>
      </c>
      <c r="G78" s="3" t="s">
        <v>11</v>
      </c>
      <c r="H78" s="3">
        <f>VLOOKUP(Check[[#This Row],[טיפוס]],Tipus[],2,FALSE)</f>
        <v>2</v>
      </c>
      <c r="I78" s="3" t="str">
        <f>VLOOKUP(Check[[#This Row],[טיפוס]],Tipus[],3,FALSE)</f>
        <v>סטנדרט</v>
      </c>
      <c r="J78" s="3" t="str">
        <f>VLOOKUP(Check[[#This Row],[טיפוס]],Tipus[],4,FALSE)</f>
        <v>B</v>
      </c>
      <c r="K78" s="3" t="str">
        <f>IF(Check[[#This Row],[סטטוס2]]="הולד","פנויה",Check[[#This Row],[סטטוס2]])</f>
        <v>מכורה</v>
      </c>
      <c r="L78" s="382" t="s">
        <v>130</v>
      </c>
      <c r="M78" s="382" t="s">
        <v>1419</v>
      </c>
      <c r="N78" s="383"/>
      <c r="O78" s="383"/>
      <c r="P78" s="411"/>
      <c r="Q78" s="411"/>
      <c r="R78" s="383"/>
      <c r="S78" s="386">
        <v>44521</v>
      </c>
      <c r="T78" s="386" t="s">
        <v>1071</v>
      </c>
      <c r="U78" s="387"/>
      <c r="V78" s="387"/>
      <c r="W78" s="387"/>
    </row>
    <row r="79" spans="1:23" x14ac:dyDescent="0.2">
      <c r="A79" s="13" t="str">
        <f>_xlfn.CONCAT(VLOOKUP(Check[[#This Row],[סטטוס]],Sold,2,FALSE),IF(Check[[#This Row],[סטטוס]]="פנויה",IF(N79="גמר מלא סטנדרט",".GMS",IF(N79="גמר מלא טיוב חומרים",".GMC",IF(N79="גמר מינימלי",".GM",IF(N79="דירת שיווק",".DS","")))),""),".",VLOOKUP(Check[[#This Row],[טיפוס]],Tipus[],5,FALSE),".",VLOOKUP(Check[[#This Row],[מגדל]],Tower,2,FALSE),".Ap.",Check[[#This Row],[מספר דירה]])</f>
        <v>O.S.2F.TS.Ap.77</v>
      </c>
      <c r="B79" s="13" t="str">
        <f>_xlfn.CONCAT(VLOOKUP(Check[[#This Row],[סטטוס]],Sold,2,FALSE),IF(Check[[#This Row],[סטטוס]]="פנויה",IF(N79="גמר מלא סטנדרט",".GMS",IF(N79="גמר מלא טיוב חומרים",".GMC",IF(N79="גמר מינימלי",".GM",IF(N79="דירת שיווק",".DS","")))),""),IF(M79="זומן לטרום",".ZLT",IF(M79="טרום מסירה",".TM",IF(M79="טרום מסירה מהנדס",".TMM",IF(M79="מסירת חזקה",".MH",IF(M79="מסירת חזקה מהנדס",".MHM",""))))),".",VLOOKUP(Check[[#This Row],[טיפוס]],Tipus[],5,FALSE),".",VLOOKUP(Check[[#This Row],[מגדל]],Tower,2,FALSE),".Ap.",Check[[#This Row],[מספר דירה]])</f>
        <v>O.S.2F.TS.Ap.77</v>
      </c>
      <c r="C79" s="3" t="s">
        <v>55</v>
      </c>
      <c r="D79" s="3">
        <v>9</v>
      </c>
      <c r="E79" s="4">
        <v>77</v>
      </c>
      <c r="F79" s="3">
        <v>907</v>
      </c>
      <c r="G79" s="3" t="s">
        <v>12</v>
      </c>
      <c r="H79" s="3">
        <f>VLOOKUP(Check[[#This Row],[טיפוס]],Tipus[],2,FALSE)</f>
        <v>2</v>
      </c>
      <c r="I79" s="3" t="str">
        <f>VLOOKUP(Check[[#This Row],[טיפוס]],Tipus[],3,FALSE)</f>
        <v>סטנדרט</v>
      </c>
      <c r="J79" s="3" t="str">
        <f>VLOOKUP(Check[[#This Row],[טיפוס]],Tipus[],4,FALSE)</f>
        <v>A</v>
      </c>
      <c r="K79" s="3" t="str">
        <f>IF(Check[[#This Row],[סטטוס2]]="הולד","פנויה",Check[[#This Row],[סטטוס2]])</f>
        <v>בעלים</v>
      </c>
      <c r="L79" s="382" t="s">
        <v>91</v>
      </c>
      <c r="M79" s="382"/>
      <c r="N79" s="383"/>
      <c r="O79" s="383"/>
      <c r="P79" s="411"/>
      <c r="Q79" s="411"/>
      <c r="R79" s="383"/>
      <c r="S79" s="384">
        <v>44040</v>
      </c>
      <c r="T79" s="384" t="s">
        <v>233</v>
      </c>
      <c r="U79" s="385" t="s">
        <v>413</v>
      </c>
      <c r="V79" s="385" t="s">
        <v>214</v>
      </c>
      <c r="W79" s="385" t="s">
        <v>214</v>
      </c>
    </row>
    <row r="80" spans="1:23" ht="78.75" x14ac:dyDescent="0.2">
      <c r="A80" s="13" t="str">
        <f>_xlfn.CONCAT(VLOOKUP(Check[[#This Row],[סטטוס]],Sold,2,FALSE),IF(Check[[#This Row],[סטטוס]]="פנויה",IF(N80="גמר מלא סטנדרט",".GMS",IF(N80="גמר מלא טיוב חומרים",".GMC",IF(N80="גמר מינימלי",".GM",IF(N80="דירת שיווק",".DS","")))),""),".",VLOOKUP(Check[[#This Row],[טיפוס]],Tipus[],5,FALSE),".",VLOOKUP(Check[[#This Row],[מגדל]],Tower,2,FALSE),".Ap.",Check[[#This Row],[מספר דירה]])</f>
        <v>V.GMC.S.4A.TS.Ap.78</v>
      </c>
      <c r="B80" s="13" t="str">
        <f>_xlfn.CONCAT(VLOOKUP(Check[[#This Row],[סטטוס]],Sold,2,FALSE),IF(Check[[#This Row],[סטטוס]]="פנויה",IF(N80="גמר מלא סטנדרט",".GMS",IF(N80="גמר מלא טיוב חומרים",".GMC",IF(N80="גמר מינימלי",".GM",IF(N80="דירת שיווק",".DS","")))),""),IF(M80="זומן לטרום",".ZLT",IF(M80="טרום מסירה",".TM",IF(M80="טרום מסירה מהנדס",".TMM",IF(M80="מסירת חזקה",".MH",IF(M80="מסירת חזקה מהנדס",".MHM",""))))),".",VLOOKUP(Check[[#This Row],[טיפוס]],Tipus[],5,FALSE),".",VLOOKUP(Check[[#This Row],[מגדל]],Tower,2,FALSE),".Ap.",Check[[#This Row],[מספר דירה]])</f>
        <v>V.GMC.S.4A.TS.Ap.78</v>
      </c>
      <c r="C80" s="3" t="s">
        <v>55</v>
      </c>
      <c r="D80" s="3">
        <v>9</v>
      </c>
      <c r="E80" s="4">
        <v>78</v>
      </c>
      <c r="F80" s="3">
        <v>908</v>
      </c>
      <c r="G80" s="3" t="s">
        <v>14</v>
      </c>
      <c r="H80" s="3">
        <f>VLOOKUP(Check[[#This Row],[טיפוס]],Tipus[],2,FALSE)</f>
        <v>4</v>
      </c>
      <c r="I80" s="3" t="str">
        <f>VLOOKUP(Check[[#This Row],[טיפוס]],Tipus[],3,FALSE)</f>
        <v>סטנדרט</v>
      </c>
      <c r="J80" s="3" t="str">
        <f>VLOOKUP(Check[[#This Row],[טיפוס]],Tipus[],4,FALSE)</f>
        <v>J</v>
      </c>
      <c r="K80" s="3" t="str">
        <f>IF(Check[[#This Row],[סטטוס2]]="הולד","פנויה",Check[[#This Row],[סטטוס2]])</f>
        <v>פנויה</v>
      </c>
      <c r="L80" s="382" t="s">
        <v>108</v>
      </c>
      <c r="M80" s="382"/>
      <c r="N80" t="s">
        <v>1417</v>
      </c>
      <c r="O80" s="422" t="s">
        <v>1396</v>
      </c>
      <c r="P80" s="410" t="s">
        <v>1394</v>
      </c>
      <c r="Q80" s="410" t="s">
        <v>1393</v>
      </c>
      <c r="R80" s="399"/>
      <c r="S80" s="384"/>
      <c r="T80" s="398"/>
      <c r="U80" s="385"/>
      <c r="V80" s="385"/>
      <c r="W80" s="387"/>
    </row>
    <row r="81" spans="1:23" x14ac:dyDescent="0.2">
      <c r="A81" s="13" t="str">
        <f>_xlfn.CONCAT(VLOOKUP(Check[[#This Row],[סטטוס]],Sold,2,FALSE),IF(Check[[#This Row],[סטטוס]]="פנויה",IF(N81="גמר מלא סטנדרט",".GMS",IF(N81="גמר מלא טיוב חומרים",".GMC",IF(N81="גמר מינימלי",".GM",IF(N81="דירת שיווק",".DS","")))),""),".",VLOOKUP(Check[[#This Row],[טיפוס]],Tipus[],5,FALSE),".",VLOOKUP(Check[[#This Row],[מגדל]],Tower,2,FALSE),".Ap.",Check[[#This Row],[מספר דירה]])</f>
        <v>V.GMS.S.2G.TS.Ap.79</v>
      </c>
      <c r="B81" s="13" t="str">
        <f>_xlfn.CONCAT(VLOOKUP(Check[[#This Row],[סטטוס]],Sold,2,FALSE),IF(Check[[#This Row],[סטטוס]]="פנויה",IF(N81="גמר מלא סטנדרט",".GMS",IF(N81="גמר מלא טיוב חומרים",".GMC",IF(N81="גמר מינימלי",".GM",IF(N81="דירת שיווק",".DS","")))),""),IF(M81="זומן לטרום",".ZLT",IF(M81="טרום מסירה",".TM",IF(M81="טרום מסירה מהנדס",".TMM",IF(M81="מסירת חזקה",".MH",IF(M81="מסירת חזקה מהנדס",".MHM",""))))),".",VLOOKUP(Check[[#This Row],[טיפוס]],Tipus[],5,FALSE),".",VLOOKUP(Check[[#This Row],[מגדל]],Tower,2,FALSE),".Ap.",Check[[#This Row],[מספר דירה]])</f>
        <v>V.GMS.S.2G.TS.Ap.79</v>
      </c>
      <c r="C81" s="3" t="s">
        <v>55</v>
      </c>
      <c r="D81" s="3">
        <v>9</v>
      </c>
      <c r="E81" s="4">
        <v>79</v>
      </c>
      <c r="F81" s="3">
        <v>909</v>
      </c>
      <c r="G81" s="3" t="s">
        <v>15</v>
      </c>
      <c r="H81" s="3">
        <f>VLOOKUP(Check[[#This Row],[טיפוס]],Tipus[],2,FALSE)</f>
        <v>2</v>
      </c>
      <c r="I81" s="3" t="str">
        <f>VLOOKUP(Check[[#This Row],[טיפוס]],Tipus[],3,FALSE)</f>
        <v>סטנדרט</v>
      </c>
      <c r="J81" s="3" t="str">
        <f>VLOOKUP(Check[[#This Row],[טיפוס]],Tipus[],4,FALSE)</f>
        <v>I</v>
      </c>
      <c r="K81" s="3" t="str">
        <f>IF(Check[[#This Row],[סטטוס2]]="הולד","פנויה",Check[[#This Row],[סטטוס2]])</f>
        <v>פנויה</v>
      </c>
      <c r="L81" s="382" t="s">
        <v>108</v>
      </c>
      <c r="M81" s="382"/>
      <c r="N81" t="s">
        <v>1367</v>
      </c>
      <c r="O81" s="383" t="s">
        <v>1390</v>
      </c>
      <c r="P81" s="410" t="s">
        <v>1389</v>
      </c>
      <c r="Q81" s="410"/>
      <c r="R81" s="383"/>
      <c r="S81" s="384"/>
      <c r="T81" s="384" t="s">
        <v>214</v>
      </c>
      <c r="U81" s="385"/>
      <c r="V81" s="385"/>
      <c r="W81" s="387"/>
    </row>
    <row r="82" spans="1:23" x14ac:dyDescent="0.2">
      <c r="A82" s="13" t="str">
        <f>_xlfn.CONCAT(VLOOKUP(Check[[#This Row],[סטטוס]],Sold,2,FALSE),IF(Check[[#This Row],[סטטוס]]="פנויה",IF(N82="גמר מלא סטנדרט",".GMS",IF(N82="גמר מלא טיוב חומרים",".GMC",IF(N82="גמר מינימלי",".GM",IF(N82="דירת שיווק",".DS","")))),""),".",VLOOKUP(Check[[#This Row],[טיפוס]],Tipus[],5,FALSE),".",VLOOKUP(Check[[#This Row],[מגדל]],Tower,2,FALSE),".Ap.",Check[[#This Row],[מספר דירה]])</f>
        <v>V.GMS.S.4B.TS.Ap.80</v>
      </c>
      <c r="B82" s="13" t="str">
        <f>_xlfn.CONCAT(VLOOKUP(Check[[#This Row],[סטטוס]],Sold,2,FALSE),IF(Check[[#This Row],[סטטוס]]="פנויה",IF(N82="גמר מלא סטנדרט",".GMS",IF(N82="גמר מלא טיוב חומרים",".GMC",IF(N82="גמר מינימלי",".GM",IF(N82="דירת שיווק",".DS","")))),""),IF(M82="זומן לטרום",".ZLT",IF(M82="טרום מסירה",".TM",IF(M82="טרום מסירה מהנדס",".TMM",IF(M82="מסירת חזקה",".MH",IF(M82="מסירת חזקה מהנדס",".MHM",""))))),".",VLOOKUP(Check[[#This Row],[טיפוס]],Tipus[],5,FALSE),".",VLOOKUP(Check[[#This Row],[מגדל]],Tower,2,FALSE),".Ap.",Check[[#This Row],[מספר דירה]])</f>
        <v>V.GMS.S.4B.TS.Ap.80</v>
      </c>
      <c r="C82" s="3" t="s">
        <v>55</v>
      </c>
      <c r="D82" s="3">
        <v>9</v>
      </c>
      <c r="E82" s="4">
        <v>80</v>
      </c>
      <c r="F82" s="3">
        <v>910</v>
      </c>
      <c r="G82" s="3" t="s">
        <v>16</v>
      </c>
      <c r="H82" s="3">
        <f>VLOOKUP(Check[[#This Row],[טיפוס]],Tipus[],2,FALSE)</f>
        <v>4</v>
      </c>
      <c r="I82" s="3" t="str">
        <f>VLOOKUP(Check[[#This Row],[טיפוס]],Tipus[],3,FALSE)</f>
        <v>סטנדרט</v>
      </c>
      <c r="J82" s="3" t="str">
        <f>VLOOKUP(Check[[#This Row],[טיפוס]],Tipus[],4,FALSE)</f>
        <v>H</v>
      </c>
      <c r="K82" s="3" t="str">
        <f>IF(Check[[#This Row],[סטטוס2]]="הולד","פנויה",Check[[#This Row],[סטטוס2]])</f>
        <v>פנויה</v>
      </c>
      <c r="L82" s="382" t="s">
        <v>108</v>
      </c>
      <c r="M82" s="382"/>
      <c r="N82" t="s">
        <v>1367</v>
      </c>
      <c r="O82" s="383" t="s">
        <v>1390</v>
      </c>
      <c r="P82" s="410" t="s">
        <v>1389</v>
      </c>
      <c r="Q82" s="410"/>
      <c r="R82" s="383"/>
      <c r="S82" s="384"/>
      <c r="T82" s="384" t="s">
        <v>214</v>
      </c>
      <c r="U82" s="385"/>
      <c r="V82" s="385"/>
      <c r="W82" s="387"/>
    </row>
    <row r="83" spans="1:23" x14ac:dyDescent="0.2">
      <c r="A83" s="13" t="str">
        <f>_xlfn.CONCAT(VLOOKUP(Check[[#This Row],[סטטוס]],Sold,2,FALSE),IF(Check[[#This Row],[סטטוס]]="פנויה",IF(N83="גמר מלא סטנדרט",".GMS",IF(N83="גמר מלא טיוב חומרים",".GMC",IF(N83="גמר מינימלי",".GM",IF(N83="דירת שיווק",".DS","")))),""),".",VLOOKUP(Check[[#This Row],[טיפוס]],Tipus[],5,FALSE),".",VLOOKUP(Check[[#This Row],[מגדל]],Tower,2,FALSE),".Ap.",Check[[#This Row],[מספר דירה]])</f>
        <v>S.S.2A.TS.Ap.81</v>
      </c>
      <c r="B83" s="13" t="str">
        <f>_xlfn.CONCAT(VLOOKUP(Check[[#This Row],[סטטוס]],Sold,2,FALSE),IF(Check[[#This Row],[סטטוס]]="פנויה",IF(N83="גמר מלא סטנדרט",".GMS",IF(N83="גמר מלא טיוב חומרים",".GMC",IF(N83="גמר מינימלי",".GM",IF(N83="דירת שיווק",".DS","")))),""),IF(M83="זומן לטרום",".ZLT",IF(M83="טרום מסירה",".TM",IF(M83="טרום מסירה מהנדס",".TMM",IF(M83="מסירת חזקה",".MH",IF(M83="מסירת חזקה מהנדס",".MHM",""))))),".",VLOOKUP(Check[[#This Row],[טיפוס]],Tipus[],5,FALSE),".",VLOOKUP(Check[[#This Row],[מגדל]],Tower,2,FALSE),".Ap.",Check[[#This Row],[מספר דירה]])</f>
        <v>S.S.2A.TS.Ap.81</v>
      </c>
      <c r="C83" s="3" t="s">
        <v>55</v>
      </c>
      <c r="D83" s="3">
        <v>10</v>
      </c>
      <c r="E83" s="4">
        <v>81</v>
      </c>
      <c r="F83" s="3">
        <v>1001</v>
      </c>
      <c r="G83" s="3" t="s">
        <v>6</v>
      </c>
      <c r="H83" s="3">
        <f>VLOOKUP(Check[[#This Row],[טיפוס]],Tipus[],2,FALSE)</f>
        <v>2</v>
      </c>
      <c r="I83" s="3" t="str">
        <f>VLOOKUP(Check[[#This Row],[טיפוס]],Tipus[],3,FALSE)</f>
        <v>סטנדרט</v>
      </c>
      <c r="J83" s="3" t="str">
        <f>VLOOKUP(Check[[#This Row],[טיפוס]],Tipus[],4,FALSE)</f>
        <v>G</v>
      </c>
      <c r="K83" s="3" t="str">
        <f>IF(Check[[#This Row],[סטטוס2]]="הולד","פנויה",Check[[#This Row],[סטטוס2]])</f>
        <v>מכורה</v>
      </c>
      <c r="L83" s="382" t="s">
        <v>130</v>
      </c>
      <c r="M83" s="382"/>
      <c r="N83" s="383"/>
      <c r="O83" s="383"/>
      <c r="P83" s="412"/>
      <c r="Q83" s="412"/>
      <c r="R83" s="383"/>
      <c r="S83" s="386">
        <v>44613</v>
      </c>
      <c r="T83" s="386" t="s">
        <v>1150</v>
      </c>
      <c r="U83" s="387"/>
      <c r="V83" s="387"/>
      <c r="W83" s="387"/>
    </row>
    <row r="84" spans="1:23" x14ac:dyDescent="0.2">
      <c r="A84" s="13" t="str">
        <f>_xlfn.CONCAT(VLOOKUP(Check[[#This Row],[סטטוס]],Sold,2,FALSE),IF(Check[[#This Row],[סטטוס]]="פנויה",IF(N84="גמר מלא סטנדרט",".GMS",IF(N84="גמר מלא טיוב חומרים",".GMC",IF(N84="גמר מינימלי",".GM",IF(N84="דירת שיווק",".DS","")))),""),".",VLOOKUP(Check[[#This Row],[טיפוס]],Tipus[],5,FALSE),".",VLOOKUP(Check[[#This Row],[מגדל]],Tower,2,FALSE),".Ap.",Check[[#This Row],[מספר דירה]])</f>
        <v>S.S.2B.TS.Ap.82</v>
      </c>
      <c r="B84" s="13" t="str">
        <f>_xlfn.CONCAT(VLOOKUP(Check[[#This Row],[סטטוס]],Sold,2,FALSE),IF(Check[[#This Row],[סטטוס]]="פנויה",IF(N84="גמר מלא סטנדרט",".GMS",IF(N84="גמר מלא טיוב חומרים",".GMC",IF(N84="גמר מינימלי",".GM",IF(N84="דירת שיווק",".DS","")))),""),IF(M84="זומן לטרום",".ZLT",IF(M84="טרום מסירה",".TM",IF(M84="טרום מסירה מהנדס",".TMM",IF(M84="מסירת חזקה",".MH",IF(M84="מסירת חזקה מהנדס",".MHM",""))))),".",VLOOKUP(Check[[#This Row],[טיפוס]],Tipus[],5,FALSE),".",VLOOKUP(Check[[#This Row],[מגדל]],Tower,2,FALSE),".Ap.",Check[[#This Row],[מספר דירה]])</f>
        <v>S.ZLT.S.2B.TS.Ap.82</v>
      </c>
      <c r="C84" s="3" t="s">
        <v>55</v>
      </c>
      <c r="D84" s="3">
        <v>10</v>
      </c>
      <c r="E84" s="4">
        <v>82</v>
      </c>
      <c r="F84" s="3">
        <v>1002</v>
      </c>
      <c r="G84" s="3" t="s">
        <v>7</v>
      </c>
      <c r="H84" s="3">
        <f>VLOOKUP(Check[[#This Row],[טיפוס]],Tipus[],2,FALSE)</f>
        <v>2</v>
      </c>
      <c r="I84" s="3" t="str">
        <f>VLOOKUP(Check[[#This Row],[טיפוס]],Tipus[],3,FALSE)</f>
        <v>סטנדרט</v>
      </c>
      <c r="J84" s="3" t="str">
        <f>VLOOKUP(Check[[#This Row],[טיפוס]],Tipus[],4,FALSE)</f>
        <v>F</v>
      </c>
      <c r="K84" s="3" t="str">
        <f>IF(Check[[#This Row],[סטטוס2]]="הולד","פנויה",Check[[#This Row],[סטטוס2]])</f>
        <v>מכורה</v>
      </c>
      <c r="L84" s="382" t="s">
        <v>130</v>
      </c>
      <c r="M84" s="382" t="s">
        <v>1419</v>
      </c>
      <c r="N84" s="383"/>
      <c r="O84" s="383"/>
      <c r="P84" s="412"/>
      <c r="Q84" s="412"/>
      <c r="R84" s="383"/>
      <c r="S84" s="386">
        <v>44762</v>
      </c>
      <c r="T84" s="386" t="s">
        <v>1094</v>
      </c>
      <c r="U84" s="387"/>
      <c r="V84" s="387"/>
      <c r="W84" s="387"/>
    </row>
    <row r="85" spans="1:23" x14ac:dyDescent="0.2">
      <c r="A85" s="13" t="str">
        <f>_xlfn.CONCAT(VLOOKUP(Check[[#This Row],[סטטוס]],Sold,2,FALSE),IF(Check[[#This Row],[סטטוס]]="פנויה",IF(N85="גמר מלא סטנדרט",".GMS",IF(N85="גמר מלא טיוב חומרים",".GMC",IF(N85="גמר מינימלי",".GM",IF(N85="דירת שיווק",".DS","")))),""),".",VLOOKUP(Check[[#This Row],[טיפוס]],Tipus[],5,FALSE),".",VLOOKUP(Check[[#This Row],[מגדל]],Tower,2,FALSE),".Ap.",Check[[#This Row],[מספר דירה]])</f>
        <v>S.S.2C.TS.Ap.83</v>
      </c>
      <c r="B85" s="13" t="str">
        <f>_xlfn.CONCAT(VLOOKUP(Check[[#This Row],[סטטוס]],Sold,2,FALSE),IF(Check[[#This Row],[סטטוס]]="פנויה",IF(N85="גמר מלא סטנדרט",".GMS",IF(N85="גמר מלא טיוב חומרים",".GMC",IF(N85="גמר מינימלי",".GM",IF(N85="דירת שיווק",".DS","")))),""),IF(M85="זומן לטרום",".ZLT",IF(M85="טרום מסירה",".TM",IF(M85="טרום מסירה מהנדס",".TMM",IF(M85="מסירת חזקה",".MH",IF(M85="מסירת חזקה מהנדס",".MHM",""))))),".",VLOOKUP(Check[[#This Row],[טיפוס]],Tipus[],5,FALSE),".",VLOOKUP(Check[[#This Row],[מגדל]],Tower,2,FALSE),".Ap.",Check[[#This Row],[מספר דירה]])</f>
        <v>S.TM.S.2C.TS.Ap.83</v>
      </c>
      <c r="C85" s="3" t="s">
        <v>55</v>
      </c>
      <c r="D85" s="3">
        <v>10</v>
      </c>
      <c r="E85" s="4">
        <v>83</v>
      </c>
      <c r="F85" s="3">
        <v>1003</v>
      </c>
      <c r="G85" s="3" t="s">
        <v>8</v>
      </c>
      <c r="H85" s="3">
        <f>VLOOKUP(Check[[#This Row],[טיפוס]],Tipus[],2,FALSE)</f>
        <v>2</v>
      </c>
      <c r="I85" s="3" t="str">
        <f>VLOOKUP(Check[[#This Row],[טיפוס]],Tipus[],3,FALSE)</f>
        <v>סטנדרט</v>
      </c>
      <c r="J85" s="3" t="str">
        <f>VLOOKUP(Check[[#This Row],[טיפוס]],Tipus[],4,FALSE)</f>
        <v>E</v>
      </c>
      <c r="K85" s="3" t="str">
        <f>IF(Check[[#This Row],[סטטוס2]]="הולד","פנויה",Check[[#This Row],[סטטוס2]])</f>
        <v>מכורה</v>
      </c>
      <c r="L85" s="382" t="s">
        <v>130</v>
      </c>
      <c r="M85" s="382" t="s">
        <v>1420</v>
      </c>
      <c r="N85" s="383"/>
      <c r="O85" s="383"/>
      <c r="P85" s="411"/>
      <c r="Q85" s="411"/>
      <c r="R85" s="383"/>
      <c r="S85" s="386">
        <v>44914</v>
      </c>
      <c r="T85" s="386" t="s">
        <v>1099</v>
      </c>
      <c r="U85" s="387"/>
      <c r="V85" s="387"/>
      <c r="W85" s="387"/>
    </row>
    <row r="86" spans="1:23" x14ac:dyDescent="0.2">
      <c r="A86" s="13" t="str">
        <f>_xlfn.CONCAT(VLOOKUP(Check[[#This Row],[סטטוס]],Sold,2,FALSE),IF(Check[[#This Row],[סטטוס]]="פנויה",IF(N86="גמר מלא סטנדרט",".GMS",IF(N86="גמר מלא טיוב חומרים",".GMC",IF(N86="גמר מינימלי",".GM",IF(N86="דירת שיווק",".DS","")))),""),".",VLOOKUP(Check[[#This Row],[טיפוס]],Tipus[],5,FALSE),".",VLOOKUP(Check[[#This Row],[מגדל]],Tower,2,FALSE),".Ap.",Check[[#This Row],[מספר דירה]])</f>
        <v>O.S.3A.TS.Ap.84</v>
      </c>
      <c r="B86" s="13" t="str">
        <f>_xlfn.CONCAT(VLOOKUP(Check[[#This Row],[סטטוס]],Sold,2,FALSE),IF(Check[[#This Row],[סטטוס]]="פנויה",IF(N86="גמר מלא סטנדרט",".GMS",IF(N86="גמר מלא טיוב חומרים",".GMC",IF(N86="גמר מינימלי",".GM",IF(N86="דירת שיווק",".DS","")))),""),IF(M86="זומן לטרום",".ZLT",IF(M86="טרום מסירה",".TM",IF(M86="טרום מסירה מהנדס",".TMM",IF(M86="מסירת חזקה",".MH",IF(M86="מסירת חזקה מהנדס",".MHM",""))))),".",VLOOKUP(Check[[#This Row],[טיפוס]],Tipus[],5,FALSE),".",VLOOKUP(Check[[#This Row],[מגדל]],Tower,2,FALSE),".Ap.",Check[[#This Row],[מספר דירה]])</f>
        <v>O.TM.S.3A.TS.Ap.84</v>
      </c>
      <c r="C86" s="3" t="s">
        <v>55</v>
      </c>
      <c r="D86" s="3">
        <v>10</v>
      </c>
      <c r="E86" s="4">
        <v>84</v>
      </c>
      <c r="F86" s="3">
        <v>1004</v>
      </c>
      <c r="G86" s="3" t="s">
        <v>9</v>
      </c>
      <c r="H86" s="3">
        <f>VLOOKUP(Check[[#This Row],[טיפוס]],Tipus[],2,FALSE)</f>
        <v>3</v>
      </c>
      <c r="I86" s="3" t="str">
        <f>VLOOKUP(Check[[#This Row],[טיפוס]],Tipus[],3,FALSE)</f>
        <v>סטנדרט</v>
      </c>
      <c r="J86" s="3" t="str">
        <f>VLOOKUP(Check[[#This Row],[טיפוס]],Tipus[],4,FALSE)</f>
        <v>D</v>
      </c>
      <c r="K86" s="3" t="str">
        <f>IF(Check[[#This Row],[סטטוס2]]="הולד","פנויה",Check[[#This Row],[סטטוס2]])</f>
        <v>בעלים</v>
      </c>
      <c r="L86" s="382" t="s">
        <v>91</v>
      </c>
      <c r="M86" s="382" t="s">
        <v>1420</v>
      </c>
      <c r="N86" s="383"/>
      <c r="O86" s="383"/>
      <c r="P86" s="411"/>
      <c r="Q86" s="411"/>
      <c r="R86" s="383"/>
      <c r="S86" s="384">
        <v>44040</v>
      </c>
      <c r="T86" s="384" t="s">
        <v>1296</v>
      </c>
      <c r="U86" s="385" t="s">
        <v>414</v>
      </c>
      <c r="V86" s="385" t="s">
        <v>214</v>
      </c>
      <c r="W86" s="385" t="s">
        <v>214</v>
      </c>
    </row>
    <row r="87" spans="1:23" x14ac:dyDescent="0.2">
      <c r="A87" s="13" t="str">
        <f>_xlfn.CONCAT(VLOOKUP(Check[[#This Row],[סטטוס]],Sold,2,FALSE),IF(Check[[#This Row],[סטטוס]]="פנויה",IF(N87="גמר מלא סטנדרט",".GMS",IF(N87="גמר מלא טיוב חומרים",".GMC",IF(N87="גמר מינימלי",".GM",IF(N87="דירת שיווק",".DS","")))),""),".",VLOOKUP(Check[[#This Row],[טיפוס]],Tipus[],5,FALSE),".",VLOOKUP(Check[[#This Row],[מגדל]],Tower,2,FALSE),".Ap.",Check[[#This Row],[מספר דירה]])</f>
        <v>O.S.2D.TS.Ap.85</v>
      </c>
      <c r="B87" s="13" t="str">
        <f>_xlfn.CONCAT(VLOOKUP(Check[[#This Row],[סטטוס]],Sold,2,FALSE),IF(Check[[#This Row],[סטטוס]]="פנויה",IF(N87="גמר מלא סטנדרט",".GMS",IF(N87="גמר מלא טיוב חומרים",".GMC",IF(N87="גמר מינימלי",".GM",IF(N87="דירת שיווק",".DS","")))),""),IF(M87="זומן לטרום",".ZLT",IF(M87="טרום מסירה",".TM",IF(M87="טרום מסירה מהנדס",".TMM",IF(M87="מסירת חזקה",".MH",IF(M87="מסירת חזקה מהנדס",".MHM",""))))),".",VLOOKUP(Check[[#This Row],[טיפוס]],Tipus[],5,FALSE),".",VLOOKUP(Check[[#This Row],[מגדל]],Tower,2,FALSE),".Ap.",Check[[#This Row],[מספר דירה]])</f>
        <v>O.TM.S.2D.TS.Ap.85</v>
      </c>
      <c r="C87" s="3" t="s">
        <v>55</v>
      </c>
      <c r="D87" s="3">
        <v>10</v>
      </c>
      <c r="E87" s="4">
        <v>85</v>
      </c>
      <c r="F87" s="3">
        <v>1005</v>
      </c>
      <c r="G87" s="3" t="s">
        <v>10</v>
      </c>
      <c r="H87" s="3">
        <f>VLOOKUP(Check[[#This Row],[טיפוס]],Tipus[],2,FALSE)</f>
        <v>2</v>
      </c>
      <c r="I87" s="3" t="str">
        <f>VLOOKUP(Check[[#This Row],[טיפוס]],Tipus[],3,FALSE)</f>
        <v>סטנדרט</v>
      </c>
      <c r="J87" s="3" t="str">
        <f>VLOOKUP(Check[[#This Row],[טיפוס]],Tipus[],4,FALSE)</f>
        <v>C</v>
      </c>
      <c r="K87" s="3" t="str">
        <f>IF(Check[[#This Row],[סטטוס2]]="הולד","פנויה",Check[[#This Row],[סטטוס2]])</f>
        <v>בעלים</v>
      </c>
      <c r="L87" s="382" t="s">
        <v>91</v>
      </c>
      <c r="M87" s="382" t="s">
        <v>1420</v>
      </c>
      <c r="N87" s="383"/>
      <c r="O87" s="383"/>
      <c r="P87" s="411"/>
      <c r="Q87" s="411"/>
      <c r="R87" s="383"/>
      <c r="S87" s="384">
        <v>44040</v>
      </c>
      <c r="T87" s="384" t="s">
        <v>371</v>
      </c>
      <c r="U87" s="385" t="s">
        <v>415</v>
      </c>
      <c r="V87" s="385" t="s">
        <v>214</v>
      </c>
      <c r="W87" s="385" t="s">
        <v>214</v>
      </c>
    </row>
    <row r="88" spans="1:23" x14ac:dyDescent="0.2">
      <c r="A88" s="13" t="str">
        <f>_xlfn.CONCAT(VLOOKUP(Check[[#This Row],[סטטוס]],Sold,2,FALSE),IF(Check[[#This Row],[סטטוס]]="פנויה",IF(N88="גמר מלא סטנדרט",".GMS",IF(N88="גמר מלא טיוב חומרים",".GMC",IF(N88="גמר מינימלי",".GM",IF(N88="דירת שיווק",".DS","")))),""),".",VLOOKUP(Check[[#This Row],[טיפוס]],Tipus[],5,FALSE),".",VLOOKUP(Check[[#This Row],[מגדל]],Tower,2,FALSE),".Ap.",Check[[#This Row],[מספר דירה]])</f>
        <v>S.S.2E.TS.Ap.86</v>
      </c>
      <c r="B88" s="13" t="str">
        <f>_xlfn.CONCAT(VLOOKUP(Check[[#This Row],[סטטוס]],Sold,2,FALSE),IF(Check[[#This Row],[סטטוס]]="פנויה",IF(N88="גמר מלא סטנדרט",".GMS",IF(N88="גמר מלא טיוב חומרים",".GMC",IF(N88="גמר מינימלי",".GM",IF(N88="דירת שיווק",".DS","")))),""),IF(M88="זומן לטרום",".ZLT",IF(M88="טרום מסירה",".TM",IF(M88="טרום מסירה מהנדס",".TMM",IF(M88="מסירת חזקה",".MH",IF(M88="מסירת חזקה מהנדס",".MHM",""))))),".",VLOOKUP(Check[[#This Row],[טיפוס]],Tipus[],5,FALSE),".",VLOOKUP(Check[[#This Row],[מגדל]],Tower,2,FALSE),".Ap.",Check[[#This Row],[מספר דירה]])</f>
        <v>S.S.2E.TS.Ap.86</v>
      </c>
      <c r="C88" s="3" t="s">
        <v>55</v>
      </c>
      <c r="D88" s="3">
        <v>10</v>
      </c>
      <c r="E88" s="4">
        <v>86</v>
      </c>
      <c r="F88" s="3">
        <v>1006</v>
      </c>
      <c r="G88" s="3" t="s">
        <v>11</v>
      </c>
      <c r="H88" s="3">
        <f>VLOOKUP(Check[[#This Row],[טיפוס]],Tipus[],2,FALSE)</f>
        <v>2</v>
      </c>
      <c r="I88" s="3" t="str">
        <f>VLOOKUP(Check[[#This Row],[טיפוס]],Tipus[],3,FALSE)</f>
        <v>סטנדרט</v>
      </c>
      <c r="J88" s="3" t="str">
        <f>VLOOKUP(Check[[#This Row],[טיפוס]],Tipus[],4,FALSE)</f>
        <v>B</v>
      </c>
      <c r="K88" s="3" t="str">
        <f>IF(Check[[#This Row],[סטטוס2]]="הולד","פנויה",Check[[#This Row],[סטטוס2]])</f>
        <v>מכורה</v>
      </c>
      <c r="L88" s="382" t="s">
        <v>130</v>
      </c>
      <c r="M88" s="382"/>
      <c r="N88" s="383"/>
      <c r="O88" s="383"/>
      <c r="P88" s="411"/>
      <c r="Q88" s="411"/>
      <c r="R88" s="383"/>
      <c r="S88" s="386">
        <v>44521</v>
      </c>
      <c r="T88" s="386" t="s">
        <v>1071</v>
      </c>
      <c r="U88" s="387"/>
      <c r="V88" s="387"/>
      <c r="W88" s="387"/>
    </row>
    <row r="89" spans="1:23" x14ac:dyDescent="0.2">
      <c r="A89" s="13" t="str">
        <f>_xlfn.CONCAT(VLOOKUP(Check[[#This Row],[סטטוס]],Sold,2,FALSE),IF(Check[[#This Row],[סטטוס]]="פנויה",IF(N89="גמר מלא סטנדרט",".GMS",IF(N89="גמר מלא טיוב חומרים",".GMC",IF(N89="גמר מינימלי",".GM",IF(N89="דירת שיווק",".DS","")))),""),".",VLOOKUP(Check[[#This Row],[טיפוס]],Tipus[],5,FALSE),".",VLOOKUP(Check[[#This Row],[מגדל]],Tower,2,FALSE),".Ap.",Check[[#This Row],[מספר דירה]])</f>
        <v>O.S.2F.TS.Ap.87</v>
      </c>
      <c r="B89" s="13" t="str">
        <f>_xlfn.CONCAT(VLOOKUP(Check[[#This Row],[סטטוס]],Sold,2,FALSE),IF(Check[[#This Row],[סטטוס]]="פנויה",IF(N89="גמר מלא סטנדרט",".GMS",IF(N89="גמר מלא טיוב חומרים",".GMC",IF(N89="גמר מינימלי",".GM",IF(N89="דירת שיווק",".DS","")))),""),IF(M89="זומן לטרום",".ZLT",IF(M89="טרום מסירה",".TM",IF(M89="טרום מסירה מהנדס",".TMM",IF(M89="מסירת חזקה",".MH",IF(M89="מסירת חזקה מהנדס",".MHM",""))))),".",VLOOKUP(Check[[#This Row],[טיפוס]],Tipus[],5,FALSE),".",VLOOKUP(Check[[#This Row],[מגדל]],Tower,2,FALSE),".Ap.",Check[[#This Row],[מספר דירה]])</f>
        <v>O.S.2F.TS.Ap.87</v>
      </c>
      <c r="C89" s="3" t="s">
        <v>55</v>
      </c>
      <c r="D89" s="3">
        <v>10</v>
      </c>
      <c r="E89" s="4">
        <v>87</v>
      </c>
      <c r="F89" s="3">
        <v>1007</v>
      </c>
      <c r="G89" s="3" t="s">
        <v>12</v>
      </c>
      <c r="H89" s="3">
        <f>VLOOKUP(Check[[#This Row],[טיפוס]],Tipus[],2,FALSE)</f>
        <v>2</v>
      </c>
      <c r="I89" s="3" t="str">
        <f>VLOOKUP(Check[[#This Row],[טיפוס]],Tipus[],3,FALSE)</f>
        <v>סטנדרט</v>
      </c>
      <c r="J89" s="3" t="str">
        <f>VLOOKUP(Check[[#This Row],[טיפוס]],Tipus[],4,FALSE)</f>
        <v>A</v>
      </c>
      <c r="K89" s="3" t="str">
        <f>IF(Check[[#This Row],[סטטוס2]]="הולד","פנויה",Check[[#This Row],[סטטוס2]])</f>
        <v>בעלים</v>
      </c>
      <c r="L89" s="382" t="s">
        <v>91</v>
      </c>
      <c r="M89" s="382"/>
      <c r="N89" s="383"/>
      <c r="O89" s="383"/>
      <c r="P89" s="411"/>
      <c r="Q89" s="411"/>
      <c r="R89" s="383"/>
      <c r="S89" s="384">
        <v>44040</v>
      </c>
      <c r="T89" s="384" t="s">
        <v>416</v>
      </c>
      <c r="U89" s="385" t="s">
        <v>417</v>
      </c>
      <c r="V89" s="385" t="s">
        <v>214</v>
      </c>
      <c r="W89" s="385" t="s">
        <v>221</v>
      </c>
    </row>
    <row r="90" spans="1:23" x14ac:dyDescent="0.2">
      <c r="A90" s="13" t="str">
        <f>_xlfn.CONCAT(VLOOKUP(Check[[#This Row],[סטטוס]],Sold,2,FALSE),IF(Check[[#This Row],[סטטוס]]="פנויה",IF(N90="גמר מלא סטנדרט",".GMS",IF(N90="גמר מלא טיוב חומרים",".GMC",IF(N90="גמר מינימלי",".GM",IF(N90="דירת שיווק",".DS","")))),""),".",VLOOKUP(Check[[#This Row],[טיפוס]],Tipus[],5,FALSE),".",VLOOKUP(Check[[#This Row],[מגדל]],Tower,2,FALSE),".Ap.",Check[[#This Row],[מספר דירה]])</f>
        <v>S.S.4A.TS.Ap.88</v>
      </c>
      <c r="B90" s="13" t="str">
        <f>_xlfn.CONCAT(VLOOKUP(Check[[#This Row],[סטטוס]],Sold,2,FALSE),IF(Check[[#This Row],[סטטוס]]="פנויה",IF(N90="גמר מלא סטנדרט",".GMS",IF(N90="גמר מלא טיוב חומרים",".GMC",IF(N90="גמר מינימלי",".GM",IF(N90="דירת שיווק",".DS","")))),""),IF(M90="זומן לטרום",".ZLT",IF(M90="טרום מסירה",".TM",IF(M90="טרום מסירה מהנדס",".TMM",IF(M90="מסירת חזקה",".MH",IF(M90="מסירת חזקה מהנדס",".MHM",""))))),".",VLOOKUP(Check[[#This Row],[טיפוס]],Tipus[],5,FALSE),".",VLOOKUP(Check[[#This Row],[מגדל]],Tower,2,FALSE),".Ap.",Check[[#This Row],[מספר דירה]])</f>
        <v>S.TM.S.4A.TS.Ap.88</v>
      </c>
      <c r="C90" s="3" t="s">
        <v>55</v>
      </c>
      <c r="D90" s="3">
        <v>10</v>
      </c>
      <c r="E90" s="4">
        <v>88</v>
      </c>
      <c r="F90" s="3">
        <v>1008</v>
      </c>
      <c r="G90" s="3" t="s">
        <v>14</v>
      </c>
      <c r="H90" s="3">
        <f>VLOOKUP(Check[[#This Row],[טיפוס]],Tipus[],2,FALSE)</f>
        <v>4</v>
      </c>
      <c r="I90" s="3" t="str">
        <f>VLOOKUP(Check[[#This Row],[טיפוס]],Tipus[],3,FALSE)</f>
        <v>סטנדרט</v>
      </c>
      <c r="J90" s="3" t="str">
        <f>VLOOKUP(Check[[#This Row],[טיפוס]],Tipus[],4,FALSE)</f>
        <v>J</v>
      </c>
      <c r="K90" s="3" t="str">
        <f>IF(Check[[#This Row],[סטטוס2]]="הולד","פנויה",Check[[#This Row],[סטטוס2]])</f>
        <v>מכורה</v>
      </c>
      <c r="L90" s="382" t="s">
        <v>130</v>
      </c>
      <c r="M90" s="382" t="s">
        <v>1420</v>
      </c>
      <c r="N90" s="383"/>
      <c r="O90" s="383"/>
      <c r="P90" s="411"/>
      <c r="Q90" s="411"/>
      <c r="R90" s="383"/>
      <c r="S90" s="384">
        <v>45476</v>
      </c>
      <c r="T90" s="384" t="s">
        <v>1214</v>
      </c>
      <c r="U90" s="385"/>
      <c r="V90" s="385"/>
      <c r="W90" s="387"/>
    </row>
    <row r="91" spans="1:23" x14ac:dyDescent="0.2">
      <c r="A91" s="13" t="str">
        <f>_xlfn.CONCAT(VLOOKUP(Check[[#This Row],[סטטוס]],Sold,2,FALSE),IF(Check[[#This Row],[סטטוס]]="פנויה",IF(N91="גמר מלא סטנדרט",".GMS",IF(N91="גמר מלא טיוב חומרים",".GMC",IF(N91="גמר מינימלי",".GM",IF(N91="דירת שיווק",".DS","")))),""),".",VLOOKUP(Check[[#This Row],[טיפוס]],Tipus[],5,FALSE),".",VLOOKUP(Check[[#This Row],[מגדל]],Tower,2,FALSE),".Ap.",Check[[#This Row],[מספר דירה]])</f>
        <v>S.S.2G.TS.Ap.89</v>
      </c>
      <c r="B91" s="13" t="str">
        <f>_xlfn.CONCAT(VLOOKUP(Check[[#This Row],[סטטוס]],Sold,2,FALSE),IF(Check[[#This Row],[סטטוס]]="פנויה",IF(N91="גמר מלא סטנדרט",".GMS",IF(N91="גמר מלא טיוב חומרים",".GMC",IF(N91="גמר מינימלי",".GM",IF(N91="דירת שיווק",".DS","")))),""),IF(M91="זומן לטרום",".ZLT",IF(M91="טרום מסירה",".TM",IF(M91="טרום מסירה מהנדס",".TMM",IF(M91="מסירת חזקה",".MH",IF(M91="מסירת חזקה מהנדס",".MHM",""))))),".",VLOOKUP(Check[[#This Row],[טיפוס]],Tipus[],5,FALSE),".",VLOOKUP(Check[[#This Row],[מגדל]],Tower,2,FALSE),".Ap.",Check[[#This Row],[מספר דירה]])</f>
        <v>S.ZLT.S.2G.TS.Ap.89</v>
      </c>
      <c r="C91" s="3" t="s">
        <v>55</v>
      </c>
      <c r="D91" s="3">
        <v>10</v>
      </c>
      <c r="E91" s="4">
        <v>89</v>
      </c>
      <c r="F91" s="3">
        <v>1009</v>
      </c>
      <c r="G91" s="3" t="s">
        <v>15</v>
      </c>
      <c r="H91" s="3">
        <f>VLOOKUP(Check[[#This Row],[טיפוס]],Tipus[],2,FALSE)</f>
        <v>2</v>
      </c>
      <c r="I91" s="3" t="str">
        <f>VLOOKUP(Check[[#This Row],[טיפוס]],Tipus[],3,FALSE)</f>
        <v>סטנדרט</v>
      </c>
      <c r="J91" s="3" t="str">
        <f>VLOOKUP(Check[[#This Row],[טיפוס]],Tipus[],4,FALSE)</f>
        <v>I</v>
      </c>
      <c r="K91" s="3" t="str">
        <f>IF(Check[[#This Row],[סטטוס2]]="הולד","פנויה",Check[[#This Row],[סטטוס2]])</f>
        <v>מכורה</v>
      </c>
      <c r="L91" s="382" t="s">
        <v>130</v>
      </c>
      <c r="M91" s="382" t="s">
        <v>1419</v>
      </c>
      <c r="N91" s="383"/>
      <c r="O91" s="383"/>
      <c r="P91" s="411"/>
      <c r="Q91" s="411"/>
      <c r="R91" s="383"/>
      <c r="S91" s="386">
        <v>44699</v>
      </c>
      <c r="T91" s="386" t="s">
        <v>1100</v>
      </c>
      <c r="U91" s="387"/>
      <c r="V91" s="387"/>
      <c r="W91" s="387"/>
    </row>
    <row r="92" spans="1:23" x14ac:dyDescent="0.2">
      <c r="A92" s="13" t="str">
        <f>_xlfn.CONCAT(VLOOKUP(Check[[#This Row],[סטטוס]],Sold,2,FALSE),IF(Check[[#This Row],[סטטוס]]="פנויה",IF(N92="גמר מלא סטנדרט",".GMS",IF(N92="גמר מלא טיוב חומרים",".GMC",IF(N92="גמר מינימלי",".GM",IF(N92="דירת שיווק",".DS","")))),""),".",VLOOKUP(Check[[#This Row],[טיפוס]],Tipus[],5,FALSE),".",VLOOKUP(Check[[#This Row],[מגדל]],Tower,2,FALSE),".Ap.",Check[[#This Row],[מספר דירה]])</f>
        <v>S.S.4B.TS.Ap.90</v>
      </c>
      <c r="B92" s="13" t="str">
        <f>_xlfn.CONCAT(VLOOKUP(Check[[#This Row],[סטטוס]],Sold,2,FALSE),IF(Check[[#This Row],[סטטוס]]="פנויה",IF(N92="גמר מלא סטנדרט",".GMS",IF(N92="גמר מלא טיוב חומרים",".GMC",IF(N92="גמר מינימלי",".GM",IF(N92="דירת שיווק",".DS","")))),""),IF(M92="זומן לטרום",".ZLT",IF(M92="טרום מסירה",".TM",IF(M92="טרום מסירה מהנדס",".TMM",IF(M92="מסירת חזקה",".MH",IF(M92="מסירת חזקה מהנדס",".MHM",""))))),".",VLOOKUP(Check[[#This Row],[טיפוס]],Tipus[],5,FALSE),".",VLOOKUP(Check[[#This Row],[מגדל]],Tower,2,FALSE),".Ap.",Check[[#This Row],[מספר דירה]])</f>
        <v>S.ZLT.S.4B.TS.Ap.90</v>
      </c>
      <c r="C92" s="3" t="s">
        <v>55</v>
      </c>
      <c r="D92" s="3">
        <v>10</v>
      </c>
      <c r="E92" s="4">
        <v>90</v>
      </c>
      <c r="F92" s="3">
        <v>1010</v>
      </c>
      <c r="G92" s="3" t="s">
        <v>16</v>
      </c>
      <c r="H92" s="3">
        <f>VLOOKUP(Check[[#This Row],[טיפוס]],Tipus[],2,FALSE)</f>
        <v>4</v>
      </c>
      <c r="I92" s="3" t="str">
        <f>VLOOKUP(Check[[#This Row],[טיפוס]],Tipus[],3,FALSE)</f>
        <v>סטנדרט</v>
      </c>
      <c r="J92" s="3" t="str">
        <f>VLOOKUP(Check[[#This Row],[טיפוס]],Tipus[],4,FALSE)</f>
        <v>H</v>
      </c>
      <c r="K92" s="3" t="str">
        <f>IF(Check[[#This Row],[סטטוס2]]="הולד","פנויה",Check[[#This Row],[סטטוס2]])</f>
        <v>מכורה</v>
      </c>
      <c r="L92" s="382" t="s">
        <v>130</v>
      </c>
      <c r="M92" s="382" t="s">
        <v>1419</v>
      </c>
      <c r="N92" s="383"/>
      <c r="O92" s="383"/>
      <c r="P92" s="411"/>
      <c r="Q92" s="411"/>
      <c r="R92" s="383"/>
      <c r="S92" s="386">
        <v>44699</v>
      </c>
      <c r="T92" s="386" t="s">
        <v>1100</v>
      </c>
      <c r="U92" s="385" t="s">
        <v>947</v>
      </c>
      <c r="V92" s="387"/>
      <c r="W92" s="387"/>
    </row>
    <row r="93" spans="1:23" x14ac:dyDescent="0.2">
      <c r="A93" s="13" t="str">
        <f>_xlfn.CONCAT(VLOOKUP(Check[[#This Row],[סטטוס]],Sold,2,FALSE),IF(Check[[#This Row],[סטטוס]]="פנויה",IF(N93="גמר מלא סטנדרט",".GMS",IF(N93="גמר מלא טיוב חומרים",".GMC",IF(N93="גמר מינימלי",".GM",IF(N93="דירת שיווק",".DS","")))),""),".",VLOOKUP(Check[[#This Row],[טיפוס]],Tipus[],5,FALSE),".",VLOOKUP(Check[[#This Row],[מגדל]],Tower,2,FALSE),".Ap.",Check[[#This Row],[מספר דירה]])</f>
        <v>O.S.3B.TS.Ap.91</v>
      </c>
      <c r="B93" s="13" t="str">
        <f>_xlfn.CONCAT(VLOOKUP(Check[[#This Row],[סטטוס]],Sold,2,FALSE),IF(Check[[#This Row],[סטטוס]]="פנויה",IF(N93="גמר מלא סטנדרט",".GMS",IF(N93="גמר מלא טיוב חומרים",".GMC",IF(N93="גמר מינימלי",".GM",IF(N93="דירת שיווק",".DS","")))),""),IF(M93="זומן לטרום",".ZLT",IF(M93="טרום מסירה",".TM",IF(M93="טרום מסירה מהנדס",".TMM",IF(M93="מסירת חזקה",".MH",IF(M93="מסירת חזקה מהנדס",".MHM",""))))),".",VLOOKUP(Check[[#This Row],[טיפוס]],Tipus[],5,FALSE),".",VLOOKUP(Check[[#This Row],[מגדל]],Tower,2,FALSE),".Ap.",Check[[#This Row],[מספר דירה]])</f>
        <v>O.S.3B.TS.Ap.91</v>
      </c>
      <c r="C93" s="3" t="s">
        <v>55</v>
      </c>
      <c r="D93" s="3">
        <v>11</v>
      </c>
      <c r="E93" s="4">
        <v>91</v>
      </c>
      <c r="F93" s="3">
        <v>1101</v>
      </c>
      <c r="G93" s="3" t="s">
        <v>19</v>
      </c>
      <c r="H93" s="3">
        <f>VLOOKUP(Check[[#This Row],[טיפוס]],Tipus[],2,FALSE)</f>
        <v>3</v>
      </c>
      <c r="I93" s="3" t="str">
        <f>VLOOKUP(Check[[#This Row],[טיפוס]],Tipus[],3,FALSE)</f>
        <v>סטנדרט</v>
      </c>
      <c r="J93" s="3" t="str">
        <f>VLOOKUP(Check[[#This Row],[טיפוס]],Tipus[],4,FALSE)</f>
        <v>G</v>
      </c>
      <c r="K93" s="3" t="str">
        <f>IF(Check[[#This Row],[סטטוס2]]="הולד","פנויה",Check[[#This Row],[סטטוס2]])</f>
        <v>בעלים</v>
      </c>
      <c r="L93" s="382" t="s">
        <v>91</v>
      </c>
      <c r="M93" s="382"/>
      <c r="N93" s="383"/>
      <c r="O93" s="383"/>
      <c r="P93" s="411"/>
      <c r="Q93" s="411"/>
      <c r="R93" s="383"/>
      <c r="S93" s="384">
        <v>44040</v>
      </c>
      <c r="T93" s="384" t="s">
        <v>1297</v>
      </c>
      <c r="U93" s="385" t="s">
        <v>418</v>
      </c>
      <c r="V93" s="385" t="s">
        <v>214</v>
      </c>
      <c r="W93" s="385" t="s">
        <v>214</v>
      </c>
    </row>
    <row r="94" spans="1:23" x14ac:dyDescent="0.2">
      <c r="A94" s="13" t="str">
        <f>_xlfn.CONCAT(VLOOKUP(Check[[#This Row],[סטטוס]],Sold,2,FALSE),IF(Check[[#This Row],[סטטוס]]="פנויה",IF(N94="גמר מלא סטנדרט",".GMS",IF(N94="גמר מלא טיוב חומרים",".GMC",IF(N94="גמר מינימלי",".GM",IF(N94="דירת שיווק",".DS","")))),""),".",VLOOKUP(Check[[#This Row],[טיפוס]],Tipus[],5,FALSE),".",VLOOKUP(Check[[#This Row],[מגדל]],Tower,2,FALSE),".Ap.",Check[[#This Row],[מספר דירה]])</f>
        <v>O.S.3C.TS.Ap.92</v>
      </c>
      <c r="B94" s="13" t="str">
        <f>_xlfn.CONCAT(VLOOKUP(Check[[#This Row],[סטטוס]],Sold,2,FALSE),IF(Check[[#This Row],[סטטוס]]="פנויה",IF(N94="גמר מלא סטנדרט",".GMS",IF(N94="גמר מלא טיוב חומרים",".GMC",IF(N94="גמר מינימלי",".GM",IF(N94="דירת שיווק",".DS","")))),""),IF(M94="זומן לטרום",".ZLT",IF(M94="טרום מסירה",".TM",IF(M94="טרום מסירה מהנדס",".TMM",IF(M94="מסירת חזקה",".MH",IF(M94="מסירת חזקה מהנדס",".MHM",""))))),".",VLOOKUP(Check[[#This Row],[טיפוס]],Tipus[],5,FALSE),".",VLOOKUP(Check[[#This Row],[מגדל]],Tower,2,FALSE),".Ap.",Check[[#This Row],[מספר דירה]])</f>
        <v>O.S.3C.TS.Ap.92</v>
      </c>
      <c r="C94" s="3" t="s">
        <v>55</v>
      </c>
      <c r="D94" s="3">
        <v>11</v>
      </c>
      <c r="E94" s="4">
        <v>92</v>
      </c>
      <c r="F94" s="3">
        <v>1102</v>
      </c>
      <c r="G94" s="3" t="s">
        <v>18</v>
      </c>
      <c r="H94" s="3">
        <f>VLOOKUP(Check[[#This Row],[טיפוס]],Tipus[],2,FALSE)</f>
        <v>3</v>
      </c>
      <c r="I94" s="3" t="str">
        <f>VLOOKUP(Check[[#This Row],[טיפוס]],Tipus[],3,FALSE)</f>
        <v>סטנדרט</v>
      </c>
      <c r="J94" s="3" t="str">
        <f>VLOOKUP(Check[[#This Row],[טיפוס]],Tipus[],4,FALSE)</f>
        <v>E</v>
      </c>
      <c r="K94" s="3" t="str">
        <f>IF(Check[[#This Row],[סטטוס2]]="הולד","פנויה",Check[[#This Row],[סטטוס2]])</f>
        <v>בעלים</v>
      </c>
      <c r="L94" s="382" t="s">
        <v>91</v>
      </c>
      <c r="M94" s="382"/>
      <c r="N94" s="383"/>
      <c r="O94" s="383"/>
      <c r="P94" s="411"/>
      <c r="Q94" s="411"/>
      <c r="R94" s="383"/>
      <c r="S94" s="384">
        <v>44040</v>
      </c>
      <c r="T94" s="384" t="s">
        <v>227</v>
      </c>
      <c r="U94" s="385" t="s">
        <v>419</v>
      </c>
      <c r="V94" s="385" t="s">
        <v>214</v>
      </c>
      <c r="W94" s="388" t="s">
        <v>253</v>
      </c>
    </row>
    <row r="95" spans="1:23" x14ac:dyDescent="0.2">
      <c r="A95" s="13" t="str">
        <f>_xlfn.CONCAT(VLOOKUP(Check[[#This Row],[סטטוס]],Sold,2,FALSE),IF(Check[[#This Row],[סטטוס]]="פנויה",IF(N95="גמר מלא סטנדרט",".GMS",IF(N95="גמר מלא טיוב חומרים",".GMC",IF(N95="גמר מינימלי",".GM",IF(N95="דירת שיווק",".DS","")))),""),".",VLOOKUP(Check[[#This Row],[טיפוס]],Tipus[],5,FALSE),".",VLOOKUP(Check[[#This Row],[מגדל]],Tower,2,FALSE),".Ap.",Check[[#This Row],[מספר דירה]])</f>
        <v>O.S.3A.TS.Ap.93</v>
      </c>
      <c r="B95" s="13" t="str">
        <f>_xlfn.CONCAT(VLOOKUP(Check[[#This Row],[סטטוס]],Sold,2,FALSE),IF(Check[[#This Row],[סטטוס]]="פנויה",IF(N95="גמר מלא סטנדרט",".GMS",IF(N95="גמר מלא טיוב חומרים",".GMC",IF(N95="גמר מינימלי",".GM",IF(N95="דירת שיווק",".DS","")))),""),IF(M95="זומן לטרום",".ZLT",IF(M95="טרום מסירה",".TM",IF(M95="טרום מסירה מהנדס",".TMM",IF(M95="מסירת חזקה",".MH",IF(M95="מסירת חזקה מהנדס",".MHM",""))))),".",VLOOKUP(Check[[#This Row],[טיפוס]],Tipus[],5,FALSE),".",VLOOKUP(Check[[#This Row],[מגדל]],Tower,2,FALSE),".Ap.",Check[[#This Row],[מספר דירה]])</f>
        <v>O.S.3A.TS.Ap.93</v>
      </c>
      <c r="C95" s="3" t="s">
        <v>55</v>
      </c>
      <c r="D95" s="3">
        <v>11</v>
      </c>
      <c r="E95" s="4">
        <v>93</v>
      </c>
      <c r="F95" s="3">
        <v>1103</v>
      </c>
      <c r="G95" s="3" t="s">
        <v>9</v>
      </c>
      <c r="H95" s="3">
        <f>VLOOKUP(Check[[#This Row],[טיפוס]],Tipus[],2,FALSE)</f>
        <v>3</v>
      </c>
      <c r="I95" s="3" t="str">
        <f>VLOOKUP(Check[[#This Row],[טיפוס]],Tipus[],3,FALSE)</f>
        <v>סטנדרט</v>
      </c>
      <c r="J95" s="3" t="str">
        <f>VLOOKUP(Check[[#This Row],[טיפוס]],Tipus[],4,FALSE)</f>
        <v>D</v>
      </c>
      <c r="K95" s="3" t="str">
        <f>IF(Check[[#This Row],[סטטוס2]]="הולד","פנויה",Check[[#This Row],[סטטוס2]])</f>
        <v>בעלים</v>
      </c>
      <c r="L95" s="382" t="s">
        <v>91</v>
      </c>
      <c r="M95" s="382"/>
      <c r="N95" s="383"/>
      <c r="O95" s="383"/>
      <c r="P95" s="411"/>
      <c r="Q95" s="411"/>
      <c r="R95" s="383"/>
      <c r="S95" s="384">
        <v>44040</v>
      </c>
      <c r="T95" s="384" t="s">
        <v>233</v>
      </c>
      <c r="U95" s="385" t="s">
        <v>420</v>
      </c>
      <c r="V95" s="385" t="s">
        <v>214</v>
      </c>
      <c r="W95" s="385" t="s">
        <v>214</v>
      </c>
    </row>
    <row r="96" spans="1:23" x14ac:dyDescent="0.2">
      <c r="A96" s="13" t="str">
        <f>_xlfn.CONCAT(VLOOKUP(Check[[#This Row],[סטטוס]],Sold,2,FALSE),IF(Check[[#This Row],[סטטוס]]="פנויה",IF(N96="גמר מלא סטנדרט",".GMS",IF(N96="גמר מלא טיוב חומרים",".GMC",IF(N96="גמר מינימלי",".GM",IF(N96="דירת שיווק",".DS","")))),""),".",VLOOKUP(Check[[#This Row],[טיפוס]],Tipus[],5,FALSE),".",VLOOKUP(Check[[#This Row],[מגדל]],Tower,2,FALSE),".Ap.",Check[[#This Row],[מספר דירה]])</f>
        <v>S.S.3D.TS.Ap.94</v>
      </c>
      <c r="B96" s="13" t="str">
        <f>_xlfn.CONCAT(VLOOKUP(Check[[#This Row],[סטטוס]],Sold,2,FALSE),IF(Check[[#This Row],[סטטוס]]="פנויה",IF(N96="גמר מלא סטנדרט",".GMS",IF(N96="גמר מלא טיוב חומרים",".GMC",IF(N96="גמר מינימלי",".GM",IF(N96="דירת שיווק",".DS","")))),""),IF(M96="זומן לטרום",".ZLT",IF(M96="טרום מסירה",".TM",IF(M96="טרום מסירה מהנדס",".TMM",IF(M96="מסירת חזקה",".MH",IF(M96="מסירת חזקה מהנדס",".MHM",""))))),".",VLOOKUP(Check[[#This Row],[טיפוס]],Tipus[],5,FALSE),".",VLOOKUP(Check[[#This Row],[מגדל]],Tower,2,FALSE),".Ap.",Check[[#This Row],[מספר דירה]])</f>
        <v>S.S.3D.TS.Ap.94</v>
      </c>
      <c r="C96" s="3" t="s">
        <v>55</v>
      </c>
      <c r="D96" s="3">
        <v>11</v>
      </c>
      <c r="E96" s="4">
        <v>94</v>
      </c>
      <c r="F96" s="3">
        <v>1104</v>
      </c>
      <c r="G96" s="3" t="s">
        <v>21</v>
      </c>
      <c r="H96" s="3">
        <f>VLOOKUP(Check[[#This Row],[טיפוס]],Tipus[],2,FALSE)</f>
        <v>3</v>
      </c>
      <c r="I96" s="3" t="str">
        <f>VLOOKUP(Check[[#This Row],[טיפוס]],Tipus[],3,FALSE)</f>
        <v>סטנדרט</v>
      </c>
      <c r="J96" s="3" t="str">
        <f>VLOOKUP(Check[[#This Row],[טיפוס]],Tipus[],4,FALSE)</f>
        <v>C</v>
      </c>
      <c r="K96" s="3" t="str">
        <f>IF(Check[[#This Row],[סטטוס2]]="הולד","פנויה",Check[[#This Row],[סטטוס2]])</f>
        <v>מכורה</v>
      </c>
      <c r="L96" s="382" t="s">
        <v>130</v>
      </c>
      <c r="M96" s="382"/>
      <c r="N96" s="383"/>
      <c r="O96" s="383"/>
      <c r="P96" s="411"/>
      <c r="Q96" s="411"/>
      <c r="R96" s="383"/>
      <c r="S96" s="386">
        <v>44657</v>
      </c>
      <c r="T96" s="386" t="s">
        <v>1101</v>
      </c>
      <c r="U96" s="385" t="s">
        <v>948</v>
      </c>
      <c r="V96" s="387"/>
      <c r="W96" s="387"/>
    </row>
    <row r="97" spans="1:23" x14ac:dyDescent="0.2">
      <c r="A97" s="13" t="str">
        <f>_xlfn.CONCAT(VLOOKUP(Check[[#This Row],[סטטוס]],Sold,2,FALSE),IF(Check[[#This Row],[סטטוס]]="פנויה",IF(N97="גמר מלא סטנדרט",".GMS",IF(N97="גמר מלא טיוב חומרים",".GMC",IF(N97="גמר מינימלי",".GM",IF(N97="דירת שיווק",".DS","")))),""),".",VLOOKUP(Check[[#This Row],[טיפוס]],Tipus[],5,FALSE),".",VLOOKUP(Check[[#This Row],[מגדל]],Tower,2,FALSE),".Ap.",Check[[#This Row],[מספר דירה]])</f>
        <v>O.S.3E.TS.Ap.95</v>
      </c>
      <c r="B97" s="13" t="str">
        <f>_xlfn.CONCAT(VLOOKUP(Check[[#This Row],[סטטוס]],Sold,2,FALSE),IF(Check[[#This Row],[סטטוס]]="פנויה",IF(N97="גמר מלא סטנדרט",".GMS",IF(N97="גמר מלא טיוב חומרים",".GMC",IF(N97="גמר מינימלי",".GM",IF(N97="דירת שיווק",".DS","")))),""),IF(M97="זומן לטרום",".ZLT",IF(M97="טרום מסירה",".TM",IF(M97="טרום מסירה מהנדס",".TMM",IF(M97="מסירת חזקה",".MH",IF(M97="מסירת חזקה מהנדס",".MHM",""))))),".",VLOOKUP(Check[[#This Row],[טיפוס]],Tipus[],5,FALSE),".",VLOOKUP(Check[[#This Row],[מגדל]],Tower,2,FALSE),".Ap.",Check[[#This Row],[מספר דירה]])</f>
        <v>O.S.3E.TS.Ap.95</v>
      </c>
      <c r="C97" s="3" t="s">
        <v>55</v>
      </c>
      <c r="D97" s="3">
        <v>11</v>
      </c>
      <c r="E97" s="4">
        <v>95</v>
      </c>
      <c r="F97" s="3">
        <v>1105</v>
      </c>
      <c r="G97" s="3" t="s">
        <v>20</v>
      </c>
      <c r="H97" s="3">
        <f>VLOOKUP(Check[[#This Row],[טיפוס]],Tipus[],2,FALSE)</f>
        <v>3</v>
      </c>
      <c r="I97" s="3" t="str">
        <f>VLOOKUP(Check[[#This Row],[טיפוס]],Tipus[],3,FALSE)</f>
        <v>סטנדרט</v>
      </c>
      <c r="J97" s="3" t="str">
        <f>VLOOKUP(Check[[#This Row],[טיפוס]],Tipus[],4,FALSE)</f>
        <v>A</v>
      </c>
      <c r="K97" s="3" t="str">
        <f>IF(Check[[#This Row],[סטטוס2]]="הולד","פנויה",Check[[#This Row],[סטטוס2]])</f>
        <v>בעלים</v>
      </c>
      <c r="L97" s="382" t="s">
        <v>91</v>
      </c>
      <c r="M97" s="382"/>
      <c r="N97" s="383"/>
      <c r="O97" s="383"/>
      <c r="P97" s="411"/>
      <c r="Q97" s="411"/>
      <c r="R97" s="383"/>
      <c r="S97" s="384">
        <v>44040</v>
      </c>
      <c r="T97" s="384" t="s">
        <v>294</v>
      </c>
      <c r="U97" s="385" t="s">
        <v>421</v>
      </c>
      <c r="V97" s="385" t="s">
        <v>214</v>
      </c>
      <c r="W97" s="385" t="s">
        <v>214</v>
      </c>
    </row>
    <row r="98" spans="1:23" x14ac:dyDescent="0.2">
      <c r="A98" s="13" t="str">
        <f>_xlfn.CONCAT(VLOOKUP(Check[[#This Row],[סטטוס]],Sold,2,FALSE),IF(Check[[#This Row],[סטטוס]]="פנויה",IF(N98="גמר מלא סטנדרט",".GMS",IF(N98="גמר מלא טיוב חומרים",".GMC",IF(N98="גמר מינימלי",".GM",IF(N98="דירת שיווק",".DS","")))),""),".",VLOOKUP(Check[[#This Row],[טיפוס]],Tipus[],5,FALSE),".",VLOOKUP(Check[[#This Row],[מגדל]],Tower,2,FALSE),".Ap.",Check[[#This Row],[מספר דירה]])</f>
        <v>V.GMS.S.4A.TS.Ap.96</v>
      </c>
      <c r="B98" s="13" t="str">
        <f>_xlfn.CONCAT(VLOOKUP(Check[[#This Row],[סטטוס]],Sold,2,FALSE),IF(Check[[#This Row],[סטטוס]]="פנויה",IF(N98="גמר מלא סטנדרט",".GMS",IF(N98="גמר מלא טיוב חומרים",".GMC",IF(N98="גמר מינימלי",".GM",IF(N98="דירת שיווק",".DS","")))),""),IF(M98="זומן לטרום",".ZLT",IF(M98="טרום מסירה",".TM",IF(M98="טרום מסירה מהנדס",".TMM",IF(M98="מסירת חזקה",".MH",IF(M98="מסירת חזקה מהנדס",".MHM",""))))),".",VLOOKUP(Check[[#This Row],[טיפוס]],Tipus[],5,FALSE),".",VLOOKUP(Check[[#This Row],[מגדל]],Tower,2,FALSE),".Ap.",Check[[#This Row],[מספר דירה]])</f>
        <v>V.GMS.S.4A.TS.Ap.96</v>
      </c>
      <c r="C98" s="3" t="s">
        <v>55</v>
      </c>
      <c r="D98" s="3">
        <v>11</v>
      </c>
      <c r="E98" s="4">
        <v>96</v>
      </c>
      <c r="F98" s="3">
        <v>1106</v>
      </c>
      <c r="G98" s="3" t="s">
        <v>14</v>
      </c>
      <c r="H98" s="3">
        <f>VLOOKUP(Check[[#This Row],[טיפוס]],Tipus[],2,FALSE)</f>
        <v>4</v>
      </c>
      <c r="I98" s="3" t="str">
        <f>VLOOKUP(Check[[#This Row],[טיפוס]],Tipus[],3,FALSE)</f>
        <v>סטנדרט</v>
      </c>
      <c r="J98" s="3" t="str">
        <f>VLOOKUP(Check[[#This Row],[טיפוס]],Tipus[],4,FALSE)</f>
        <v>J</v>
      </c>
      <c r="K98" s="3" t="str">
        <f>IF(Check[[#This Row],[סטטוס2]]="הולד","פנויה",Check[[#This Row],[סטטוס2]])</f>
        <v>פנויה</v>
      </c>
      <c r="L98" s="382" t="s">
        <v>108</v>
      </c>
      <c r="M98" s="382"/>
      <c r="N98" t="s">
        <v>1367</v>
      </c>
      <c r="O98" s="383" t="s">
        <v>1390</v>
      </c>
      <c r="P98" s="410" t="s">
        <v>1389</v>
      </c>
      <c r="Q98" s="410"/>
      <c r="R98" s="383"/>
      <c r="S98" s="384"/>
      <c r="T98" s="384" t="s">
        <v>214</v>
      </c>
      <c r="U98" s="385"/>
      <c r="V98" s="385"/>
      <c r="W98" s="387"/>
    </row>
    <row r="99" spans="1:23" x14ac:dyDescent="0.2">
      <c r="A99" s="13" t="str">
        <f>_xlfn.CONCAT(VLOOKUP(Check[[#This Row],[סטטוס]],Sold,2,FALSE),IF(Check[[#This Row],[סטטוס]]="פנויה",IF(N99="גמר מלא סטנדרט",".GMS",IF(N99="גמר מלא טיוב חומרים",".GMC",IF(N99="גמר מינימלי",".GM",IF(N99="דירת שיווק",".DS","")))),""),".",VLOOKUP(Check[[#This Row],[טיפוס]],Tipus[],5,FALSE),".",VLOOKUP(Check[[#This Row],[מגדל]],Tower,2,FALSE),".Ap.",Check[[#This Row],[מספר דירה]])</f>
        <v>V.GMS.S.2G.TS.Ap.97</v>
      </c>
      <c r="B99" s="13" t="str">
        <f>_xlfn.CONCAT(VLOOKUP(Check[[#This Row],[סטטוס]],Sold,2,FALSE),IF(Check[[#This Row],[סטטוס]]="פנויה",IF(N99="גמר מלא סטנדרט",".GMS",IF(N99="גמר מלא טיוב חומרים",".GMC",IF(N99="גמר מינימלי",".GM",IF(N99="דירת שיווק",".DS","")))),""),IF(M99="זומן לטרום",".ZLT",IF(M99="טרום מסירה",".TM",IF(M99="טרום מסירה מהנדס",".TMM",IF(M99="מסירת חזקה",".MH",IF(M99="מסירת חזקה מהנדס",".MHM",""))))),".",VLOOKUP(Check[[#This Row],[טיפוס]],Tipus[],5,FALSE),".",VLOOKUP(Check[[#This Row],[מגדל]],Tower,2,FALSE),".Ap.",Check[[#This Row],[מספר דירה]])</f>
        <v>V.GMS.S.2G.TS.Ap.97</v>
      </c>
      <c r="C99" s="3" t="s">
        <v>55</v>
      </c>
      <c r="D99" s="3">
        <v>11</v>
      </c>
      <c r="E99" s="4">
        <v>97</v>
      </c>
      <c r="F99" s="3">
        <v>1107</v>
      </c>
      <c r="G99" s="3" t="s">
        <v>15</v>
      </c>
      <c r="H99" s="3">
        <f>VLOOKUP(Check[[#This Row],[טיפוס]],Tipus[],2,FALSE)</f>
        <v>2</v>
      </c>
      <c r="I99" s="3" t="str">
        <f>VLOOKUP(Check[[#This Row],[טיפוס]],Tipus[],3,FALSE)</f>
        <v>סטנדרט</v>
      </c>
      <c r="J99" s="3" t="str">
        <f>VLOOKUP(Check[[#This Row],[טיפוס]],Tipus[],4,FALSE)</f>
        <v>I</v>
      </c>
      <c r="K99" s="3" t="str">
        <f>IF(Check[[#This Row],[סטטוס2]]="הולד","פנויה",Check[[#This Row],[סטטוס2]])</f>
        <v>פנויה</v>
      </c>
      <c r="L99" s="382" t="s">
        <v>108</v>
      </c>
      <c r="M99" s="382"/>
      <c r="N99" t="s">
        <v>1367</v>
      </c>
      <c r="O99" s="383" t="s">
        <v>1390</v>
      </c>
      <c r="P99" s="410" t="s">
        <v>1389</v>
      </c>
      <c r="Q99" s="410"/>
      <c r="R99" s="383"/>
      <c r="S99" s="384"/>
      <c r="T99" s="384" t="s">
        <v>214</v>
      </c>
      <c r="U99" s="385"/>
      <c r="V99" s="385"/>
      <c r="W99" s="387"/>
    </row>
    <row r="100" spans="1:23" x14ac:dyDescent="0.2">
      <c r="A100" s="13" t="str">
        <f>_xlfn.CONCAT(VLOOKUP(Check[[#This Row],[סטטוס]],Sold,2,FALSE),IF(Check[[#This Row],[סטטוס]]="פנויה",IF(N100="גמר מלא סטנדרט",".GMS",IF(N100="גמר מלא טיוב חומרים",".GMC",IF(N100="גמר מינימלי",".GM",IF(N100="דירת שיווק",".DS","")))),""),".",VLOOKUP(Check[[#This Row],[טיפוס]],Tipus[],5,FALSE),".",VLOOKUP(Check[[#This Row],[מגדל]],Tower,2,FALSE),".Ap.",Check[[#This Row],[מספר דירה]])</f>
        <v>V.GMS.S.4B.TS.Ap.98</v>
      </c>
      <c r="B100" s="13" t="str">
        <f>_xlfn.CONCAT(VLOOKUP(Check[[#This Row],[סטטוס]],Sold,2,FALSE),IF(Check[[#This Row],[סטטוס]]="פנויה",IF(N100="גמר מלא סטנדרט",".GMS",IF(N100="גמר מלא טיוב חומרים",".GMC",IF(N100="גמר מינימלי",".GM",IF(N100="דירת שיווק",".DS","")))),""),IF(M100="זומן לטרום",".ZLT",IF(M100="טרום מסירה",".TM",IF(M100="טרום מסירה מהנדס",".TMM",IF(M100="מסירת חזקה",".MH",IF(M100="מסירת חזקה מהנדס",".MHM",""))))),".",VLOOKUP(Check[[#This Row],[טיפוס]],Tipus[],5,FALSE),".",VLOOKUP(Check[[#This Row],[מגדל]],Tower,2,FALSE),".Ap.",Check[[#This Row],[מספר דירה]])</f>
        <v>V.GMS.S.4B.TS.Ap.98</v>
      </c>
      <c r="C100" s="3" t="s">
        <v>55</v>
      </c>
      <c r="D100" s="3">
        <v>11</v>
      </c>
      <c r="E100" s="4">
        <v>98</v>
      </c>
      <c r="F100" s="3">
        <v>1108</v>
      </c>
      <c r="G100" s="3" t="s">
        <v>16</v>
      </c>
      <c r="H100" s="3">
        <f>VLOOKUP(Check[[#This Row],[טיפוס]],Tipus[],2,FALSE)</f>
        <v>4</v>
      </c>
      <c r="I100" s="3" t="str">
        <f>VLOOKUP(Check[[#This Row],[טיפוס]],Tipus[],3,FALSE)</f>
        <v>סטנדרט</v>
      </c>
      <c r="J100" s="3" t="str">
        <f>VLOOKUP(Check[[#This Row],[טיפוס]],Tipus[],4,FALSE)</f>
        <v>H</v>
      </c>
      <c r="K100" s="3" t="str">
        <f>IF(Check[[#This Row],[סטטוס2]]="הולד","פנויה",Check[[#This Row],[סטטוס2]])</f>
        <v>פנויה</v>
      </c>
      <c r="L100" s="382" t="s">
        <v>108</v>
      </c>
      <c r="M100" s="382"/>
      <c r="N100" t="s">
        <v>1367</v>
      </c>
      <c r="O100" s="383" t="s">
        <v>1390</v>
      </c>
      <c r="P100" s="410" t="s">
        <v>1389</v>
      </c>
      <c r="Q100" s="410"/>
      <c r="R100" s="383"/>
      <c r="S100" s="384"/>
      <c r="T100" s="384" t="s">
        <v>214</v>
      </c>
      <c r="U100" s="385"/>
      <c r="V100" s="385"/>
      <c r="W100" s="387"/>
    </row>
    <row r="101" spans="1:23" x14ac:dyDescent="0.2">
      <c r="A101" s="13" t="str">
        <f>_xlfn.CONCAT(VLOOKUP(Check[[#This Row],[סטטוס]],Sold,2,FALSE),IF(Check[[#This Row],[סטטוס]]="פנויה",IF(N101="גמר מלא סטנדרט",".GMS",IF(N101="גמר מלא טיוב חומרים",".GMC",IF(N101="גמר מינימלי",".GM",IF(N101="דירת שיווק",".DS","")))),""),".",VLOOKUP(Check[[#This Row],[טיפוס]],Tipus[],5,FALSE),".",VLOOKUP(Check[[#This Row],[מגדל]],Tower,2,FALSE),".Ap.",Check[[#This Row],[מספר דירה]])</f>
        <v>V.GMS.S.3B.TS.Ap.99</v>
      </c>
      <c r="B101" s="13" t="str">
        <f>_xlfn.CONCAT(VLOOKUP(Check[[#This Row],[סטטוס]],Sold,2,FALSE),IF(Check[[#This Row],[סטטוס]]="פנויה",IF(N101="גמר מלא סטנדרט",".GMS",IF(N101="גמר מלא טיוב חומרים",".GMC",IF(N101="גמר מינימלי",".GM",IF(N101="דירת שיווק",".DS","")))),""),IF(M101="זומן לטרום",".ZLT",IF(M101="טרום מסירה",".TM",IF(M101="טרום מסירה מהנדס",".TMM",IF(M101="מסירת חזקה",".MH",IF(M101="מסירת חזקה מהנדס",".MHM",""))))),".",VLOOKUP(Check[[#This Row],[טיפוס]],Tipus[],5,FALSE),".",VLOOKUP(Check[[#This Row],[מגדל]],Tower,2,FALSE),".Ap.",Check[[#This Row],[מספר דירה]])</f>
        <v>V.GMS.S.3B.TS.Ap.99</v>
      </c>
      <c r="C101" s="3" t="s">
        <v>55</v>
      </c>
      <c r="D101" s="3">
        <v>12</v>
      </c>
      <c r="E101" s="4">
        <v>99</v>
      </c>
      <c r="F101" s="3">
        <v>1201</v>
      </c>
      <c r="G101" s="3" t="s">
        <v>19</v>
      </c>
      <c r="H101" s="3">
        <f>VLOOKUP(Check[[#This Row],[טיפוס]],Tipus[],2,FALSE)</f>
        <v>3</v>
      </c>
      <c r="I101" s="3" t="str">
        <f>VLOOKUP(Check[[#This Row],[טיפוס]],Tipus[],3,FALSE)</f>
        <v>סטנדרט</v>
      </c>
      <c r="J101" s="3" t="str">
        <f>VLOOKUP(Check[[#This Row],[טיפוס]],Tipus[],4,FALSE)</f>
        <v>G</v>
      </c>
      <c r="K101" s="3" t="str">
        <f>IF(Check[[#This Row],[סטטוס2]]="הולד","פנויה",Check[[#This Row],[סטטוס2]])</f>
        <v>פנויה</v>
      </c>
      <c r="L101" s="382" t="s">
        <v>108</v>
      </c>
      <c r="M101" s="382"/>
      <c r="N101" t="s">
        <v>1367</v>
      </c>
      <c r="O101" s="383" t="s">
        <v>1390</v>
      </c>
      <c r="P101" s="410" t="s">
        <v>1389</v>
      </c>
      <c r="Q101" s="410"/>
      <c r="R101" s="383"/>
      <c r="S101" s="384"/>
      <c r="T101" s="384" t="s">
        <v>214</v>
      </c>
      <c r="U101" s="385"/>
      <c r="V101" s="385"/>
      <c r="W101" s="387"/>
    </row>
    <row r="102" spans="1:23" x14ac:dyDescent="0.2">
      <c r="A102" s="13" t="str">
        <f>_xlfn.CONCAT(VLOOKUP(Check[[#This Row],[סטטוס]],Sold,2,FALSE),IF(Check[[#This Row],[סטטוס]]="פנויה",IF(N102="גמר מלא סטנדרט",".GMS",IF(N102="גמר מלא טיוב חומרים",".GMC",IF(N102="גמר מינימלי",".GM",IF(N102="דירת שיווק",".DS","")))),""),".",VLOOKUP(Check[[#This Row],[טיפוס]],Tipus[],5,FALSE),".",VLOOKUP(Check[[#This Row],[מגדל]],Tower,2,FALSE),".Ap.",Check[[#This Row],[מספר דירה]])</f>
        <v>S.S.3C.TS.Ap.100</v>
      </c>
      <c r="B102" s="13" t="str">
        <f>_xlfn.CONCAT(VLOOKUP(Check[[#This Row],[סטטוס]],Sold,2,FALSE),IF(Check[[#This Row],[סטטוס]]="פנויה",IF(N102="גמר מלא סטנדרט",".GMS",IF(N102="גמר מלא טיוב חומרים",".GMC",IF(N102="גמר מינימלי",".GM",IF(N102="דירת שיווק",".DS","")))),""),IF(M102="זומן לטרום",".ZLT",IF(M102="טרום מסירה",".TM",IF(M102="טרום מסירה מהנדס",".TMM",IF(M102="מסירת חזקה",".MH",IF(M102="מסירת חזקה מהנדס",".MHM",""))))),".",VLOOKUP(Check[[#This Row],[טיפוס]],Tipus[],5,FALSE),".",VLOOKUP(Check[[#This Row],[מגדל]],Tower,2,FALSE),".Ap.",Check[[#This Row],[מספר דירה]])</f>
        <v>S.S.3C.TS.Ap.100</v>
      </c>
      <c r="C102" s="3" t="s">
        <v>55</v>
      </c>
      <c r="D102" s="3">
        <v>12</v>
      </c>
      <c r="E102" s="4">
        <v>100</v>
      </c>
      <c r="F102" s="3">
        <v>1202</v>
      </c>
      <c r="G102" s="3" t="s">
        <v>18</v>
      </c>
      <c r="H102" s="3">
        <f>VLOOKUP(Check[[#This Row],[טיפוס]],Tipus[],2,FALSE)</f>
        <v>3</v>
      </c>
      <c r="I102" s="3" t="str">
        <f>VLOOKUP(Check[[#This Row],[טיפוס]],Tipus[],3,FALSE)</f>
        <v>סטנדרט</v>
      </c>
      <c r="J102" s="3" t="str">
        <f>VLOOKUP(Check[[#This Row],[טיפוס]],Tipus[],4,FALSE)</f>
        <v>E</v>
      </c>
      <c r="K102" s="3" t="str">
        <f>IF(Check[[#This Row],[סטטוס2]]="הולד","פנויה",Check[[#This Row],[סטטוס2]])</f>
        <v>מכורה</v>
      </c>
      <c r="L102" s="382" t="s">
        <v>130</v>
      </c>
      <c r="M102" s="382"/>
      <c r="N102" s="383"/>
      <c r="O102" s="383"/>
      <c r="P102" s="411"/>
      <c r="Q102" s="411"/>
      <c r="R102" s="383"/>
      <c r="S102" s="386">
        <v>44452</v>
      </c>
      <c r="T102" s="386" t="s">
        <v>1102</v>
      </c>
      <c r="U102" s="385" t="s">
        <v>949</v>
      </c>
      <c r="V102" s="387"/>
      <c r="W102" s="387"/>
    </row>
    <row r="103" spans="1:23" x14ac:dyDescent="0.2">
      <c r="A103" s="13" t="str">
        <f>_xlfn.CONCAT(VLOOKUP(Check[[#This Row],[סטטוס]],Sold,2,FALSE),IF(Check[[#This Row],[סטטוס]]="פנויה",IF(N103="גמר מלא סטנדרט",".GMS",IF(N103="גמר מלא טיוב חומרים",".GMC",IF(N103="גמר מינימלי",".GM",IF(N103="דירת שיווק",".DS","")))),""),".",VLOOKUP(Check[[#This Row],[טיפוס]],Tipus[],5,FALSE),".",VLOOKUP(Check[[#This Row],[מגדל]],Tower,2,FALSE),".Ap.",Check[[#This Row],[מספר דירה]])</f>
        <v>O.S.3A.TS.Ap.101</v>
      </c>
      <c r="B103" s="13" t="str">
        <f>_xlfn.CONCAT(VLOOKUP(Check[[#This Row],[סטטוס]],Sold,2,FALSE),IF(Check[[#This Row],[סטטוס]]="פנויה",IF(N103="גמר מלא סטנדרט",".GMS",IF(N103="גמר מלא טיוב חומרים",".GMC",IF(N103="גמר מינימלי",".GM",IF(N103="דירת שיווק",".DS","")))),""),IF(M103="זומן לטרום",".ZLT",IF(M103="טרום מסירה",".TM",IF(M103="טרום מסירה מהנדס",".TMM",IF(M103="מסירת חזקה",".MH",IF(M103="מסירת חזקה מהנדס",".MHM",""))))),".",VLOOKUP(Check[[#This Row],[טיפוס]],Tipus[],5,FALSE),".",VLOOKUP(Check[[#This Row],[מגדל]],Tower,2,FALSE),".Ap.",Check[[#This Row],[מספר דירה]])</f>
        <v>O.S.3A.TS.Ap.101</v>
      </c>
      <c r="C103" s="3" t="s">
        <v>55</v>
      </c>
      <c r="D103" s="3">
        <v>12</v>
      </c>
      <c r="E103" s="4">
        <v>101</v>
      </c>
      <c r="F103" s="3">
        <v>1203</v>
      </c>
      <c r="G103" s="3" t="s">
        <v>9</v>
      </c>
      <c r="H103" s="3">
        <f>VLOOKUP(Check[[#This Row],[טיפוס]],Tipus[],2,FALSE)</f>
        <v>3</v>
      </c>
      <c r="I103" s="3" t="str">
        <f>VLOOKUP(Check[[#This Row],[טיפוס]],Tipus[],3,FALSE)</f>
        <v>סטנדרט</v>
      </c>
      <c r="J103" s="3" t="str">
        <f>VLOOKUP(Check[[#This Row],[טיפוס]],Tipus[],4,FALSE)</f>
        <v>D</v>
      </c>
      <c r="K103" s="3" t="str">
        <f>IF(Check[[#This Row],[סטטוס2]]="הולד","פנויה",Check[[#This Row],[סטטוס2]])</f>
        <v>בעלים</v>
      </c>
      <c r="L103" s="382" t="s">
        <v>91</v>
      </c>
      <c r="M103" s="382"/>
      <c r="N103" s="383"/>
      <c r="O103" s="383"/>
      <c r="P103" s="411"/>
      <c r="Q103" s="411"/>
      <c r="R103" s="383"/>
      <c r="S103" s="384">
        <v>44040</v>
      </c>
      <c r="T103" s="384" t="s">
        <v>1298</v>
      </c>
      <c r="U103" s="385" t="s">
        <v>422</v>
      </c>
      <c r="V103" s="385" t="s">
        <v>214</v>
      </c>
      <c r="W103" s="385" t="s">
        <v>245</v>
      </c>
    </row>
    <row r="104" spans="1:23" x14ac:dyDescent="0.2">
      <c r="A104" s="13" t="str">
        <f>_xlfn.CONCAT(VLOOKUP(Check[[#This Row],[סטטוס]],Sold,2,FALSE),IF(Check[[#This Row],[סטטוס]]="פנויה",IF(N104="גמר מלא סטנדרט",".GMS",IF(N104="גמר מלא טיוב חומרים",".GMC",IF(N104="גמר מינימלי",".GM",IF(N104="דירת שיווק",".DS","")))),""),".",VLOOKUP(Check[[#This Row],[טיפוס]],Tipus[],5,FALSE),".",VLOOKUP(Check[[#This Row],[מגדל]],Tower,2,FALSE),".Ap.",Check[[#This Row],[מספר דירה]])</f>
        <v>S.S.3D.TS.Ap.102</v>
      </c>
      <c r="B104" s="13" t="str">
        <f>_xlfn.CONCAT(VLOOKUP(Check[[#This Row],[סטטוס]],Sold,2,FALSE),IF(Check[[#This Row],[סטטוס]]="פנויה",IF(N104="גמר מלא סטנדרט",".GMS",IF(N104="גמר מלא טיוב חומרים",".GMC",IF(N104="גמר מינימלי",".GM",IF(N104="דירת שיווק",".DS","")))),""),IF(M104="זומן לטרום",".ZLT",IF(M104="טרום מסירה",".TM",IF(M104="טרום מסירה מהנדס",".TMM",IF(M104="מסירת חזקה",".MH",IF(M104="מסירת חזקה מהנדס",".MHM",""))))),".",VLOOKUP(Check[[#This Row],[טיפוס]],Tipus[],5,FALSE),".",VLOOKUP(Check[[#This Row],[מגדל]],Tower,2,FALSE),".Ap.",Check[[#This Row],[מספר דירה]])</f>
        <v>S.S.3D.TS.Ap.102</v>
      </c>
      <c r="C104" s="3" t="s">
        <v>55</v>
      </c>
      <c r="D104" s="3">
        <v>12</v>
      </c>
      <c r="E104" s="4">
        <v>102</v>
      </c>
      <c r="F104" s="3">
        <v>1204</v>
      </c>
      <c r="G104" s="3" t="s">
        <v>21</v>
      </c>
      <c r="H104" s="3">
        <f>VLOOKUP(Check[[#This Row],[טיפוס]],Tipus[],2,FALSE)</f>
        <v>3</v>
      </c>
      <c r="I104" s="3" t="str">
        <f>VLOOKUP(Check[[#This Row],[טיפוס]],Tipus[],3,FALSE)</f>
        <v>סטנדרט</v>
      </c>
      <c r="J104" s="3" t="str">
        <f>VLOOKUP(Check[[#This Row],[טיפוס]],Tipus[],4,FALSE)</f>
        <v>C</v>
      </c>
      <c r="K104" s="3" t="str">
        <f>IF(Check[[#This Row],[סטטוס2]]="הולד","פנויה",Check[[#This Row],[סטטוס2]])</f>
        <v>מכורה</v>
      </c>
      <c r="L104" s="382" t="s">
        <v>130</v>
      </c>
      <c r="M104" s="382"/>
      <c r="N104" s="383"/>
      <c r="O104" s="383"/>
      <c r="P104" s="411"/>
      <c r="Q104" s="411"/>
      <c r="R104" s="383"/>
      <c r="S104" s="386">
        <v>44452</v>
      </c>
      <c r="T104" s="386" t="s">
        <v>1102</v>
      </c>
      <c r="U104" s="385" t="s">
        <v>950</v>
      </c>
      <c r="V104" s="387"/>
      <c r="W104" s="387"/>
    </row>
    <row r="105" spans="1:23" x14ac:dyDescent="0.2">
      <c r="A105" s="13" t="str">
        <f>_xlfn.CONCAT(VLOOKUP(Check[[#This Row],[סטטוס]],Sold,2,FALSE),IF(Check[[#This Row],[סטטוס]]="פנויה",IF(N105="גמר מלא סטנדרט",".GMS",IF(N105="גמר מלא טיוב חומרים",".GMC",IF(N105="גמר מינימלי",".GM",IF(N105="דירת שיווק",".DS","")))),""),".",VLOOKUP(Check[[#This Row],[טיפוס]],Tipus[],5,FALSE),".",VLOOKUP(Check[[#This Row],[מגדל]],Tower,2,FALSE),".Ap.",Check[[#This Row],[מספר דירה]])</f>
        <v>S.S.3E.TS.Ap.103</v>
      </c>
      <c r="B105" s="13" t="str">
        <f>_xlfn.CONCAT(VLOOKUP(Check[[#This Row],[סטטוס]],Sold,2,FALSE),IF(Check[[#This Row],[סטטוס]]="פנויה",IF(N105="גמר מלא סטנדרט",".GMS",IF(N105="גמר מלא טיוב חומרים",".GMC",IF(N105="גמר מינימלי",".GM",IF(N105="דירת שיווק",".DS","")))),""),IF(M105="זומן לטרום",".ZLT",IF(M105="טרום מסירה",".TM",IF(M105="טרום מסירה מהנדס",".TMM",IF(M105="מסירת חזקה",".MH",IF(M105="מסירת חזקה מהנדס",".MHM",""))))),".",VLOOKUP(Check[[#This Row],[טיפוס]],Tipus[],5,FALSE),".",VLOOKUP(Check[[#This Row],[מגדל]],Tower,2,FALSE),".Ap.",Check[[#This Row],[מספר דירה]])</f>
        <v>S.S.3E.TS.Ap.103</v>
      </c>
      <c r="C105" s="3" t="s">
        <v>55</v>
      </c>
      <c r="D105" s="3">
        <v>12</v>
      </c>
      <c r="E105" s="4">
        <v>103</v>
      </c>
      <c r="F105" s="3">
        <v>1205</v>
      </c>
      <c r="G105" s="3" t="s">
        <v>20</v>
      </c>
      <c r="H105" s="3">
        <f>VLOOKUP(Check[[#This Row],[טיפוס]],Tipus[],2,FALSE)</f>
        <v>3</v>
      </c>
      <c r="I105" s="3" t="str">
        <f>VLOOKUP(Check[[#This Row],[טיפוס]],Tipus[],3,FALSE)</f>
        <v>סטנדרט</v>
      </c>
      <c r="J105" s="3" t="str">
        <f>VLOOKUP(Check[[#This Row],[טיפוס]],Tipus[],4,FALSE)</f>
        <v>A</v>
      </c>
      <c r="K105" s="3" t="str">
        <f>IF(Check[[#This Row],[סטטוס2]]="הולד","פנויה",Check[[#This Row],[סטטוס2]])</f>
        <v>מכורה</v>
      </c>
      <c r="L105" s="382" t="s">
        <v>130</v>
      </c>
      <c r="M105" s="382"/>
      <c r="N105" s="383"/>
      <c r="O105" s="383"/>
      <c r="P105" s="411"/>
      <c r="Q105" s="411"/>
      <c r="R105" s="383"/>
      <c r="S105" s="386">
        <v>44433</v>
      </c>
      <c r="T105" s="386" t="s">
        <v>1103</v>
      </c>
      <c r="U105" s="385" t="s">
        <v>951</v>
      </c>
      <c r="V105" s="387"/>
      <c r="W105" s="387"/>
    </row>
    <row r="106" spans="1:23" x14ac:dyDescent="0.2">
      <c r="A106" s="13" t="str">
        <f>_xlfn.CONCAT(VLOOKUP(Check[[#This Row],[סטטוס]],Sold,2,FALSE),IF(Check[[#This Row],[סטטוס]]="פנויה",IF(N106="גמר מלא סטנדרט",".GMS",IF(N106="גמר מלא טיוב חומרים",".GMC",IF(N106="גמר מינימלי",".GM",IF(N106="דירת שיווק",".DS","")))),""),".",VLOOKUP(Check[[#This Row],[טיפוס]],Tipus[],5,FALSE),".",VLOOKUP(Check[[#This Row],[מגדל]],Tower,2,FALSE),".Ap.",Check[[#This Row],[מספר דירה]])</f>
        <v>V.GMS.S.4A.TS.Ap.104</v>
      </c>
      <c r="B106" s="13" t="str">
        <f>_xlfn.CONCAT(VLOOKUP(Check[[#This Row],[סטטוס]],Sold,2,FALSE),IF(Check[[#This Row],[סטטוס]]="פנויה",IF(N106="גמר מלא סטנדרט",".GMS",IF(N106="גמר מלא טיוב חומרים",".GMC",IF(N106="גמר מינימלי",".GM",IF(N106="דירת שיווק",".DS","")))),""),IF(M106="זומן לטרום",".ZLT",IF(M106="טרום מסירה",".TM",IF(M106="טרום מסירה מהנדס",".TMM",IF(M106="מסירת חזקה",".MH",IF(M106="מסירת חזקה מהנדס",".MHM",""))))),".",VLOOKUP(Check[[#This Row],[טיפוס]],Tipus[],5,FALSE),".",VLOOKUP(Check[[#This Row],[מגדל]],Tower,2,FALSE),".Ap.",Check[[#This Row],[מספר דירה]])</f>
        <v>V.GMS.S.4A.TS.Ap.104</v>
      </c>
      <c r="C106" s="3" t="s">
        <v>55</v>
      </c>
      <c r="D106" s="3">
        <v>12</v>
      </c>
      <c r="E106" s="4">
        <v>104</v>
      </c>
      <c r="F106" s="3">
        <v>1206</v>
      </c>
      <c r="G106" s="3" t="s">
        <v>14</v>
      </c>
      <c r="H106" s="3">
        <f>VLOOKUP(Check[[#This Row],[טיפוס]],Tipus[],2,FALSE)</f>
        <v>4</v>
      </c>
      <c r="I106" s="3" t="str">
        <f>VLOOKUP(Check[[#This Row],[טיפוס]],Tipus[],3,FALSE)</f>
        <v>סטנדרט</v>
      </c>
      <c r="J106" s="3" t="str">
        <f>VLOOKUP(Check[[#This Row],[טיפוס]],Tipus[],4,FALSE)</f>
        <v>J</v>
      </c>
      <c r="K106" s="3" t="str">
        <f>IF(Check[[#This Row],[סטטוס2]]="הולד","פנויה",Check[[#This Row],[סטטוס2]])</f>
        <v>פנויה</v>
      </c>
      <c r="L106" s="382" t="s">
        <v>108</v>
      </c>
      <c r="M106" s="382"/>
      <c r="N106" t="s">
        <v>1367</v>
      </c>
      <c r="O106" s="383" t="s">
        <v>1390</v>
      </c>
      <c r="P106" s="410" t="s">
        <v>1389</v>
      </c>
      <c r="Q106" s="410"/>
      <c r="R106" s="383"/>
      <c r="S106" s="384"/>
      <c r="T106" s="384" t="s">
        <v>214</v>
      </c>
      <c r="U106" s="385"/>
      <c r="V106" s="385"/>
      <c r="W106" s="387"/>
    </row>
    <row r="107" spans="1:23" x14ac:dyDescent="0.2">
      <c r="A107" s="13" t="str">
        <f>_xlfn.CONCAT(VLOOKUP(Check[[#This Row],[סטטוס]],Sold,2,FALSE),IF(Check[[#This Row],[סטטוס]]="פנויה",IF(N107="גמר מלא סטנדרט",".GMS",IF(N107="גמר מלא טיוב חומרים",".GMC",IF(N107="גמר מינימלי",".GM",IF(N107="דירת שיווק",".DS","")))),""),".",VLOOKUP(Check[[#This Row],[טיפוס]],Tipus[],5,FALSE),".",VLOOKUP(Check[[#This Row],[מגדל]],Tower,2,FALSE),".Ap.",Check[[#This Row],[מספר דירה]])</f>
        <v>V.GMS.S.2G.TS.Ap.105</v>
      </c>
      <c r="B107" s="13" t="str">
        <f>_xlfn.CONCAT(VLOOKUP(Check[[#This Row],[סטטוס]],Sold,2,FALSE),IF(Check[[#This Row],[סטטוס]]="פנויה",IF(N107="גמר מלא סטנדרט",".GMS",IF(N107="גמר מלא טיוב חומרים",".GMC",IF(N107="גמר מינימלי",".GM",IF(N107="דירת שיווק",".DS","")))),""),IF(M107="זומן לטרום",".ZLT",IF(M107="טרום מסירה",".TM",IF(M107="טרום מסירה מהנדס",".TMM",IF(M107="מסירת חזקה",".MH",IF(M107="מסירת חזקה מהנדס",".MHM",""))))),".",VLOOKUP(Check[[#This Row],[טיפוס]],Tipus[],5,FALSE),".",VLOOKUP(Check[[#This Row],[מגדל]],Tower,2,FALSE),".Ap.",Check[[#This Row],[מספר דירה]])</f>
        <v>V.GMS.S.2G.TS.Ap.105</v>
      </c>
      <c r="C107" s="3" t="s">
        <v>55</v>
      </c>
      <c r="D107" s="3">
        <v>12</v>
      </c>
      <c r="E107" s="4">
        <v>105</v>
      </c>
      <c r="F107" s="3">
        <v>1207</v>
      </c>
      <c r="G107" s="3" t="s">
        <v>15</v>
      </c>
      <c r="H107" s="3">
        <f>VLOOKUP(Check[[#This Row],[טיפוס]],Tipus[],2,FALSE)</f>
        <v>2</v>
      </c>
      <c r="I107" s="3" t="str">
        <f>VLOOKUP(Check[[#This Row],[טיפוס]],Tipus[],3,FALSE)</f>
        <v>סטנדרט</v>
      </c>
      <c r="J107" s="3" t="str">
        <f>VLOOKUP(Check[[#This Row],[טיפוס]],Tipus[],4,FALSE)</f>
        <v>I</v>
      </c>
      <c r="K107" s="3" t="str">
        <f>IF(Check[[#This Row],[סטטוס2]]="הולד","פנויה",Check[[#This Row],[סטטוס2]])</f>
        <v>פנויה</v>
      </c>
      <c r="L107" s="382" t="s">
        <v>108</v>
      </c>
      <c r="M107" s="382"/>
      <c r="N107" t="s">
        <v>1367</v>
      </c>
      <c r="O107" s="383" t="s">
        <v>1390</v>
      </c>
      <c r="P107" s="410" t="s">
        <v>1389</v>
      </c>
      <c r="Q107" s="410"/>
      <c r="R107" s="383"/>
      <c r="S107" s="384"/>
      <c r="T107" s="384" t="s">
        <v>214</v>
      </c>
      <c r="U107" s="385"/>
      <c r="V107" s="385"/>
      <c r="W107" s="387"/>
    </row>
    <row r="108" spans="1:23" x14ac:dyDescent="0.2">
      <c r="A108" s="13" t="str">
        <f>_xlfn.CONCAT(VLOOKUP(Check[[#This Row],[סטטוס]],Sold,2,FALSE),IF(Check[[#This Row],[סטטוס]]="פנויה",IF(N108="גמר מלא סטנדרט",".GMS",IF(N108="גמר מלא טיוב חומרים",".GMC",IF(N108="גמר מינימלי",".GM",IF(N108="דירת שיווק",".DS","")))),""),".",VLOOKUP(Check[[#This Row],[טיפוס]],Tipus[],5,FALSE),".",VLOOKUP(Check[[#This Row],[מגדל]],Tower,2,FALSE),".Ap.",Check[[#This Row],[מספר דירה]])</f>
        <v>S.S.4B.TS.Ap.106</v>
      </c>
      <c r="B108" s="13" t="str">
        <f>_xlfn.CONCAT(VLOOKUP(Check[[#This Row],[סטטוס]],Sold,2,FALSE),IF(Check[[#This Row],[סטטוס]]="פנויה",IF(N108="גמר מלא סטנדרט",".GMS",IF(N108="גמר מלא טיוב חומרים",".GMC",IF(N108="גמר מינימלי",".GM",IF(N108="דירת שיווק",".DS","")))),""),IF(M108="זומן לטרום",".ZLT",IF(M108="טרום מסירה",".TM",IF(M108="טרום מסירה מהנדס",".TMM",IF(M108="מסירת חזקה",".MH",IF(M108="מסירת חזקה מהנדס",".MHM",""))))),".",VLOOKUP(Check[[#This Row],[טיפוס]],Tipus[],5,FALSE),".",VLOOKUP(Check[[#This Row],[מגדל]],Tower,2,FALSE),".Ap.",Check[[#This Row],[מספר דירה]])</f>
        <v>S.S.4B.TS.Ap.106</v>
      </c>
      <c r="C108" s="3" t="s">
        <v>55</v>
      </c>
      <c r="D108" s="3">
        <v>12</v>
      </c>
      <c r="E108" s="4">
        <v>106</v>
      </c>
      <c r="F108" s="3">
        <v>1208</v>
      </c>
      <c r="G108" s="3" t="s">
        <v>16</v>
      </c>
      <c r="H108" s="3">
        <f>VLOOKUP(Check[[#This Row],[טיפוס]],Tipus[],2,FALSE)</f>
        <v>4</v>
      </c>
      <c r="I108" s="3" t="str">
        <f>VLOOKUP(Check[[#This Row],[טיפוס]],Tipus[],3,FALSE)</f>
        <v>סטנדרט</v>
      </c>
      <c r="J108" s="3" t="str">
        <f>VLOOKUP(Check[[#This Row],[טיפוס]],Tipus[],4,FALSE)</f>
        <v>H</v>
      </c>
      <c r="K108" s="3" t="str">
        <f>IF(Check[[#This Row],[סטטוס2]]="הולד","פנויה",Check[[#This Row],[סטטוס2]])</f>
        <v>מכורה</v>
      </c>
      <c r="L108" s="382" t="s">
        <v>130</v>
      </c>
      <c r="M108" s="382"/>
      <c r="N108" s="383"/>
      <c r="O108" s="383"/>
      <c r="P108" s="411"/>
      <c r="Q108" s="411"/>
      <c r="R108" s="383"/>
      <c r="S108" s="386">
        <v>44610</v>
      </c>
      <c r="T108" s="386" t="s">
        <v>1104</v>
      </c>
      <c r="U108" s="385" t="s">
        <v>952</v>
      </c>
      <c r="V108" s="387"/>
      <c r="W108" s="387"/>
    </row>
    <row r="109" spans="1:23" x14ac:dyDescent="0.2">
      <c r="A109" s="13" t="str">
        <f>_xlfn.CONCAT(VLOOKUP(Check[[#This Row],[סטטוס]],Sold,2,FALSE),IF(Check[[#This Row],[סטטוס]]="פנויה",IF(N109="גמר מלא סטנדרט",".GMS",IF(N109="גמר מלא טיוב חומרים",".GMC",IF(N109="גמר מינימלי",".GM",IF(N109="דירת שיווק",".DS","")))),""),".",VLOOKUP(Check[[#This Row],[טיפוס]],Tipus[],5,FALSE),".",VLOOKUP(Check[[#This Row],[מגדל]],Tower,2,FALSE),".Ap.",Check[[#This Row],[מספר דירה]])</f>
        <v>V.GMS.S.3B.TS.Ap.107</v>
      </c>
      <c r="B109" s="13" t="str">
        <f>_xlfn.CONCAT(VLOOKUP(Check[[#This Row],[סטטוס]],Sold,2,FALSE),IF(Check[[#This Row],[סטטוס]]="פנויה",IF(N109="גמר מלא סטנדרט",".GMS",IF(N109="גמר מלא טיוב חומרים",".GMC",IF(N109="גמר מינימלי",".GM",IF(N109="דירת שיווק",".DS","")))),""),IF(M109="זומן לטרום",".ZLT",IF(M109="טרום מסירה",".TM",IF(M109="טרום מסירה מהנדס",".TMM",IF(M109="מסירת חזקה",".MH",IF(M109="מסירת חזקה מהנדס",".MHM",""))))),".",VLOOKUP(Check[[#This Row],[טיפוס]],Tipus[],5,FALSE),".",VLOOKUP(Check[[#This Row],[מגדל]],Tower,2,FALSE),".Ap.",Check[[#This Row],[מספר דירה]])</f>
        <v>V.GMS.S.3B.TS.Ap.107</v>
      </c>
      <c r="C109" s="3" t="s">
        <v>55</v>
      </c>
      <c r="D109" s="3">
        <v>13</v>
      </c>
      <c r="E109" s="4">
        <v>107</v>
      </c>
      <c r="F109" s="3">
        <v>1301</v>
      </c>
      <c r="G109" s="3" t="s">
        <v>19</v>
      </c>
      <c r="H109" s="3">
        <f>VLOOKUP(Check[[#This Row],[טיפוס]],Tipus[],2,FALSE)</f>
        <v>3</v>
      </c>
      <c r="I109" s="3" t="str">
        <f>VLOOKUP(Check[[#This Row],[טיפוס]],Tipus[],3,FALSE)</f>
        <v>סטנדרט</v>
      </c>
      <c r="J109" s="3" t="str">
        <f>VLOOKUP(Check[[#This Row],[טיפוס]],Tipus[],4,FALSE)</f>
        <v>G</v>
      </c>
      <c r="K109" s="3" t="str">
        <f>IF(Check[[#This Row],[סטטוס2]]="הולד","פנויה",Check[[#This Row],[סטטוס2]])</f>
        <v>פנויה</v>
      </c>
      <c r="L109" s="382" t="s">
        <v>108</v>
      </c>
      <c r="M109" s="382"/>
      <c r="N109" t="s">
        <v>1367</v>
      </c>
      <c r="O109" s="383" t="s">
        <v>1390</v>
      </c>
      <c r="P109" s="410" t="s">
        <v>1389</v>
      </c>
      <c r="Q109" s="410"/>
      <c r="R109" s="383"/>
      <c r="S109" s="384"/>
      <c r="T109" s="384" t="s">
        <v>214</v>
      </c>
      <c r="U109" s="385"/>
      <c r="V109" s="385"/>
      <c r="W109" s="387"/>
    </row>
    <row r="110" spans="1:23" x14ac:dyDescent="0.2">
      <c r="A110" s="13" t="str">
        <f>_xlfn.CONCAT(VLOOKUP(Check[[#This Row],[סטטוס]],Sold,2,FALSE),IF(Check[[#This Row],[סטטוס]]="פנויה",IF(N110="גמר מלא סטנדרט",".GMS",IF(N110="גמר מלא טיוב חומרים",".GMC",IF(N110="גמר מינימלי",".GM",IF(N110="דירת שיווק",".DS","")))),""),".",VLOOKUP(Check[[#This Row],[טיפוס]],Tipus[],5,FALSE),".",VLOOKUP(Check[[#This Row],[מגדל]],Tower,2,FALSE),".Ap.",Check[[#This Row],[מספר דירה]])</f>
        <v>S.S.3C.TS.Ap.108</v>
      </c>
      <c r="B110" s="13" t="str">
        <f>_xlfn.CONCAT(VLOOKUP(Check[[#This Row],[סטטוס]],Sold,2,FALSE),IF(Check[[#This Row],[סטטוס]]="פנויה",IF(N110="גמר מלא סטנדרט",".GMS",IF(N110="גמר מלא טיוב חומרים",".GMC",IF(N110="גמר מינימלי",".GM",IF(N110="דירת שיווק",".DS","")))),""),IF(M110="זומן לטרום",".ZLT",IF(M110="טרום מסירה",".TM",IF(M110="טרום מסירה מהנדס",".TMM",IF(M110="מסירת חזקה",".MH",IF(M110="מסירת חזקה מהנדס",".MHM",""))))),".",VLOOKUP(Check[[#This Row],[טיפוס]],Tipus[],5,FALSE),".",VLOOKUP(Check[[#This Row],[מגדל]],Tower,2,FALSE),".Ap.",Check[[#This Row],[מספר דירה]])</f>
        <v>S.S.3C.TS.Ap.108</v>
      </c>
      <c r="C110" s="3" t="s">
        <v>55</v>
      </c>
      <c r="D110" s="3">
        <v>13</v>
      </c>
      <c r="E110" s="4">
        <v>108</v>
      </c>
      <c r="F110" s="3">
        <v>1302</v>
      </c>
      <c r="G110" s="3" t="s">
        <v>18</v>
      </c>
      <c r="H110" s="3">
        <f>VLOOKUP(Check[[#This Row],[טיפוס]],Tipus[],2,FALSE)</f>
        <v>3</v>
      </c>
      <c r="I110" s="3" t="str">
        <f>VLOOKUP(Check[[#This Row],[טיפוס]],Tipus[],3,FALSE)</f>
        <v>סטנדרט</v>
      </c>
      <c r="J110" s="3" t="str">
        <f>VLOOKUP(Check[[#This Row],[טיפוס]],Tipus[],4,FALSE)</f>
        <v>E</v>
      </c>
      <c r="K110" s="3" t="str">
        <f>IF(Check[[#This Row],[סטטוס2]]="הולד","פנויה",Check[[#This Row],[סטטוס2]])</f>
        <v>מכורה</v>
      </c>
      <c r="L110" s="382" t="s">
        <v>130</v>
      </c>
      <c r="M110" s="382"/>
      <c r="N110" s="383"/>
      <c r="O110" s="383"/>
      <c r="P110" s="411"/>
      <c r="Q110" s="411"/>
      <c r="R110" s="383"/>
      <c r="S110" s="386">
        <v>44472</v>
      </c>
      <c r="T110" s="386" t="s">
        <v>1105</v>
      </c>
      <c r="U110" s="385" t="s">
        <v>953</v>
      </c>
      <c r="V110" s="387"/>
      <c r="W110" s="387"/>
    </row>
    <row r="111" spans="1:23" x14ac:dyDescent="0.2">
      <c r="A111" s="13" t="str">
        <f>_xlfn.CONCAT(VLOOKUP(Check[[#This Row],[סטטוס]],Sold,2,FALSE),IF(Check[[#This Row],[סטטוס]]="פנויה",IF(N111="גמר מלא סטנדרט",".GMS",IF(N111="גמר מלא טיוב חומרים",".GMC",IF(N111="גמר מינימלי",".GM",IF(N111="דירת שיווק",".DS","")))),""),".",VLOOKUP(Check[[#This Row],[טיפוס]],Tipus[],5,FALSE),".",VLOOKUP(Check[[#This Row],[מגדל]],Tower,2,FALSE),".Ap.",Check[[#This Row],[מספר דירה]])</f>
        <v>O.S.3A.TS.Ap.109</v>
      </c>
      <c r="B111" s="13" t="str">
        <f>_xlfn.CONCAT(VLOOKUP(Check[[#This Row],[סטטוס]],Sold,2,FALSE),IF(Check[[#This Row],[סטטוס]]="פנויה",IF(N111="גמר מלא סטנדרט",".GMS",IF(N111="גמר מלא טיוב חומרים",".GMC",IF(N111="גמר מינימלי",".GM",IF(N111="דירת שיווק",".DS","")))),""),IF(M111="זומן לטרום",".ZLT",IF(M111="טרום מסירה",".TM",IF(M111="טרום מסירה מהנדס",".TMM",IF(M111="מסירת חזקה",".MH",IF(M111="מסירת חזקה מהנדס",".MHM",""))))),".",VLOOKUP(Check[[#This Row],[טיפוס]],Tipus[],5,FALSE),".",VLOOKUP(Check[[#This Row],[מגדל]],Tower,2,FALSE),".Ap.",Check[[#This Row],[מספר דירה]])</f>
        <v>O.S.3A.TS.Ap.109</v>
      </c>
      <c r="C111" s="3" t="s">
        <v>55</v>
      </c>
      <c r="D111" s="3">
        <v>13</v>
      </c>
      <c r="E111" s="4">
        <v>109</v>
      </c>
      <c r="F111" s="3">
        <v>1303</v>
      </c>
      <c r="G111" s="3" t="s">
        <v>9</v>
      </c>
      <c r="H111" s="3">
        <f>VLOOKUP(Check[[#This Row],[טיפוס]],Tipus[],2,FALSE)</f>
        <v>3</v>
      </c>
      <c r="I111" s="3" t="str">
        <f>VLOOKUP(Check[[#This Row],[טיפוס]],Tipus[],3,FALSE)</f>
        <v>סטנדרט</v>
      </c>
      <c r="J111" s="3" t="str">
        <f>VLOOKUP(Check[[#This Row],[טיפוס]],Tipus[],4,FALSE)</f>
        <v>D</v>
      </c>
      <c r="K111" s="3" t="str">
        <f>IF(Check[[#This Row],[סטטוס2]]="הולד","פנויה",Check[[#This Row],[סטטוס2]])</f>
        <v>בעלים</v>
      </c>
      <c r="L111" s="382" t="s">
        <v>91</v>
      </c>
      <c r="M111" s="382"/>
      <c r="N111" s="383"/>
      <c r="O111" s="383"/>
      <c r="P111" s="411"/>
      <c r="Q111" s="411"/>
      <c r="R111" s="383"/>
      <c r="S111" s="384">
        <v>44040</v>
      </c>
      <c r="T111" s="384" t="s">
        <v>238</v>
      </c>
      <c r="U111" s="385" t="s">
        <v>423</v>
      </c>
      <c r="V111" s="385" t="s">
        <v>214</v>
      </c>
      <c r="W111" s="385" t="s">
        <v>214</v>
      </c>
    </row>
    <row r="112" spans="1:23" x14ac:dyDescent="0.2">
      <c r="A112" s="13" t="str">
        <f>_xlfn.CONCAT(VLOOKUP(Check[[#This Row],[סטטוס]],Sold,2,FALSE),IF(Check[[#This Row],[סטטוס]]="פנויה",IF(N112="גמר מלא סטנדרט",".GMS",IF(N112="גמר מלא טיוב חומרים",".GMC",IF(N112="גמר מינימלי",".GM",IF(N112="דירת שיווק",".DS","")))),""),".",VLOOKUP(Check[[#This Row],[טיפוס]],Tipus[],5,FALSE),".",VLOOKUP(Check[[#This Row],[מגדל]],Tower,2,FALSE),".Ap.",Check[[#This Row],[מספר דירה]])</f>
        <v>S.S.3D.TS.Ap.110</v>
      </c>
      <c r="B112" s="13" t="str">
        <f>_xlfn.CONCAT(VLOOKUP(Check[[#This Row],[סטטוס]],Sold,2,FALSE),IF(Check[[#This Row],[סטטוס]]="פנויה",IF(N112="גמר מלא סטנדרט",".GMS",IF(N112="גמר מלא טיוב חומרים",".GMC",IF(N112="גמר מינימלי",".GM",IF(N112="דירת שיווק",".DS","")))),""),IF(M112="זומן לטרום",".ZLT",IF(M112="טרום מסירה",".TM",IF(M112="טרום מסירה מהנדס",".TMM",IF(M112="מסירת חזקה",".MH",IF(M112="מסירת חזקה מהנדס",".MHM",""))))),".",VLOOKUP(Check[[#This Row],[טיפוס]],Tipus[],5,FALSE),".",VLOOKUP(Check[[#This Row],[מגדל]],Tower,2,FALSE),".Ap.",Check[[#This Row],[מספר דירה]])</f>
        <v>S.S.3D.TS.Ap.110</v>
      </c>
      <c r="C112" s="3" t="s">
        <v>55</v>
      </c>
      <c r="D112" s="3">
        <v>13</v>
      </c>
      <c r="E112" s="4">
        <v>110</v>
      </c>
      <c r="F112" s="3">
        <v>1304</v>
      </c>
      <c r="G112" s="3" t="s">
        <v>21</v>
      </c>
      <c r="H112" s="3">
        <f>VLOOKUP(Check[[#This Row],[טיפוס]],Tipus[],2,FALSE)</f>
        <v>3</v>
      </c>
      <c r="I112" s="3" t="str">
        <f>VLOOKUP(Check[[#This Row],[טיפוס]],Tipus[],3,FALSE)</f>
        <v>סטנדרט</v>
      </c>
      <c r="J112" s="3" t="str">
        <f>VLOOKUP(Check[[#This Row],[טיפוס]],Tipus[],4,FALSE)</f>
        <v>C</v>
      </c>
      <c r="K112" s="3" t="str">
        <f>IF(Check[[#This Row],[סטטוס2]]="הולד","פנויה",Check[[#This Row],[סטטוס2]])</f>
        <v>מכורה</v>
      </c>
      <c r="L112" s="382" t="s">
        <v>130</v>
      </c>
      <c r="M112" s="382"/>
      <c r="N112" s="383"/>
      <c r="O112" s="383"/>
      <c r="P112" s="411"/>
      <c r="Q112" s="411"/>
      <c r="R112" s="383"/>
      <c r="S112" s="386">
        <v>44452</v>
      </c>
      <c r="T112" s="386" t="s">
        <v>1106</v>
      </c>
      <c r="U112" s="385" t="s">
        <v>954</v>
      </c>
      <c r="V112" s="387"/>
      <c r="W112" s="387"/>
    </row>
    <row r="113" spans="1:23" x14ac:dyDescent="0.2">
      <c r="A113" s="13" t="str">
        <f>_xlfn.CONCAT(VLOOKUP(Check[[#This Row],[סטטוס]],Sold,2,FALSE),IF(Check[[#This Row],[סטטוס]]="פנויה",IF(N113="גמר מלא סטנדרט",".GMS",IF(N113="גמר מלא טיוב חומרים",".GMC",IF(N113="גמר מינימלי",".GM",IF(N113="דירת שיווק",".DS","")))),""),".",VLOOKUP(Check[[#This Row],[טיפוס]],Tipus[],5,FALSE),".",VLOOKUP(Check[[#This Row],[מגדל]],Tower,2,FALSE),".Ap.",Check[[#This Row],[מספר דירה]])</f>
        <v>S.S.3E.TS.Ap.111</v>
      </c>
      <c r="B113" s="13" t="str">
        <f>_xlfn.CONCAT(VLOOKUP(Check[[#This Row],[סטטוס]],Sold,2,FALSE),IF(Check[[#This Row],[סטטוס]]="פנויה",IF(N113="גמר מלא סטנדרט",".GMS",IF(N113="גמר מלא טיוב חומרים",".GMC",IF(N113="גמר מינימלי",".GM",IF(N113="דירת שיווק",".DS","")))),""),IF(M113="זומן לטרום",".ZLT",IF(M113="טרום מסירה",".TM",IF(M113="טרום מסירה מהנדס",".TMM",IF(M113="מסירת חזקה",".MH",IF(M113="מסירת חזקה מהנדס",".MHM",""))))),".",VLOOKUP(Check[[#This Row],[טיפוס]],Tipus[],5,FALSE),".",VLOOKUP(Check[[#This Row],[מגדל]],Tower,2,FALSE),".Ap.",Check[[#This Row],[מספר דירה]])</f>
        <v>S.S.3E.TS.Ap.111</v>
      </c>
      <c r="C113" s="3" t="s">
        <v>55</v>
      </c>
      <c r="D113" s="3">
        <v>13</v>
      </c>
      <c r="E113" s="4">
        <v>111</v>
      </c>
      <c r="F113" s="3">
        <v>1305</v>
      </c>
      <c r="G113" s="3" t="s">
        <v>20</v>
      </c>
      <c r="H113" s="3">
        <f>VLOOKUP(Check[[#This Row],[טיפוס]],Tipus[],2,FALSE)</f>
        <v>3</v>
      </c>
      <c r="I113" s="3" t="str">
        <f>VLOOKUP(Check[[#This Row],[טיפוס]],Tipus[],3,FALSE)</f>
        <v>סטנדרט</v>
      </c>
      <c r="J113" s="3" t="str">
        <f>VLOOKUP(Check[[#This Row],[טיפוס]],Tipus[],4,FALSE)</f>
        <v>A</v>
      </c>
      <c r="K113" s="3" t="str">
        <f>IF(Check[[#This Row],[סטטוס2]]="הולד","פנויה",Check[[#This Row],[סטטוס2]])</f>
        <v>מכורה</v>
      </c>
      <c r="L113" s="382" t="s">
        <v>130</v>
      </c>
      <c r="M113" s="382"/>
      <c r="N113" s="383"/>
      <c r="O113" s="383"/>
      <c r="P113" s="411"/>
      <c r="Q113" s="411"/>
      <c r="R113" s="383"/>
      <c r="S113" s="386">
        <v>44433</v>
      </c>
      <c r="T113" s="386" t="s">
        <v>1107</v>
      </c>
      <c r="U113" s="385" t="s">
        <v>955</v>
      </c>
      <c r="V113" s="387"/>
      <c r="W113" s="387"/>
    </row>
    <row r="114" spans="1:23" x14ac:dyDescent="0.2">
      <c r="A114" s="13" t="str">
        <f>_xlfn.CONCAT(VLOOKUP(Check[[#This Row],[סטטוס]],Sold,2,FALSE),IF(Check[[#This Row],[סטטוס]]="פנויה",IF(N114="גמר מלא סטנדרט",".GMS",IF(N114="גמר מלא טיוב חומרים",".GMC",IF(N114="גמר מינימלי",".GM",IF(N114="דירת שיווק",".DS","")))),""),".",VLOOKUP(Check[[#This Row],[טיפוס]],Tipus[],5,FALSE),".",VLOOKUP(Check[[#This Row],[מגדל]],Tower,2,FALSE),".Ap.",Check[[#This Row],[מספר דירה]])</f>
        <v>S.S.4A.TS.Ap.112</v>
      </c>
      <c r="B114" s="13" t="str">
        <f>_xlfn.CONCAT(VLOOKUP(Check[[#This Row],[סטטוס]],Sold,2,FALSE),IF(Check[[#This Row],[סטטוס]]="פנויה",IF(N114="גמר מלא סטנדרט",".GMS",IF(N114="גמר מלא טיוב חומרים",".GMC",IF(N114="גמר מינימלי",".GM",IF(N114="דירת שיווק",".DS","")))),""),IF(M114="זומן לטרום",".ZLT",IF(M114="טרום מסירה",".TM",IF(M114="טרום מסירה מהנדס",".TMM",IF(M114="מסירת חזקה",".MH",IF(M114="מסירת חזקה מהנדס",".MHM",""))))),".",VLOOKUP(Check[[#This Row],[טיפוס]],Tipus[],5,FALSE),".",VLOOKUP(Check[[#This Row],[מגדל]],Tower,2,FALSE),".Ap.",Check[[#This Row],[מספר דירה]])</f>
        <v>S.S.4A.TS.Ap.112</v>
      </c>
      <c r="C114" s="3" t="s">
        <v>55</v>
      </c>
      <c r="D114" s="3">
        <v>13</v>
      </c>
      <c r="E114" s="4">
        <v>112</v>
      </c>
      <c r="F114" s="3">
        <v>1306</v>
      </c>
      <c r="G114" s="3" t="s">
        <v>14</v>
      </c>
      <c r="H114" s="3">
        <f>VLOOKUP(Check[[#This Row],[טיפוס]],Tipus[],2,FALSE)</f>
        <v>4</v>
      </c>
      <c r="I114" s="3" t="str">
        <f>VLOOKUP(Check[[#This Row],[טיפוס]],Tipus[],3,FALSE)</f>
        <v>סטנדרט</v>
      </c>
      <c r="J114" s="3" t="str">
        <f>VLOOKUP(Check[[#This Row],[טיפוס]],Tipus[],4,FALSE)</f>
        <v>J</v>
      </c>
      <c r="K114" s="3" t="str">
        <f>IF(Check[[#This Row],[סטטוס2]]="הולד","פנויה",Check[[#This Row],[סטטוס2]])</f>
        <v>מכורה</v>
      </c>
      <c r="L114" s="382" t="s">
        <v>130</v>
      </c>
      <c r="M114" s="382"/>
      <c r="N114" s="383"/>
      <c r="O114" s="383"/>
      <c r="P114" s="411"/>
      <c r="Q114" s="411"/>
      <c r="R114" s="383"/>
      <c r="S114" s="386">
        <v>44508</v>
      </c>
      <c r="T114" s="386" t="s">
        <v>1108</v>
      </c>
      <c r="U114" s="385" t="s">
        <v>956</v>
      </c>
      <c r="V114" s="387"/>
      <c r="W114" s="387"/>
    </row>
    <row r="115" spans="1:23" x14ac:dyDescent="0.2">
      <c r="A115" s="13" t="str">
        <f>_xlfn.CONCAT(VLOOKUP(Check[[#This Row],[סטטוס]],Sold,2,FALSE),IF(Check[[#This Row],[סטטוס]]="פנויה",IF(N115="גמר מלא סטנדרט",".GMS",IF(N115="גמר מלא טיוב חומרים",".GMC",IF(N115="גמר מינימלי",".GM",IF(N115="דירת שיווק",".DS","")))),""),".",VLOOKUP(Check[[#This Row],[טיפוס]],Tipus[],5,FALSE),".",VLOOKUP(Check[[#This Row],[מגדל]],Tower,2,FALSE),".Ap.",Check[[#This Row],[מספר דירה]])</f>
        <v>S.S.2G.TS.Ap.113</v>
      </c>
      <c r="B115" s="13" t="str">
        <f>_xlfn.CONCAT(VLOOKUP(Check[[#This Row],[סטטוס]],Sold,2,FALSE),IF(Check[[#This Row],[סטטוס]]="פנויה",IF(N115="גמר מלא סטנדרט",".GMS",IF(N115="גמר מלא טיוב חומרים",".GMC",IF(N115="גמר מינימלי",".GM",IF(N115="דירת שיווק",".DS","")))),""),IF(M115="זומן לטרום",".ZLT",IF(M115="טרום מסירה",".TM",IF(M115="טרום מסירה מהנדס",".TMM",IF(M115="מסירת חזקה",".MH",IF(M115="מסירת חזקה מהנדס",".MHM",""))))),".",VLOOKUP(Check[[#This Row],[טיפוס]],Tipus[],5,FALSE),".",VLOOKUP(Check[[#This Row],[מגדל]],Tower,2,FALSE),".Ap.",Check[[#This Row],[מספר דירה]])</f>
        <v>S.S.2G.TS.Ap.113</v>
      </c>
      <c r="C115" s="3" t="s">
        <v>55</v>
      </c>
      <c r="D115" s="3">
        <v>13</v>
      </c>
      <c r="E115" s="4">
        <v>113</v>
      </c>
      <c r="F115" s="3">
        <v>1307</v>
      </c>
      <c r="G115" s="3" t="s">
        <v>15</v>
      </c>
      <c r="H115" s="3">
        <f>VLOOKUP(Check[[#This Row],[טיפוס]],Tipus[],2,FALSE)</f>
        <v>2</v>
      </c>
      <c r="I115" s="3" t="str">
        <f>VLOOKUP(Check[[#This Row],[טיפוס]],Tipus[],3,FALSE)</f>
        <v>סטנדרט</v>
      </c>
      <c r="J115" s="3" t="str">
        <f>VLOOKUP(Check[[#This Row],[טיפוס]],Tipus[],4,FALSE)</f>
        <v>I</v>
      </c>
      <c r="K115" s="3" t="str">
        <f>IF(Check[[#This Row],[סטטוס2]]="הולד","פנויה",Check[[#This Row],[סטטוס2]])</f>
        <v>מכורה</v>
      </c>
      <c r="L115" s="382" t="s">
        <v>130</v>
      </c>
      <c r="M115" s="382"/>
      <c r="N115" s="383"/>
      <c r="O115" s="383"/>
      <c r="P115" s="411"/>
      <c r="Q115" s="411"/>
      <c r="R115" s="383"/>
      <c r="S115" s="386">
        <v>44511</v>
      </c>
      <c r="T115" s="386" t="s">
        <v>1109</v>
      </c>
      <c r="U115" s="385" t="s">
        <v>957</v>
      </c>
      <c r="V115" s="387"/>
      <c r="W115" s="387"/>
    </row>
    <row r="116" spans="1:23" x14ac:dyDescent="0.2">
      <c r="A116" s="13" t="str">
        <f>_xlfn.CONCAT(VLOOKUP(Check[[#This Row],[סטטוס]],Sold,2,FALSE),IF(Check[[#This Row],[סטטוס]]="פנויה",IF(N116="גמר מלא סטנדרט",".GMS",IF(N116="גמר מלא טיוב חומרים",".GMC",IF(N116="גמר מינימלי",".GM",IF(N116="דירת שיווק",".DS","")))),""),".",VLOOKUP(Check[[#This Row],[טיפוס]],Tipus[],5,FALSE),".",VLOOKUP(Check[[#This Row],[מגדל]],Tower,2,FALSE),".Ap.",Check[[#This Row],[מספר דירה]])</f>
        <v>O.S.4B.TS.Ap.114</v>
      </c>
      <c r="B116" s="13" t="str">
        <f>_xlfn.CONCAT(VLOOKUP(Check[[#This Row],[סטטוס]],Sold,2,FALSE),IF(Check[[#This Row],[סטטוס]]="פנויה",IF(N116="גמר מלא סטנדרט",".GMS",IF(N116="גמר מלא טיוב חומרים",".GMC",IF(N116="גמר מינימלי",".GM",IF(N116="דירת שיווק",".DS","")))),""),IF(M116="זומן לטרום",".ZLT",IF(M116="טרום מסירה",".TM",IF(M116="טרום מסירה מהנדס",".TMM",IF(M116="מסירת חזקה",".MH",IF(M116="מסירת חזקה מהנדס",".MHM",""))))),".",VLOOKUP(Check[[#This Row],[טיפוס]],Tipus[],5,FALSE),".",VLOOKUP(Check[[#This Row],[מגדל]],Tower,2,FALSE),".Ap.",Check[[#This Row],[מספר דירה]])</f>
        <v>O.S.4B.TS.Ap.114</v>
      </c>
      <c r="C116" s="3" t="s">
        <v>55</v>
      </c>
      <c r="D116" s="3">
        <v>13</v>
      </c>
      <c r="E116" s="4">
        <v>114</v>
      </c>
      <c r="F116" s="3">
        <v>1308</v>
      </c>
      <c r="G116" s="3" t="s">
        <v>16</v>
      </c>
      <c r="H116" s="3">
        <f>VLOOKUP(Check[[#This Row],[טיפוס]],Tipus[],2,FALSE)</f>
        <v>4</v>
      </c>
      <c r="I116" s="3" t="str">
        <f>VLOOKUP(Check[[#This Row],[טיפוס]],Tipus[],3,FALSE)</f>
        <v>סטנדרט</v>
      </c>
      <c r="J116" s="3" t="str">
        <f>VLOOKUP(Check[[#This Row],[טיפוס]],Tipus[],4,FALSE)</f>
        <v>H</v>
      </c>
      <c r="K116" s="3" t="str">
        <f>IF(Check[[#This Row],[סטטוס2]]="הולד","פנויה",Check[[#This Row],[סטטוס2]])</f>
        <v>בעלים</v>
      </c>
      <c r="L116" s="382" t="s">
        <v>91</v>
      </c>
      <c r="M116" s="382"/>
      <c r="N116" s="383"/>
      <c r="O116" s="383"/>
      <c r="P116" s="411"/>
      <c r="Q116" s="411"/>
      <c r="R116" s="383"/>
      <c r="S116" s="384">
        <v>44040</v>
      </c>
      <c r="T116" s="384" t="s">
        <v>359</v>
      </c>
      <c r="U116" s="385" t="s">
        <v>424</v>
      </c>
      <c r="V116" s="385" t="s">
        <v>214</v>
      </c>
      <c r="W116" s="385" t="s">
        <v>214</v>
      </c>
    </row>
    <row r="117" spans="1:23" x14ac:dyDescent="0.2">
      <c r="A117" s="13" t="str">
        <f>_xlfn.CONCAT(VLOOKUP(Check[[#This Row],[סטטוס]],Sold,2,FALSE),IF(Check[[#This Row],[סטטוס]]="פנויה",IF(N117="גמר מלא סטנדרט",".GMS",IF(N117="גמר מלא טיוב חומרים",".GMC",IF(N117="גמר מינימלי",".GM",IF(N117="דירת שיווק",".DS","")))),""),".",VLOOKUP(Check[[#This Row],[טיפוס]],Tipus[],5,FALSE),".",VLOOKUP(Check[[#This Row],[מגדל]],Tower,2,FALSE),".Ap.",Check[[#This Row],[מספר דירה]])</f>
        <v>V.GMS.S.3B.TS.Ap.115</v>
      </c>
      <c r="B117" s="13" t="str">
        <f>_xlfn.CONCAT(VLOOKUP(Check[[#This Row],[סטטוס]],Sold,2,FALSE),IF(Check[[#This Row],[סטטוס]]="פנויה",IF(N117="גמר מלא סטנדרט",".GMS",IF(N117="גמר מלא טיוב חומרים",".GMC",IF(N117="גמר מינימלי",".GM",IF(N117="דירת שיווק",".DS","")))),""),IF(M117="זומן לטרום",".ZLT",IF(M117="טרום מסירה",".TM",IF(M117="טרום מסירה מהנדס",".TMM",IF(M117="מסירת חזקה",".MH",IF(M117="מסירת חזקה מהנדס",".MHM",""))))),".",VLOOKUP(Check[[#This Row],[טיפוס]],Tipus[],5,FALSE),".",VLOOKUP(Check[[#This Row],[מגדל]],Tower,2,FALSE),".Ap.",Check[[#This Row],[מספר דירה]])</f>
        <v>V.GMS.S.3B.TS.Ap.115</v>
      </c>
      <c r="C117" s="3" t="s">
        <v>55</v>
      </c>
      <c r="D117" s="3">
        <v>14</v>
      </c>
      <c r="E117" s="4">
        <v>115</v>
      </c>
      <c r="F117" s="3">
        <v>1401</v>
      </c>
      <c r="G117" s="3" t="s">
        <v>19</v>
      </c>
      <c r="H117" s="3">
        <f>VLOOKUP(Check[[#This Row],[טיפוס]],Tipus[],2,FALSE)</f>
        <v>3</v>
      </c>
      <c r="I117" s="3" t="str">
        <f>VLOOKUP(Check[[#This Row],[טיפוס]],Tipus[],3,FALSE)</f>
        <v>סטנדרט</v>
      </c>
      <c r="J117" s="3" t="str">
        <f>VLOOKUP(Check[[#This Row],[טיפוס]],Tipus[],4,FALSE)</f>
        <v>G</v>
      </c>
      <c r="K117" s="3" t="str">
        <f>IF(Check[[#This Row],[סטטוס2]]="הולד","פנויה",Check[[#This Row],[סטטוס2]])</f>
        <v>פנויה</v>
      </c>
      <c r="L117" s="382" t="s">
        <v>108</v>
      </c>
      <c r="M117" s="382"/>
      <c r="N117" t="s">
        <v>1367</v>
      </c>
      <c r="O117" s="383" t="s">
        <v>1390</v>
      </c>
      <c r="P117" s="410" t="s">
        <v>1389</v>
      </c>
      <c r="Q117" s="410"/>
      <c r="R117" s="383"/>
      <c r="S117" s="384"/>
      <c r="T117" s="384" t="s">
        <v>214</v>
      </c>
      <c r="U117" s="385"/>
      <c r="V117" s="385"/>
      <c r="W117" s="387"/>
    </row>
    <row r="118" spans="1:23" x14ac:dyDescent="0.2">
      <c r="A118" s="13" t="str">
        <f>_xlfn.CONCAT(VLOOKUP(Check[[#This Row],[סטטוס]],Sold,2,FALSE),IF(Check[[#This Row],[סטטוס]]="פנויה",IF(N118="גמר מלא סטנדרט",".GMS",IF(N118="גמר מלא טיוב חומרים",".GMC",IF(N118="גמר מינימלי",".GM",IF(N118="דירת שיווק",".DS","")))),""),".",VLOOKUP(Check[[#This Row],[טיפוס]],Tipus[],5,FALSE),".",VLOOKUP(Check[[#This Row],[מגדל]],Tower,2,FALSE),".Ap.",Check[[#This Row],[מספר דירה]])</f>
        <v>S.S.3C.TS.Ap.116</v>
      </c>
      <c r="B118" s="13" t="str">
        <f>_xlfn.CONCAT(VLOOKUP(Check[[#This Row],[סטטוס]],Sold,2,FALSE),IF(Check[[#This Row],[סטטוס]]="פנויה",IF(N118="גמר מלא סטנדרט",".GMS",IF(N118="גמר מלא טיוב חומרים",".GMC",IF(N118="גמר מינימלי",".GM",IF(N118="דירת שיווק",".DS","")))),""),IF(M118="זומן לטרום",".ZLT",IF(M118="טרום מסירה",".TM",IF(M118="טרום מסירה מהנדס",".TMM",IF(M118="מסירת חזקה",".MH",IF(M118="מסירת חזקה מהנדס",".MHM",""))))),".",VLOOKUP(Check[[#This Row],[טיפוס]],Tipus[],5,FALSE),".",VLOOKUP(Check[[#This Row],[מגדל]],Tower,2,FALSE),".Ap.",Check[[#This Row],[מספר דירה]])</f>
        <v>S.S.3C.TS.Ap.116</v>
      </c>
      <c r="C118" s="3" t="s">
        <v>55</v>
      </c>
      <c r="D118" s="3">
        <v>14</v>
      </c>
      <c r="E118" s="4">
        <v>116</v>
      </c>
      <c r="F118" s="3">
        <v>1402</v>
      </c>
      <c r="G118" s="3" t="s">
        <v>18</v>
      </c>
      <c r="H118" s="3">
        <f>VLOOKUP(Check[[#This Row],[טיפוס]],Tipus[],2,FALSE)</f>
        <v>3</v>
      </c>
      <c r="I118" s="3" t="str">
        <f>VLOOKUP(Check[[#This Row],[טיפוס]],Tipus[],3,FALSE)</f>
        <v>סטנדרט</v>
      </c>
      <c r="J118" s="3" t="str">
        <f>VLOOKUP(Check[[#This Row],[טיפוס]],Tipus[],4,FALSE)</f>
        <v>E</v>
      </c>
      <c r="K118" s="3" t="str">
        <f>IF(Check[[#This Row],[סטטוס2]]="הולד","פנויה",Check[[#This Row],[סטטוס2]])</f>
        <v>מכורה</v>
      </c>
      <c r="L118" s="382" t="s">
        <v>130</v>
      </c>
      <c r="M118" s="382"/>
      <c r="N118" s="383"/>
      <c r="O118" s="383"/>
      <c r="P118" s="411"/>
      <c r="Q118" s="411"/>
      <c r="R118" s="383"/>
      <c r="S118" s="386">
        <v>44657</v>
      </c>
      <c r="T118" s="386" t="s">
        <v>1110</v>
      </c>
      <c r="U118" s="385" t="s">
        <v>958</v>
      </c>
      <c r="V118" s="385" t="s">
        <v>214</v>
      </c>
      <c r="W118" s="388" t="s">
        <v>959</v>
      </c>
    </row>
    <row r="119" spans="1:23" x14ac:dyDescent="0.2">
      <c r="A119" s="13" t="str">
        <f>_xlfn.CONCAT(VLOOKUP(Check[[#This Row],[סטטוס]],Sold,2,FALSE),IF(Check[[#This Row],[סטטוס]]="פנויה",IF(N119="גמר מלא סטנדרט",".GMS",IF(N119="גמר מלא טיוב חומרים",".GMC",IF(N119="גמר מינימלי",".GM",IF(N119="דירת שיווק",".DS","")))),""),".",VLOOKUP(Check[[#This Row],[טיפוס]],Tipus[],5,FALSE),".",VLOOKUP(Check[[#This Row],[מגדל]],Tower,2,FALSE),".Ap.",Check[[#This Row],[מספר דירה]])</f>
        <v>O.S.3A.TS.Ap.117</v>
      </c>
      <c r="B119" s="13" t="str">
        <f>_xlfn.CONCAT(VLOOKUP(Check[[#This Row],[סטטוס]],Sold,2,FALSE),IF(Check[[#This Row],[סטטוס]]="פנויה",IF(N119="גמר מלא סטנדרט",".GMS",IF(N119="גמר מלא טיוב חומרים",".GMC",IF(N119="גמר מינימלי",".GM",IF(N119="דירת שיווק",".DS","")))),""),IF(M119="זומן לטרום",".ZLT",IF(M119="טרום מסירה",".TM",IF(M119="טרום מסירה מהנדס",".TMM",IF(M119="מסירת חזקה",".MH",IF(M119="מסירת חזקה מהנדס",".MHM",""))))),".",VLOOKUP(Check[[#This Row],[טיפוס]],Tipus[],5,FALSE),".",VLOOKUP(Check[[#This Row],[מגדל]],Tower,2,FALSE),".Ap.",Check[[#This Row],[מספר דירה]])</f>
        <v>O.S.3A.TS.Ap.117</v>
      </c>
      <c r="C119" s="3" t="s">
        <v>55</v>
      </c>
      <c r="D119" s="3">
        <v>14</v>
      </c>
      <c r="E119" s="4">
        <v>117</v>
      </c>
      <c r="F119" s="3">
        <v>1403</v>
      </c>
      <c r="G119" s="3" t="s">
        <v>9</v>
      </c>
      <c r="H119" s="3">
        <f>VLOOKUP(Check[[#This Row],[טיפוס]],Tipus[],2,FALSE)</f>
        <v>3</v>
      </c>
      <c r="I119" s="3" t="str">
        <f>VLOOKUP(Check[[#This Row],[טיפוס]],Tipus[],3,FALSE)</f>
        <v>סטנדרט</v>
      </c>
      <c r="J119" s="3" t="str">
        <f>VLOOKUP(Check[[#This Row],[טיפוס]],Tipus[],4,FALSE)</f>
        <v>D</v>
      </c>
      <c r="K119" s="3" t="str">
        <f>IF(Check[[#This Row],[סטטוס2]]="הולד","פנויה",Check[[#This Row],[סטטוס2]])</f>
        <v>בעלים</v>
      </c>
      <c r="L119" s="382" t="s">
        <v>91</v>
      </c>
      <c r="M119" s="382"/>
      <c r="N119" s="383"/>
      <c r="O119" s="383"/>
      <c r="P119" s="411"/>
      <c r="Q119" s="411"/>
      <c r="R119" s="383"/>
      <c r="S119" s="384">
        <v>44040</v>
      </c>
      <c r="T119" s="384" t="s">
        <v>1298</v>
      </c>
      <c r="U119" s="385" t="s">
        <v>425</v>
      </c>
      <c r="V119" s="385" t="s">
        <v>214</v>
      </c>
      <c r="W119" s="385" t="s">
        <v>214</v>
      </c>
    </row>
    <row r="120" spans="1:23" x14ac:dyDescent="0.2">
      <c r="A120" s="13" t="str">
        <f>_xlfn.CONCAT(VLOOKUP(Check[[#This Row],[סטטוס]],Sold,2,FALSE),IF(Check[[#This Row],[סטטוס]]="פנויה",IF(N120="גמר מלא סטנדרט",".GMS",IF(N120="גמר מלא טיוב חומרים",".GMC",IF(N120="גמר מינימלי",".GM",IF(N120="דירת שיווק",".DS","")))),""),".",VLOOKUP(Check[[#This Row],[טיפוס]],Tipus[],5,FALSE),".",VLOOKUP(Check[[#This Row],[מגדל]],Tower,2,FALSE),".Ap.",Check[[#This Row],[מספר דירה]])</f>
        <v>S.S.3D.TS.Ap.118</v>
      </c>
      <c r="B120" s="13" t="str">
        <f>_xlfn.CONCAT(VLOOKUP(Check[[#This Row],[סטטוס]],Sold,2,FALSE),IF(Check[[#This Row],[סטטוס]]="פנויה",IF(N120="גמר מלא סטנדרט",".GMS",IF(N120="גמר מלא טיוב חומרים",".GMC",IF(N120="גמר מינימלי",".GM",IF(N120="דירת שיווק",".DS","")))),""),IF(M120="זומן לטרום",".ZLT",IF(M120="טרום מסירה",".TM",IF(M120="טרום מסירה מהנדס",".TMM",IF(M120="מסירת חזקה",".MH",IF(M120="מסירת חזקה מהנדס",".MHM",""))))),".",VLOOKUP(Check[[#This Row],[טיפוס]],Tipus[],5,FALSE),".",VLOOKUP(Check[[#This Row],[מגדל]],Tower,2,FALSE),".Ap.",Check[[#This Row],[מספר דירה]])</f>
        <v>S.S.3D.TS.Ap.118</v>
      </c>
      <c r="C120" s="3" t="s">
        <v>55</v>
      </c>
      <c r="D120" s="3">
        <v>14</v>
      </c>
      <c r="E120" s="4">
        <v>118</v>
      </c>
      <c r="F120" s="3">
        <v>1404</v>
      </c>
      <c r="G120" s="3" t="s">
        <v>21</v>
      </c>
      <c r="H120" s="3">
        <f>VLOOKUP(Check[[#This Row],[טיפוס]],Tipus[],2,FALSE)</f>
        <v>3</v>
      </c>
      <c r="I120" s="3" t="str">
        <f>VLOOKUP(Check[[#This Row],[טיפוס]],Tipus[],3,FALSE)</f>
        <v>סטנדרט</v>
      </c>
      <c r="J120" s="3" t="str">
        <f>VLOOKUP(Check[[#This Row],[טיפוס]],Tipus[],4,FALSE)</f>
        <v>C</v>
      </c>
      <c r="K120" s="3" t="str">
        <f>IF(Check[[#This Row],[סטטוס2]]="הולד","פנויה",Check[[#This Row],[סטטוס2]])</f>
        <v>מכורה</v>
      </c>
      <c r="L120" s="382" t="s">
        <v>130</v>
      </c>
      <c r="M120" s="382"/>
      <c r="N120" s="383"/>
      <c r="O120" s="383"/>
      <c r="P120" s="411"/>
      <c r="Q120" s="411"/>
      <c r="R120" s="383"/>
      <c r="S120" s="386">
        <v>44797</v>
      </c>
      <c r="T120" s="386" t="s">
        <v>1111</v>
      </c>
      <c r="U120" s="385" t="s">
        <v>960</v>
      </c>
      <c r="V120" s="387"/>
      <c r="W120" s="387"/>
    </row>
    <row r="121" spans="1:23" x14ac:dyDescent="0.2">
      <c r="A121" s="13" t="str">
        <f>_xlfn.CONCAT(VLOOKUP(Check[[#This Row],[סטטוס]],Sold,2,FALSE),IF(Check[[#This Row],[סטטוס]]="פנויה",IF(N121="גמר מלא סטנדרט",".GMS",IF(N121="גמר מלא טיוב חומרים",".GMC",IF(N121="גמר מינימלי",".GM",IF(N121="דירת שיווק",".DS","")))),""),".",VLOOKUP(Check[[#This Row],[טיפוס]],Tipus[],5,FALSE),".",VLOOKUP(Check[[#This Row],[מגדל]],Tower,2,FALSE),".Ap.",Check[[#This Row],[מספר דירה]])</f>
        <v>S.S.3E.TS.Ap.119</v>
      </c>
      <c r="B121" s="13" t="str">
        <f>_xlfn.CONCAT(VLOOKUP(Check[[#This Row],[סטטוס]],Sold,2,FALSE),IF(Check[[#This Row],[סטטוס]]="פנויה",IF(N121="גמר מלא סטנדרט",".GMS",IF(N121="גמר מלא טיוב חומרים",".GMC",IF(N121="גמר מינימלי",".GM",IF(N121="דירת שיווק",".DS","")))),""),IF(M121="זומן לטרום",".ZLT",IF(M121="טרום מסירה",".TM",IF(M121="טרום מסירה מהנדס",".TMM",IF(M121="מסירת חזקה",".MH",IF(M121="מסירת חזקה מהנדס",".MHM",""))))),".",VLOOKUP(Check[[#This Row],[טיפוס]],Tipus[],5,FALSE),".",VLOOKUP(Check[[#This Row],[מגדל]],Tower,2,FALSE),".Ap.",Check[[#This Row],[מספר דירה]])</f>
        <v>S.S.3E.TS.Ap.119</v>
      </c>
      <c r="C121" s="3" t="s">
        <v>55</v>
      </c>
      <c r="D121" s="3">
        <v>14</v>
      </c>
      <c r="E121" s="4">
        <v>119</v>
      </c>
      <c r="F121" s="3">
        <v>1405</v>
      </c>
      <c r="G121" s="3" t="s">
        <v>20</v>
      </c>
      <c r="H121" s="3">
        <f>VLOOKUP(Check[[#This Row],[טיפוס]],Tipus[],2,FALSE)</f>
        <v>3</v>
      </c>
      <c r="I121" s="3" t="str">
        <f>VLOOKUP(Check[[#This Row],[טיפוס]],Tipus[],3,FALSE)</f>
        <v>סטנדרט</v>
      </c>
      <c r="J121" s="3" t="str">
        <f>VLOOKUP(Check[[#This Row],[טיפוס]],Tipus[],4,FALSE)</f>
        <v>A</v>
      </c>
      <c r="K121" s="3" t="str">
        <f>IF(Check[[#This Row],[סטטוס2]]="הולד","פנויה",Check[[#This Row],[סטטוס2]])</f>
        <v>מכורה</v>
      </c>
      <c r="L121" s="382" t="s">
        <v>130</v>
      </c>
      <c r="M121" s="382"/>
      <c r="N121" s="383"/>
      <c r="O121" s="383"/>
      <c r="P121" s="411"/>
      <c r="Q121" s="411"/>
      <c r="R121" s="383"/>
      <c r="S121" s="386">
        <v>44433</v>
      </c>
      <c r="T121" s="386" t="s">
        <v>1112</v>
      </c>
      <c r="U121" s="385" t="s">
        <v>961</v>
      </c>
      <c r="V121" s="387"/>
      <c r="W121" s="387"/>
    </row>
    <row r="122" spans="1:23" x14ac:dyDescent="0.2">
      <c r="A122" s="13" t="str">
        <f>_xlfn.CONCAT(VLOOKUP(Check[[#This Row],[סטטוס]],Sold,2,FALSE),IF(Check[[#This Row],[סטטוס]]="פנויה",IF(N122="גמר מלא סטנדרט",".GMS",IF(N122="גמר מלא טיוב חומרים",".GMC",IF(N122="גמר מינימלי",".GM",IF(N122="דירת שיווק",".DS","")))),""),".",VLOOKUP(Check[[#This Row],[טיפוס]],Tipus[],5,FALSE),".",VLOOKUP(Check[[#This Row],[מגדל]],Tower,2,FALSE),".Ap.",Check[[#This Row],[מספר דירה]])</f>
        <v>S.S.4A.TS.Ap.120</v>
      </c>
      <c r="B122" s="13" t="str">
        <f>_xlfn.CONCAT(VLOOKUP(Check[[#This Row],[סטטוס]],Sold,2,FALSE),IF(Check[[#This Row],[סטטוס]]="פנויה",IF(N122="גמר מלא סטנדרט",".GMS",IF(N122="גמר מלא טיוב חומרים",".GMC",IF(N122="גמר מינימלי",".GM",IF(N122="דירת שיווק",".DS","")))),""),IF(M122="זומן לטרום",".ZLT",IF(M122="טרום מסירה",".TM",IF(M122="טרום מסירה מהנדס",".TMM",IF(M122="מסירת חזקה",".MH",IF(M122="מסירת חזקה מהנדס",".MHM",""))))),".",VLOOKUP(Check[[#This Row],[טיפוס]],Tipus[],5,FALSE),".",VLOOKUP(Check[[#This Row],[מגדל]],Tower,2,FALSE),".Ap.",Check[[#This Row],[מספר דירה]])</f>
        <v>S.S.4A.TS.Ap.120</v>
      </c>
      <c r="C122" s="3" t="s">
        <v>55</v>
      </c>
      <c r="D122" s="3">
        <v>14</v>
      </c>
      <c r="E122" s="4">
        <v>120</v>
      </c>
      <c r="F122" s="3">
        <v>1406</v>
      </c>
      <c r="G122" s="3" t="s">
        <v>14</v>
      </c>
      <c r="H122" s="3">
        <f>VLOOKUP(Check[[#This Row],[טיפוס]],Tipus[],2,FALSE)</f>
        <v>4</v>
      </c>
      <c r="I122" s="3" t="str">
        <f>VLOOKUP(Check[[#This Row],[טיפוס]],Tipus[],3,FALSE)</f>
        <v>סטנדרט</v>
      </c>
      <c r="J122" s="3" t="str">
        <f>VLOOKUP(Check[[#This Row],[טיפוס]],Tipus[],4,FALSE)</f>
        <v>J</v>
      </c>
      <c r="K122" s="3" t="str">
        <f>IF(Check[[#This Row],[סטטוס2]]="הולד","פנויה",Check[[#This Row],[סטטוס2]])</f>
        <v>מכורה</v>
      </c>
      <c r="L122" s="382" t="s">
        <v>130</v>
      </c>
      <c r="M122" s="382"/>
      <c r="N122" s="383"/>
      <c r="O122" s="383"/>
      <c r="P122" s="411"/>
      <c r="Q122" s="411"/>
      <c r="R122" s="383"/>
      <c r="S122" s="386">
        <v>44508</v>
      </c>
      <c r="T122" s="386" t="s">
        <v>1113</v>
      </c>
      <c r="U122" s="385" t="s">
        <v>962</v>
      </c>
      <c r="V122" s="387"/>
      <c r="W122" s="387"/>
    </row>
    <row r="123" spans="1:23" x14ac:dyDescent="0.2">
      <c r="A123" s="13" t="str">
        <f>_xlfn.CONCAT(VLOOKUP(Check[[#This Row],[סטטוס]],Sold,2,FALSE),IF(Check[[#This Row],[סטטוס]]="פנויה",IF(N123="גמר מלא סטנדרט",".GMS",IF(N123="גמר מלא טיוב חומרים",".GMC",IF(N123="גמר מינימלי",".GM",IF(N123="דירת שיווק",".DS","")))),""),".",VLOOKUP(Check[[#This Row],[טיפוס]],Tipus[],5,FALSE),".",VLOOKUP(Check[[#This Row],[מגדל]],Tower,2,FALSE),".Ap.",Check[[#This Row],[מספר דירה]])</f>
        <v>V.GMS.S.2G.TS.Ap.121</v>
      </c>
      <c r="B123" s="13" t="str">
        <f>_xlfn.CONCAT(VLOOKUP(Check[[#This Row],[סטטוס]],Sold,2,FALSE),IF(Check[[#This Row],[סטטוס]]="פנויה",IF(N123="גמר מלא סטנדרט",".GMS",IF(N123="גמר מלא טיוב חומרים",".GMC",IF(N123="גמר מינימלי",".GM",IF(N123="דירת שיווק",".DS","")))),""),IF(M123="זומן לטרום",".ZLT",IF(M123="טרום מסירה",".TM",IF(M123="טרום מסירה מהנדס",".TMM",IF(M123="מסירת חזקה",".MH",IF(M123="מסירת חזקה מהנדס",".MHM",""))))),".",VLOOKUP(Check[[#This Row],[טיפוס]],Tipus[],5,FALSE),".",VLOOKUP(Check[[#This Row],[מגדל]],Tower,2,FALSE),".Ap.",Check[[#This Row],[מספר דירה]])</f>
        <v>V.GMS.S.2G.TS.Ap.121</v>
      </c>
      <c r="C123" s="3" t="s">
        <v>55</v>
      </c>
      <c r="D123" s="3">
        <v>14</v>
      </c>
      <c r="E123" s="4">
        <v>121</v>
      </c>
      <c r="F123" s="3">
        <v>1407</v>
      </c>
      <c r="G123" s="3" t="s">
        <v>15</v>
      </c>
      <c r="H123" s="3">
        <f>VLOOKUP(Check[[#This Row],[טיפוס]],Tipus[],2,FALSE)</f>
        <v>2</v>
      </c>
      <c r="I123" s="3" t="str">
        <f>VLOOKUP(Check[[#This Row],[טיפוס]],Tipus[],3,FALSE)</f>
        <v>סטנדרט</v>
      </c>
      <c r="J123" s="3" t="str">
        <f>VLOOKUP(Check[[#This Row],[טיפוס]],Tipus[],4,FALSE)</f>
        <v>I</v>
      </c>
      <c r="K123" s="3" t="str">
        <f>IF(Check[[#This Row],[סטטוס2]]="הולד","פנויה",Check[[#This Row],[סטטוס2]])</f>
        <v>פנויה</v>
      </c>
      <c r="L123" s="382" t="s">
        <v>108</v>
      </c>
      <c r="M123" s="382"/>
      <c r="N123" t="s">
        <v>1367</v>
      </c>
      <c r="O123" s="383" t="s">
        <v>1390</v>
      </c>
      <c r="P123" s="410" t="s">
        <v>1389</v>
      </c>
      <c r="Q123" s="410"/>
      <c r="R123" s="383"/>
      <c r="S123" s="384"/>
      <c r="T123" s="384" t="s">
        <v>214</v>
      </c>
      <c r="U123" s="385"/>
      <c r="V123" s="385"/>
      <c r="W123" s="387"/>
    </row>
    <row r="124" spans="1:23" x14ac:dyDescent="0.2">
      <c r="A124" s="13" t="str">
        <f>_xlfn.CONCAT(VLOOKUP(Check[[#This Row],[סטטוס]],Sold,2,FALSE),IF(Check[[#This Row],[סטטוס]]="פנויה",IF(N124="גמר מלא סטנדרט",".GMS",IF(N124="גמר מלא טיוב חומרים",".GMC",IF(N124="גמר מינימלי",".GM",IF(N124="דירת שיווק",".DS","")))),""),".",VLOOKUP(Check[[#This Row],[טיפוס]],Tipus[],5,FALSE),".",VLOOKUP(Check[[#This Row],[מגדל]],Tower,2,FALSE),".Ap.",Check[[#This Row],[מספר דירה]])</f>
        <v>O.S.4B.TS.Ap.122</v>
      </c>
      <c r="B124" s="13" t="str">
        <f>_xlfn.CONCAT(VLOOKUP(Check[[#This Row],[סטטוס]],Sold,2,FALSE),IF(Check[[#This Row],[סטטוס]]="פנויה",IF(N124="גמר מלא סטנדרט",".GMS",IF(N124="גמר מלא טיוב חומרים",".GMC",IF(N124="גמר מינימלי",".GM",IF(N124="דירת שיווק",".DS","")))),""),IF(M124="זומן לטרום",".ZLT",IF(M124="טרום מסירה",".TM",IF(M124="טרום מסירה מהנדס",".TMM",IF(M124="מסירת חזקה",".MH",IF(M124="מסירת חזקה מהנדס",".MHM",""))))),".",VLOOKUP(Check[[#This Row],[טיפוס]],Tipus[],5,FALSE),".",VLOOKUP(Check[[#This Row],[מגדל]],Tower,2,FALSE),".Ap.",Check[[#This Row],[מספר דירה]])</f>
        <v>O.S.4B.TS.Ap.122</v>
      </c>
      <c r="C124" s="3" t="s">
        <v>55</v>
      </c>
      <c r="D124" s="3">
        <v>14</v>
      </c>
      <c r="E124" s="4">
        <v>122</v>
      </c>
      <c r="F124" s="3">
        <v>1408</v>
      </c>
      <c r="G124" s="3" t="s">
        <v>16</v>
      </c>
      <c r="H124" s="3">
        <f>VLOOKUP(Check[[#This Row],[טיפוס]],Tipus[],2,FALSE)</f>
        <v>4</v>
      </c>
      <c r="I124" s="3" t="str">
        <f>VLOOKUP(Check[[#This Row],[טיפוס]],Tipus[],3,FALSE)</f>
        <v>סטנדרט</v>
      </c>
      <c r="J124" s="3" t="str">
        <f>VLOOKUP(Check[[#This Row],[טיפוס]],Tipus[],4,FALSE)</f>
        <v>H</v>
      </c>
      <c r="K124" s="3" t="str">
        <f>IF(Check[[#This Row],[סטטוס2]]="הולד","פנויה",Check[[#This Row],[סטטוס2]])</f>
        <v>בעלים</v>
      </c>
      <c r="L124" s="382" t="s">
        <v>91</v>
      </c>
      <c r="M124" s="382"/>
      <c r="N124" s="383"/>
      <c r="O124" s="383"/>
      <c r="P124" s="411"/>
      <c r="Q124" s="411"/>
      <c r="R124" s="383"/>
      <c r="S124" s="384">
        <v>44040</v>
      </c>
      <c r="T124" s="384" t="s">
        <v>1114</v>
      </c>
      <c r="U124" s="385" t="s">
        <v>426</v>
      </c>
      <c r="V124" s="385" t="s">
        <v>214</v>
      </c>
      <c r="W124" s="385" t="s">
        <v>407</v>
      </c>
    </row>
    <row r="125" spans="1:23" x14ac:dyDescent="0.2">
      <c r="A125" s="13" t="str">
        <f>_xlfn.CONCAT(VLOOKUP(Check[[#This Row],[סטטוס]],Sold,2,FALSE),IF(Check[[#This Row],[סטטוס]]="פנויה",IF(N125="גמר מלא סטנדרט",".GMS",IF(N125="גמר מלא טיוב חומרים",".GMC",IF(N125="גמר מינימלי",".GM",IF(N125="דירת שיווק",".DS","")))),""),".",VLOOKUP(Check[[#This Row],[טיפוס]],Tipus[],5,FALSE),".",VLOOKUP(Check[[#This Row],[מגדל]],Tower,2,FALSE),".Ap.",Check[[#This Row],[מספר דירה]])</f>
        <v>V.GMS.S.3B.TS.Ap.123</v>
      </c>
      <c r="B125" s="13" t="str">
        <f>_xlfn.CONCAT(VLOOKUP(Check[[#This Row],[סטטוס]],Sold,2,FALSE),IF(Check[[#This Row],[סטטוס]]="פנויה",IF(N125="גמר מלא סטנדרט",".GMS",IF(N125="גמר מלא טיוב חומרים",".GMC",IF(N125="גמר מינימלי",".GM",IF(N125="דירת שיווק",".DS","")))),""),IF(M125="זומן לטרום",".ZLT",IF(M125="טרום מסירה",".TM",IF(M125="טרום מסירה מהנדס",".TMM",IF(M125="מסירת חזקה",".MH",IF(M125="מסירת חזקה מהנדס",".MHM",""))))),".",VLOOKUP(Check[[#This Row],[טיפוס]],Tipus[],5,FALSE),".",VLOOKUP(Check[[#This Row],[מגדל]],Tower,2,FALSE),".Ap.",Check[[#This Row],[מספר דירה]])</f>
        <v>V.GMS.S.3B.TS.Ap.123</v>
      </c>
      <c r="C125" s="3" t="s">
        <v>55</v>
      </c>
      <c r="D125" s="3">
        <v>15</v>
      </c>
      <c r="E125" s="4">
        <v>123</v>
      </c>
      <c r="F125" s="3">
        <v>1501</v>
      </c>
      <c r="G125" s="3" t="s">
        <v>19</v>
      </c>
      <c r="H125" s="3">
        <f>VLOOKUP(Check[[#This Row],[טיפוס]],Tipus[],2,FALSE)</f>
        <v>3</v>
      </c>
      <c r="I125" s="3" t="str">
        <f>VLOOKUP(Check[[#This Row],[טיפוס]],Tipus[],3,FALSE)</f>
        <v>סטנדרט</v>
      </c>
      <c r="J125" s="3" t="str">
        <f>VLOOKUP(Check[[#This Row],[טיפוס]],Tipus[],4,FALSE)</f>
        <v>G</v>
      </c>
      <c r="K125" s="3" t="str">
        <f>IF(Check[[#This Row],[סטטוס2]]="הולד","פנויה",Check[[#This Row],[סטטוס2]])</f>
        <v>פנויה</v>
      </c>
      <c r="L125" s="382" t="s">
        <v>108</v>
      </c>
      <c r="M125" s="382"/>
      <c r="N125" t="s">
        <v>1367</v>
      </c>
      <c r="O125" s="383" t="s">
        <v>1390</v>
      </c>
      <c r="P125" s="410" t="s">
        <v>1389</v>
      </c>
      <c r="Q125" s="410"/>
      <c r="R125" s="383"/>
      <c r="S125" s="384"/>
      <c r="T125" s="384" t="s">
        <v>214</v>
      </c>
      <c r="U125" s="385"/>
      <c r="V125" s="385"/>
      <c r="W125" s="387"/>
    </row>
    <row r="126" spans="1:23" x14ac:dyDescent="0.2">
      <c r="A126" s="13" t="str">
        <f>_xlfn.CONCAT(VLOOKUP(Check[[#This Row],[סטטוס]],Sold,2,FALSE),IF(Check[[#This Row],[סטטוס]]="פנויה",IF(N126="גמר מלא סטנדרט",".GMS",IF(N126="גמר מלא טיוב חומרים",".GMC",IF(N126="גמר מינימלי",".GM",IF(N126="דירת שיווק",".DS","")))),""),".",VLOOKUP(Check[[#This Row],[טיפוס]],Tipus[],5,FALSE),".",VLOOKUP(Check[[#This Row],[מגדל]],Tower,2,FALSE),".Ap.",Check[[#This Row],[מספר דירה]])</f>
        <v>S.S.3C.TS.Ap.124</v>
      </c>
      <c r="B126" s="13" t="str">
        <f>_xlfn.CONCAT(VLOOKUP(Check[[#This Row],[סטטוס]],Sold,2,FALSE),IF(Check[[#This Row],[סטטוס]]="פנויה",IF(N126="גמר מלא סטנדרט",".GMS",IF(N126="גמר מלא טיוב חומרים",".GMC",IF(N126="גמר מינימלי",".GM",IF(N126="דירת שיווק",".DS","")))),""),IF(M126="זומן לטרום",".ZLT",IF(M126="טרום מסירה",".TM",IF(M126="טרום מסירה מהנדס",".TMM",IF(M126="מסירת חזקה",".MH",IF(M126="מסירת חזקה מהנדס",".MHM",""))))),".",VLOOKUP(Check[[#This Row],[טיפוס]],Tipus[],5,FALSE),".",VLOOKUP(Check[[#This Row],[מגדל]],Tower,2,FALSE),".Ap.",Check[[#This Row],[מספר דירה]])</f>
        <v>S.S.3C.TS.Ap.124</v>
      </c>
      <c r="C126" s="3" t="s">
        <v>55</v>
      </c>
      <c r="D126" s="3">
        <v>15</v>
      </c>
      <c r="E126" s="4">
        <v>124</v>
      </c>
      <c r="F126" s="3">
        <v>1502</v>
      </c>
      <c r="G126" s="3" t="s">
        <v>18</v>
      </c>
      <c r="H126" s="3">
        <f>VLOOKUP(Check[[#This Row],[טיפוס]],Tipus[],2,FALSE)</f>
        <v>3</v>
      </c>
      <c r="I126" s="3" t="str">
        <f>VLOOKUP(Check[[#This Row],[טיפוס]],Tipus[],3,FALSE)</f>
        <v>סטנדרט</v>
      </c>
      <c r="J126" s="3" t="str">
        <f>VLOOKUP(Check[[#This Row],[טיפוס]],Tipus[],4,FALSE)</f>
        <v>E</v>
      </c>
      <c r="K126" s="3" t="str">
        <f>IF(Check[[#This Row],[סטטוס2]]="הולד","פנויה",Check[[#This Row],[סטטוס2]])</f>
        <v>מכורה</v>
      </c>
      <c r="L126" s="382" t="s">
        <v>130</v>
      </c>
      <c r="M126" s="382"/>
      <c r="N126" s="383"/>
      <c r="O126" s="383"/>
      <c r="P126" s="411"/>
      <c r="Q126" s="411"/>
      <c r="R126" s="383"/>
      <c r="S126" s="386">
        <v>44493</v>
      </c>
      <c r="T126" s="386" t="s">
        <v>1299</v>
      </c>
      <c r="U126" s="385" t="s">
        <v>963</v>
      </c>
      <c r="V126" s="385" t="s">
        <v>214</v>
      </c>
      <c r="W126" s="388" t="s">
        <v>964</v>
      </c>
    </row>
    <row r="127" spans="1:23" x14ac:dyDescent="0.2">
      <c r="A127" s="13" t="str">
        <f>_xlfn.CONCAT(VLOOKUP(Check[[#This Row],[סטטוס]],Sold,2,FALSE),IF(Check[[#This Row],[סטטוס]]="פנויה",IF(N127="גמר מלא סטנדרט",".GMS",IF(N127="גמר מלא טיוב חומרים",".GMC",IF(N127="גמר מינימלי",".GM",IF(N127="דירת שיווק",".DS","")))),""),".",VLOOKUP(Check[[#This Row],[טיפוס]],Tipus[],5,FALSE),".",VLOOKUP(Check[[#This Row],[מגדל]],Tower,2,FALSE),".Ap.",Check[[#This Row],[מספר דירה]])</f>
        <v>S.S.3A.TS.Ap.125</v>
      </c>
      <c r="B127" s="13" t="str">
        <f>_xlfn.CONCAT(VLOOKUP(Check[[#This Row],[סטטוס]],Sold,2,FALSE),IF(Check[[#This Row],[סטטוס]]="פנויה",IF(N127="גמר מלא סטנדרט",".GMS",IF(N127="גמר מלא טיוב חומרים",".GMC",IF(N127="גמר מינימלי",".GM",IF(N127="דירת שיווק",".DS","")))),""),IF(M127="זומן לטרום",".ZLT",IF(M127="טרום מסירה",".TM",IF(M127="טרום מסירה מהנדס",".TMM",IF(M127="מסירת חזקה",".MH",IF(M127="מסירת חזקה מהנדס",".MHM",""))))),".",VLOOKUP(Check[[#This Row],[טיפוס]],Tipus[],5,FALSE),".",VLOOKUP(Check[[#This Row],[מגדל]],Tower,2,FALSE),".Ap.",Check[[#This Row],[מספר דירה]])</f>
        <v>S.S.3A.TS.Ap.125</v>
      </c>
      <c r="C127" s="3" t="s">
        <v>55</v>
      </c>
      <c r="D127" s="3">
        <v>15</v>
      </c>
      <c r="E127" s="4">
        <v>125</v>
      </c>
      <c r="F127" s="3">
        <v>1503</v>
      </c>
      <c r="G127" s="3" t="s">
        <v>9</v>
      </c>
      <c r="H127" s="3">
        <f>VLOOKUP(Check[[#This Row],[טיפוס]],Tipus[],2,FALSE)</f>
        <v>3</v>
      </c>
      <c r="I127" s="3" t="str">
        <f>VLOOKUP(Check[[#This Row],[טיפוס]],Tipus[],3,FALSE)</f>
        <v>סטנדרט</v>
      </c>
      <c r="J127" s="3" t="str">
        <f>VLOOKUP(Check[[#This Row],[טיפוס]],Tipus[],4,FALSE)</f>
        <v>D</v>
      </c>
      <c r="K127" s="3" t="str">
        <f>IF(Check[[#This Row],[סטטוס2]]="הולד","פנויה",Check[[#This Row],[סטטוס2]])</f>
        <v>מכורה</v>
      </c>
      <c r="L127" s="382" t="s">
        <v>130</v>
      </c>
      <c r="M127" s="382"/>
      <c r="N127" s="383"/>
      <c r="O127" s="383"/>
      <c r="P127" s="411"/>
      <c r="Q127" s="411"/>
      <c r="R127" s="383"/>
      <c r="S127" s="386">
        <v>44452</v>
      </c>
      <c r="T127" s="386" t="s">
        <v>1115</v>
      </c>
      <c r="U127" s="385" t="s">
        <v>965</v>
      </c>
      <c r="V127" s="387"/>
      <c r="W127" s="387"/>
    </row>
    <row r="128" spans="1:23" x14ac:dyDescent="0.2">
      <c r="A128" s="13" t="str">
        <f>_xlfn.CONCAT(VLOOKUP(Check[[#This Row],[סטטוס]],Sold,2,FALSE),IF(Check[[#This Row],[סטטוס]]="פנויה",IF(N128="גמר מלא סטנדרט",".GMS",IF(N128="גמר מלא טיוב חומרים",".GMC",IF(N128="גמר מינימלי",".GM",IF(N128="דירת שיווק",".DS","")))),""),".",VLOOKUP(Check[[#This Row],[טיפוס]],Tipus[],5,FALSE),".",VLOOKUP(Check[[#This Row],[מגדל]],Tower,2,FALSE),".Ap.",Check[[#This Row],[מספר דירה]])</f>
        <v>S.S.3D.TS.Ap.126</v>
      </c>
      <c r="B128" s="13" t="str">
        <f>_xlfn.CONCAT(VLOOKUP(Check[[#This Row],[סטטוס]],Sold,2,FALSE),IF(Check[[#This Row],[סטטוס]]="פנויה",IF(N128="גמר מלא סטנדרט",".GMS",IF(N128="גמר מלא טיוב חומרים",".GMC",IF(N128="גמר מינימלי",".GM",IF(N128="דירת שיווק",".DS","")))),""),IF(M128="זומן לטרום",".ZLT",IF(M128="טרום מסירה",".TM",IF(M128="טרום מסירה מהנדס",".TMM",IF(M128="מסירת חזקה",".MH",IF(M128="מסירת חזקה מהנדס",".MHM",""))))),".",VLOOKUP(Check[[#This Row],[טיפוס]],Tipus[],5,FALSE),".",VLOOKUP(Check[[#This Row],[מגדל]],Tower,2,FALSE),".Ap.",Check[[#This Row],[מספר דירה]])</f>
        <v>S.S.3D.TS.Ap.126</v>
      </c>
      <c r="C128" s="3" t="s">
        <v>55</v>
      </c>
      <c r="D128" s="3">
        <v>15</v>
      </c>
      <c r="E128" s="4">
        <v>126</v>
      </c>
      <c r="F128" s="3">
        <v>1504</v>
      </c>
      <c r="G128" s="3" t="s">
        <v>21</v>
      </c>
      <c r="H128" s="3">
        <f>VLOOKUP(Check[[#This Row],[טיפוס]],Tipus[],2,FALSE)</f>
        <v>3</v>
      </c>
      <c r="I128" s="3" t="str">
        <f>VLOOKUP(Check[[#This Row],[טיפוס]],Tipus[],3,FALSE)</f>
        <v>סטנדרט</v>
      </c>
      <c r="J128" s="3" t="str">
        <f>VLOOKUP(Check[[#This Row],[טיפוס]],Tipus[],4,FALSE)</f>
        <v>C</v>
      </c>
      <c r="K128" s="3" t="str">
        <f>IF(Check[[#This Row],[סטטוס2]]="הולד","פנויה",Check[[#This Row],[סטטוס2]])</f>
        <v>מכורה</v>
      </c>
      <c r="L128" s="382" t="s">
        <v>130</v>
      </c>
      <c r="M128" s="382"/>
      <c r="N128" s="383"/>
      <c r="O128" s="383"/>
      <c r="P128" s="411"/>
      <c r="Q128" s="411"/>
      <c r="R128" s="383"/>
      <c r="S128" s="386">
        <v>44452</v>
      </c>
      <c r="T128" s="386" t="s">
        <v>1116</v>
      </c>
      <c r="U128" s="385" t="s">
        <v>966</v>
      </c>
      <c r="V128" s="387"/>
      <c r="W128" s="387"/>
    </row>
    <row r="129" spans="1:23" x14ac:dyDescent="0.2">
      <c r="A129" s="13" t="str">
        <f>_xlfn.CONCAT(VLOOKUP(Check[[#This Row],[סטטוס]],Sold,2,FALSE),IF(Check[[#This Row],[סטטוס]]="פנויה",IF(N129="גמר מלא סטנדרט",".GMS",IF(N129="גמר מלא טיוב חומרים",".GMC",IF(N129="גמר מינימלי",".GM",IF(N129="דירת שיווק",".DS","")))),""),".",VLOOKUP(Check[[#This Row],[טיפוס]],Tipus[],5,FALSE),".",VLOOKUP(Check[[#This Row],[מגדל]],Tower,2,FALSE),".Ap.",Check[[#This Row],[מספר דירה]])</f>
        <v>S.S.3E.TS.Ap.127</v>
      </c>
      <c r="B129" s="13" t="str">
        <f>_xlfn.CONCAT(VLOOKUP(Check[[#This Row],[סטטוס]],Sold,2,FALSE),IF(Check[[#This Row],[סטטוס]]="פנויה",IF(N129="גמר מלא סטנדרט",".GMS",IF(N129="גמר מלא טיוב חומרים",".GMC",IF(N129="גמר מינימלי",".GM",IF(N129="דירת שיווק",".DS","")))),""),IF(M129="זומן לטרום",".ZLT",IF(M129="טרום מסירה",".TM",IF(M129="טרום מסירה מהנדס",".TMM",IF(M129="מסירת חזקה",".MH",IF(M129="מסירת חזקה מהנדס",".MHM",""))))),".",VLOOKUP(Check[[#This Row],[טיפוס]],Tipus[],5,FALSE),".",VLOOKUP(Check[[#This Row],[מגדל]],Tower,2,FALSE),".Ap.",Check[[#This Row],[מספר דירה]])</f>
        <v>S.S.3E.TS.Ap.127</v>
      </c>
      <c r="C129" s="3" t="s">
        <v>55</v>
      </c>
      <c r="D129" s="3">
        <v>15</v>
      </c>
      <c r="E129" s="4">
        <v>127</v>
      </c>
      <c r="F129" s="3">
        <v>1505</v>
      </c>
      <c r="G129" s="3" t="s">
        <v>20</v>
      </c>
      <c r="H129" s="3">
        <f>VLOOKUP(Check[[#This Row],[טיפוס]],Tipus[],2,FALSE)</f>
        <v>3</v>
      </c>
      <c r="I129" s="3" t="str">
        <f>VLOOKUP(Check[[#This Row],[טיפוס]],Tipus[],3,FALSE)</f>
        <v>סטנדרט</v>
      </c>
      <c r="J129" s="3" t="str">
        <f>VLOOKUP(Check[[#This Row],[טיפוס]],Tipus[],4,FALSE)</f>
        <v>A</v>
      </c>
      <c r="K129" s="3" t="str">
        <f>IF(Check[[#This Row],[סטטוס2]]="הולד","פנויה",Check[[#This Row],[סטטוס2]])</f>
        <v>מכורה</v>
      </c>
      <c r="L129" s="382" t="s">
        <v>130</v>
      </c>
      <c r="M129" s="382"/>
      <c r="N129" s="383"/>
      <c r="O129" s="383"/>
      <c r="P129" s="411"/>
      <c r="Q129" s="411"/>
      <c r="R129" s="383"/>
      <c r="S129" s="386">
        <v>44444</v>
      </c>
      <c r="T129" s="386" t="s">
        <v>1117</v>
      </c>
      <c r="U129" s="385" t="s">
        <v>967</v>
      </c>
      <c r="V129" s="387"/>
      <c r="W129" s="387"/>
    </row>
    <row r="130" spans="1:23" x14ac:dyDescent="0.2">
      <c r="A130" s="13" t="str">
        <f>_xlfn.CONCAT(VLOOKUP(Check[[#This Row],[סטטוס]],Sold,2,FALSE),IF(Check[[#This Row],[סטטוס]]="פנויה",IF(N130="גמר מלא סטנדרט",".GMS",IF(N130="גמר מלא טיוב חומרים",".GMC",IF(N130="גמר מינימלי",".GM",IF(N130="דירת שיווק",".DS","")))),""),".",VLOOKUP(Check[[#This Row],[טיפוס]],Tipus[],5,FALSE),".",VLOOKUP(Check[[#This Row],[מגדל]],Tower,2,FALSE),".Ap.",Check[[#This Row],[מספר דירה]])</f>
        <v>S.S.4A.TS.Ap.128</v>
      </c>
      <c r="B130" s="13" t="str">
        <f>_xlfn.CONCAT(VLOOKUP(Check[[#This Row],[סטטוס]],Sold,2,FALSE),IF(Check[[#This Row],[סטטוס]]="פנויה",IF(N130="גמר מלא סטנדרט",".GMS",IF(N130="גמר מלא טיוב חומרים",".GMC",IF(N130="גמר מינימלי",".GM",IF(N130="דירת שיווק",".DS","")))),""),IF(M130="זומן לטרום",".ZLT",IF(M130="טרום מסירה",".TM",IF(M130="טרום מסירה מהנדס",".TMM",IF(M130="מסירת חזקה",".MH",IF(M130="מסירת חזקה מהנדס",".MHM",""))))),".",VLOOKUP(Check[[#This Row],[טיפוס]],Tipus[],5,FALSE),".",VLOOKUP(Check[[#This Row],[מגדל]],Tower,2,FALSE),".Ap.",Check[[#This Row],[מספר דירה]])</f>
        <v>S.S.4A.TS.Ap.128</v>
      </c>
      <c r="C130" s="3" t="s">
        <v>55</v>
      </c>
      <c r="D130" s="3">
        <v>15</v>
      </c>
      <c r="E130" s="4">
        <v>128</v>
      </c>
      <c r="F130" s="3">
        <v>1506</v>
      </c>
      <c r="G130" s="3" t="s">
        <v>14</v>
      </c>
      <c r="H130" s="3">
        <f>VLOOKUP(Check[[#This Row],[טיפוס]],Tipus[],2,FALSE)</f>
        <v>4</v>
      </c>
      <c r="I130" s="3" t="str">
        <f>VLOOKUP(Check[[#This Row],[טיפוס]],Tipus[],3,FALSE)</f>
        <v>סטנדרט</v>
      </c>
      <c r="J130" s="3" t="str">
        <f>VLOOKUP(Check[[#This Row],[טיפוס]],Tipus[],4,FALSE)</f>
        <v>J</v>
      </c>
      <c r="K130" s="3" t="str">
        <f>IF(Check[[#This Row],[סטטוס2]]="הולד","פנויה",Check[[#This Row],[סטטוס2]])</f>
        <v>מכורה</v>
      </c>
      <c r="L130" s="382" t="s">
        <v>130</v>
      </c>
      <c r="M130" s="382"/>
      <c r="N130" s="383"/>
      <c r="O130" s="383"/>
      <c r="P130" s="411"/>
      <c r="Q130" s="411"/>
      <c r="R130" s="383"/>
      <c r="S130" s="386">
        <v>44508</v>
      </c>
      <c r="T130" s="386" t="s">
        <v>1118</v>
      </c>
      <c r="U130" s="385" t="s">
        <v>968</v>
      </c>
      <c r="V130" s="387"/>
      <c r="W130" s="387"/>
    </row>
    <row r="131" spans="1:23" x14ac:dyDescent="0.2">
      <c r="A131" s="13" t="str">
        <f>_xlfn.CONCAT(VLOOKUP(Check[[#This Row],[סטטוס]],Sold,2,FALSE),IF(Check[[#This Row],[סטטוס]]="פנויה",IF(N131="גמר מלא סטנדרט",".GMS",IF(N131="גמר מלא טיוב חומרים",".GMC",IF(N131="גמר מינימלי",".GM",IF(N131="דירת שיווק",".DS","")))),""),".",VLOOKUP(Check[[#This Row],[טיפוס]],Tipus[],5,FALSE),".",VLOOKUP(Check[[#This Row],[מגדל]],Tower,2,FALSE),".Ap.",Check[[#This Row],[מספר דירה]])</f>
        <v>O.S.2G.TS.Ap.129</v>
      </c>
      <c r="B131" s="13" t="str">
        <f>_xlfn.CONCAT(VLOOKUP(Check[[#This Row],[סטטוס]],Sold,2,FALSE),IF(Check[[#This Row],[סטטוס]]="פנויה",IF(N131="גמר מלא סטנדרט",".GMS",IF(N131="גמר מלא טיוב חומרים",".GMC",IF(N131="גמר מינימלי",".GM",IF(N131="דירת שיווק",".DS","")))),""),IF(M131="זומן לטרום",".ZLT",IF(M131="טרום מסירה",".TM",IF(M131="טרום מסירה מהנדס",".TMM",IF(M131="מסירת חזקה",".MH",IF(M131="מסירת חזקה מהנדס",".MHM",""))))),".",VLOOKUP(Check[[#This Row],[טיפוס]],Tipus[],5,FALSE),".",VLOOKUP(Check[[#This Row],[מגדל]],Tower,2,FALSE),".Ap.",Check[[#This Row],[מספר דירה]])</f>
        <v>O.S.2G.TS.Ap.129</v>
      </c>
      <c r="C131" s="3" t="s">
        <v>55</v>
      </c>
      <c r="D131" s="3">
        <v>15</v>
      </c>
      <c r="E131" s="4">
        <v>129</v>
      </c>
      <c r="F131" s="3">
        <v>1507</v>
      </c>
      <c r="G131" s="3" t="s">
        <v>15</v>
      </c>
      <c r="H131" s="3">
        <f>VLOOKUP(Check[[#This Row],[טיפוס]],Tipus[],2,FALSE)</f>
        <v>2</v>
      </c>
      <c r="I131" s="3" t="str">
        <f>VLOOKUP(Check[[#This Row],[טיפוס]],Tipus[],3,FALSE)</f>
        <v>סטנדרט</v>
      </c>
      <c r="J131" s="3" t="str">
        <f>VLOOKUP(Check[[#This Row],[טיפוס]],Tipus[],4,FALSE)</f>
        <v>I</v>
      </c>
      <c r="K131" s="3" t="str">
        <f>IF(Check[[#This Row],[סטטוס2]]="הולד","פנויה",Check[[#This Row],[סטטוס2]])</f>
        <v>בעלים</v>
      </c>
      <c r="L131" s="382" t="s">
        <v>91</v>
      </c>
      <c r="M131" s="382"/>
      <c r="N131" s="383"/>
      <c r="O131" s="383"/>
      <c r="P131" s="411"/>
      <c r="Q131" s="411"/>
      <c r="R131" s="383"/>
      <c r="S131" s="384">
        <v>44040</v>
      </c>
      <c r="T131" s="384" t="s">
        <v>416</v>
      </c>
      <c r="U131" s="385" t="s">
        <v>427</v>
      </c>
      <c r="V131" s="385" t="s">
        <v>214</v>
      </c>
      <c r="W131" s="385" t="s">
        <v>214</v>
      </c>
    </row>
    <row r="132" spans="1:23" x14ac:dyDescent="0.2">
      <c r="A132" s="13" t="str">
        <f>_xlfn.CONCAT(VLOOKUP(Check[[#This Row],[סטטוס]],Sold,2,FALSE),IF(Check[[#This Row],[סטטוס]]="פנויה",IF(N132="גמר מלא סטנדרט",".GMS",IF(N132="גמר מלא טיוב חומרים",".GMC",IF(N132="גמר מינימלי",".GM",IF(N132="דירת שיווק",".DS","")))),""),".",VLOOKUP(Check[[#This Row],[טיפוס]],Tipus[],5,FALSE),".",VLOOKUP(Check[[#This Row],[מגדל]],Tower,2,FALSE),".Ap.",Check[[#This Row],[מספר דירה]])</f>
        <v>O.S.4B.TS.Ap.130</v>
      </c>
      <c r="B132" s="13" t="str">
        <f>_xlfn.CONCAT(VLOOKUP(Check[[#This Row],[סטטוס]],Sold,2,FALSE),IF(Check[[#This Row],[סטטוס]]="פנויה",IF(N132="גמר מלא סטנדרט",".GMS",IF(N132="גמר מלא טיוב חומרים",".GMC",IF(N132="גמר מינימלי",".GM",IF(N132="דירת שיווק",".DS","")))),""),IF(M132="זומן לטרום",".ZLT",IF(M132="טרום מסירה",".TM",IF(M132="טרום מסירה מהנדס",".TMM",IF(M132="מסירת חזקה",".MH",IF(M132="מסירת חזקה מהנדס",".MHM",""))))),".",VLOOKUP(Check[[#This Row],[טיפוס]],Tipus[],5,FALSE),".",VLOOKUP(Check[[#This Row],[מגדל]],Tower,2,FALSE),".Ap.",Check[[#This Row],[מספר דירה]])</f>
        <v>O.S.4B.TS.Ap.130</v>
      </c>
      <c r="C132" s="3" t="s">
        <v>55</v>
      </c>
      <c r="D132" s="3">
        <v>15</v>
      </c>
      <c r="E132" s="4">
        <v>130</v>
      </c>
      <c r="F132" s="3">
        <v>1508</v>
      </c>
      <c r="G132" s="3" t="s">
        <v>16</v>
      </c>
      <c r="H132" s="3">
        <f>VLOOKUP(Check[[#This Row],[טיפוס]],Tipus[],2,FALSE)</f>
        <v>4</v>
      </c>
      <c r="I132" s="3" t="str">
        <f>VLOOKUP(Check[[#This Row],[טיפוס]],Tipus[],3,FALSE)</f>
        <v>סטנדרט</v>
      </c>
      <c r="J132" s="3" t="str">
        <f>VLOOKUP(Check[[#This Row],[טיפוס]],Tipus[],4,FALSE)</f>
        <v>H</v>
      </c>
      <c r="K132" s="3" t="str">
        <f>IF(Check[[#This Row],[סטטוס2]]="הולד","פנויה",Check[[#This Row],[סטטוס2]])</f>
        <v>בעלים</v>
      </c>
      <c r="L132" s="382" t="s">
        <v>91</v>
      </c>
      <c r="M132" s="382"/>
      <c r="N132" s="383"/>
      <c r="O132" s="383"/>
      <c r="P132" s="411"/>
      <c r="Q132" s="411"/>
      <c r="R132" s="383"/>
      <c r="S132" s="384">
        <v>44040</v>
      </c>
      <c r="T132" s="384" t="s">
        <v>428</v>
      </c>
      <c r="U132" s="385" t="s">
        <v>429</v>
      </c>
      <c r="V132" s="385" t="s">
        <v>214</v>
      </c>
      <c r="W132" s="385" t="s">
        <v>430</v>
      </c>
    </row>
    <row r="133" spans="1:23" x14ac:dyDescent="0.2">
      <c r="A133" s="13" t="str">
        <f>_xlfn.CONCAT(VLOOKUP(Check[[#This Row],[סטטוס]],Sold,2,FALSE),IF(Check[[#This Row],[סטטוס]]="פנויה",IF(N133="גמר מלא סטנדרט",".GMS",IF(N133="גמר מלא טיוב חומרים",".GMC",IF(N133="גמר מינימלי",".GM",IF(N133="דירת שיווק",".DS","")))),""),".",VLOOKUP(Check[[#This Row],[טיפוס]],Tipus[],5,FALSE),".",VLOOKUP(Check[[#This Row],[מגדל]],Tower,2,FALSE),".Ap.",Check[[#This Row],[מספר דירה]])</f>
        <v>V.GMS.S.3B.TS.Ap.131</v>
      </c>
      <c r="B133" s="13" t="str">
        <f>_xlfn.CONCAT(VLOOKUP(Check[[#This Row],[סטטוס]],Sold,2,FALSE),IF(Check[[#This Row],[סטטוס]]="פנויה",IF(N133="גמר מלא סטנדרט",".GMS",IF(N133="גמר מלא טיוב חומרים",".GMC",IF(N133="גמר מינימלי",".GM",IF(N133="דירת שיווק",".DS","")))),""),IF(M133="זומן לטרום",".ZLT",IF(M133="טרום מסירה",".TM",IF(M133="טרום מסירה מהנדס",".TMM",IF(M133="מסירת חזקה",".MH",IF(M133="מסירת חזקה מהנדס",".MHM",""))))),".",VLOOKUP(Check[[#This Row],[טיפוס]],Tipus[],5,FALSE),".",VLOOKUP(Check[[#This Row],[מגדל]],Tower,2,FALSE),".Ap.",Check[[#This Row],[מספר דירה]])</f>
        <v>V.GMS.S.3B.TS.Ap.131</v>
      </c>
      <c r="C133" s="3" t="s">
        <v>55</v>
      </c>
      <c r="D133" s="3">
        <v>16</v>
      </c>
      <c r="E133" s="4">
        <v>131</v>
      </c>
      <c r="F133" s="3">
        <v>1601</v>
      </c>
      <c r="G133" s="3" t="s">
        <v>19</v>
      </c>
      <c r="H133" s="3">
        <f>VLOOKUP(Check[[#This Row],[טיפוס]],Tipus[],2,FALSE)</f>
        <v>3</v>
      </c>
      <c r="I133" s="3" t="str">
        <f>VLOOKUP(Check[[#This Row],[טיפוס]],Tipus[],3,FALSE)</f>
        <v>סטנדרט</v>
      </c>
      <c r="J133" s="3" t="str">
        <f>VLOOKUP(Check[[#This Row],[טיפוס]],Tipus[],4,FALSE)</f>
        <v>G</v>
      </c>
      <c r="K133" s="3" t="str">
        <f>IF(Check[[#This Row],[סטטוס2]]="הולד","פנויה",Check[[#This Row],[סטטוס2]])</f>
        <v>פנויה</v>
      </c>
      <c r="L133" s="382" t="s">
        <v>108</v>
      </c>
      <c r="M133" s="382"/>
      <c r="N133" t="s">
        <v>1367</v>
      </c>
      <c r="O133" s="383" t="s">
        <v>1390</v>
      </c>
      <c r="P133" s="410" t="s">
        <v>1389</v>
      </c>
      <c r="Q133" s="410"/>
      <c r="R133" s="383"/>
      <c r="S133" s="384"/>
      <c r="T133" s="384" t="s">
        <v>214</v>
      </c>
      <c r="U133" s="385"/>
      <c r="V133" s="385"/>
      <c r="W133" s="387"/>
    </row>
    <row r="134" spans="1:23" x14ac:dyDescent="0.2">
      <c r="A134" s="13" t="str">
        <f>_xlfn.CONCAT(VLOOKUP(Check[[#This Row],[סטטוס]],Sold,2,FALSE),IF(Check[[#This Row],[סטטוס]]="פנויה",IF(N134="גמר מלא סטנדרט",".GMS",IF(N134="גמר מלא טיוב חומרים",".GMC",IF(N134="גמר מינימלי",".GM",IF(N134="דירת שיווק",".DS","")))),""),".",VLOOKUP(Check[[#This Row],[טיפוס]],Tipus[],5,FALSE),".",VLOOKUP(Check[[#This Row],[מגדל]],Tower,2,FALSE),".Ap.",Check[[#This Row],[מספר דירה]])</f>
        <v>S.S.3C.TS.Ap.132</v>
      </c>
      <c r="B134" s="13" t="str">
        <f>_xlfn.CONCAT(VLOOKUP(Check[[#This Row],[סטטוס]],Sold,2,FALSE),IF(Check[[#This Row],[סטטוס]]="פנויה",IF(N134="גמר מלא סטנדרט",".GMS",IF(N134="גמר מלא טיוב חומרים",".GMC",IF(N134="גמר מינימלי",".GM",IF(N134="דירת שיווק",".DS","")))),""),IF(M134="זומן לטרום",".ZLT",IF(M134="טרום מסירה",".TM",IF(M134="טרום מסירה מהנדס",".TMM",IF(M134="מסירת חזקה",".MH",IF(M134="מסירת חזקה מהנדס",".MHM",""))))),".",VLOOKUP(Check[[#This Row],[טיפוס]],Tipus[],5,FALSE),".",VLOOKUP(Check[[#This Row],[מגדל]],Tower,2,FALSE),".Ap.",Check[[#This Row],[מספר דירה]])</f>
        <v>S.S.3C.TS.Ap.132</v>
      </c>
      <c r="C134" s="3" t="s">
        <v>55</v>
      </c>
      <c r="D134" s="3">
        <v>16</v>
      </c>
      <c r="E134" s="4">
        <v>132</v>
      </c>
      <c r="F134" s="3">
        <v>1602</v>
      </c>
      <c r="G134" s="3" t="s">
        <v>18</v>
      </c>
      <c r="H134" s="3">
        <f>VLOOKUP(Check[[#This Row],[טיפוס]],Tipus[],2,FALSE)</f>
        <v>3</v>
      </c>
      <c r="I134" s="3" t="str">
        <f>VLOOKUP(Check[[#This Row],[טיפוס]],Tipus[],3,FALSE)</f>
        <v>סטנדרט</v>
      </c>
      <c r="J134" s="3" t="str">
        <f>VLOOKUP(Check[[#This Row],[טיפוס]],Tipus[],4,FALSE)</f>
        <v>E</v>
      </c>
      <c r="K134" s="3" t="str">
        <f>IF(Check[[#This Row],[סטטוס2]]="הולד","פנויה",Check[[#This Row],[סטטוס2]])</f>
        <v>מכורה</v>
      </c>
      <c r="L134" s="382" t="s">
        <v>130</v>
      </c>
      <c r="M134" s="382"/>
      <c r="N134" s="383"/>
      <c r="O134" s="383"/>
      <c r="P134" s="411"/>
      <c r="Q134" s="411"/>
      <c r="R134" s="383"/>
      <c r="S134" s="386">
        <v>44476</v>
      </c>
      <c r="T134" s="386" t="s">
        <v>1119</v>
      </c>
      <c r="U134" s="385" t="s">
        <v>969</v>
      </c>
      <c r="V134" s="387"/>
      <c r="W134" s="387"/>
    </row>
    <row r="135" spans="1:23" x14ac:dyDescent="0.2">
      <c r="A135" s="13" t="str">
        <f>_xlfn.CONCAT(VLOOKUP(Check[[#This Row],[סטטוס]],Sold,2,FALSE),IF(Check[[#This Row],[סטטוס]]="פנויה",IF(N135="גמר מלא סטנדרט",".GMS",IF(N135="גמר מלא טיוב חומרים",".GMC",IF(N135="גמר מינימלי",".GM",IF(N135="דירת שיווק",".DS","")))),""),".",VLOOKUP(Check[[#This Row],[טיפוס]],Tipus[],5,FALSE),".",VLOOKUP(Check[[#This Row],[מגדל]],Tower,2,FALSE),".Ap.",Check[[#This Row],[מספר דירה]])</f>
        <v>S.S.3A.TS.Ap.133</v>
      </c>
      <c r="B135" s="13" t="str">
        <f>_xlfn.CONCAT(VLOOKUP(Check[[#This Row],[סטטוס]],Sold,2,FALSE),IF(Check[[#This Row],[סטטוס]]="פנויה",IF(N135="גמר מלא סטנדרט",".GMS",IF(N135="גמר מלא טיוב חומרים",".GMC",IF(N135="גמר מינימלי",".GM",IF(N135="דירת שיווק",".DS","")))),""),IF(M135="זומן לטרום",".ZLT",IF(M135="טרום מסירה",".TM",IF(M135="טרום מסירה מהנדס",".TMM",IF(M135="מסירת חזקה",".MH",IF(M135="מסירת חזקה מהנדס",".MHM",""))))),".",VLOOKUP(Check[[#This Row],[טיפוס]],Tipus[],5,FALSE),".",VLOOKUP(Check[[#This Row],[מגדל]],Tower,2,FALSE),".Ap.",Check[[#This Row],[מספר דירה]])</f>
        <v>S.S.3A.TS.Ap.133</v>
      </c>
      <c r="C135" s="3" t="s">
        <v>55</v>
      </c>
      <c r="D135" s="3">
        <v>16</v>
      </c>
      <c r="E135" s="4">
        <v>133</v>
      </c>
      <c r="F135" s="3">
        <v>1603</v>
      </c>
      <c r="G135" s="3" t="s">
        <v>9</v>
      </c>
      <c r="H135" s="3">
        <f>VLOOKUP(Check[[#This Row],[טיפוס]],Tipus[],2,FALSE)</f>
        <v>3</v>
      </c>
      <c r="I135" s="3" t="str">
        <f>VLOOKUP(Check[[#This Row],[טיפוס]],Tipus[],3,FALSE)</f>
        <v>סטנדרט</v>
      </c>
      <c r="J135" s="3" t="str">
        <f>VLOOKUP(Check[[#This Row],[טיפוס]],Tipus[],4,FALSE)</f>
        <v>D</v>
      </c>
      <c r="K135" s="3" t="str">
        <f>IF(Check[[#This Row],[סטטוס2]]="הולד","פנויה",Check[[#This Row],[סטטוס2]])</f>
        <v>מכורה</v>
      </c>
      <c r="L135" s="382" t="s">
        <v>130</v>
      </c>
      <c r="M135" s="382"/>
      <c r="N135" s="383"/>
      <c r="O135" s="383"/>
      <c r="P135" s="411"/>
      <c r="Q135" s="411"/>
      <c r="R135" s="383"/>
      <c r="S135" s="386">
        <v>44440</v>
      </c>
      <c r="T135" s="386" t="s">
        <v>1120</v>
      </c>
      <c r="U135" s="385" t="s">
        <v>970</v>
      </c>
      <c r="V135" s="387"/>
      <c r="W135" s="387"/>
    </row>
    <row r="136" spans="1:23" x14ac:dyDescent="0.2">
      <c r="A136" s="13" t="str">
        <f>_xlfn.CONCAT(VLOOKUP(Check[[#This Row],[סטטוס]],Sold,2,FALSE),IF(Check[[#This Row],[סטטוס]]="פנויה",IF(N136="גמר מלא סטנדרט",".GMS",IF(N136="גמר מלא טיוב חומרים",".GMC",IF(N136="גמר מינימלי",".GM",IF(N136="דירת שיווק",".DS","")))),""),".",VLOOKUP(Check[[#This Row],[טיפוס]],Tipus[],5,FALSE),".",VLOOKUP(Check[[#This Row],[מגדל]],Tower,2,FALSE),".Ap.",Check[[#This Row],[מספר דירה]])</f>
        <v>O.S.3D.TS.Ap.134</v>
      </c>
      <c r="B136" s="13" t="str">
        <f>_xlfn.CONCAT(VLOOKUP(Check[[#This Row],[סטטוס]],Sold,2,FALSE),IF(Check[[#This Row],[סטטוס]]="פנויה",IF(N136="גמר מלא סטנדרט",".GMS",IF(N136="גמר מלא טיוב חומרים",".GMC",IF(N136="גמר מינימלי",".GM",IF(N136="דירת שיווק",".DS","")))),""),IF(M136="זומן לטרום",".ZLT",IF(M136="טרום מסירה",".TM",IF(M136="טרום מסירה מהנדס",".TMM",IF(M136="מסירת חזקה",".MH",IF(M136="מסירת חזקה מהנדס",".MHM",""))))),".",VLOOKUP(Check[[#This Row],[טיפוס]],Tipus[],5,FALSE),".",VLOOKUP(Check[[#This Row],[מגדל]],Tower,2,FALSE),".Ap.",Check[[#This Row],[מספר דירה]])</f>
        <v>O.S.3D.TS.Ap.134</v>
      </c>
      <c r="C136" s="3" t="s">
        <v>55</v>
      </c>
      <c r="D136" s="3">
        <v>16</v>
      </c>
      <c r="E136" s="4">
        <v>134</v>
      </c>
      <c r="F136" s="3">
        <v>1604</v>
      </c>
      <c r="G136" s="3" t="s">
        <v>21</v>
      </c>
      <c r="H136" s="3">
        <f>VLOOKUP(Check[[#This Row],[טיפוס]],Tipus[],2,FALSE)</f>
        <v>3</v>
      </c>
      <c r="I136" s="3" t="str">
        <f>VLOOKUP(Check[[#This Row],[טיפוס]],Tipus[],3,FALSE)</f>
        <v>סטנדרט</v>
      </c>
      <c r="J136" s="3" t="str">
        <f>VLOOKUP(Check[[#This Row],[טיפוס]],Tipus[],4,FALSE)</f>
        <v>C</v>
      </c>
      <c r="K136" s="3" t="str">
        <f>IF(Check[[#This Row],[סטטוס2]]="הולד","פנויה",Check[[#This Row],[סטטוס2]])</f>
        <v>בעלים</v>
      </c>
      <c r="L136" s="382" t="s">
        <v>91</v>
      </c>
      <c r="M136" s="382"/>
      <c r="N136" s="383"/>
      <c r="O136" s="383"/>
      <c r="P136" s="411"/>
      <c r="Q136" s="411"/>
      <c r="R136" s="383"/>
      <c r="S136" s="384">
        <v>44040</v>
      </c>
      <c r="T136" s="384" t="s">
        <v>1300</v>
      </c>
      <c r="U136" s="385" t="s">
        <v>431</v>
      </c>
      <c r="V136" s="385" t="s">
        <v>214</v>
      </c>
      <c r="W136" s="385" t="s">
        <v>214</v>
      </c>
    </row>
    <row r="137" spans="1:23" x14ac:dyDescent="0.2">
      <c r="A137" s="13" t="str">
        <f>_xlfn.CONCAT(VLOOKUP(Check[[#This Row],[סטטוס]],Sold,2,FALSE),IF(Check[[#This Row],[סטטוס]]="פנויה",IF(N137="גמר מלא סטנדרט",".GMS",IF(N137="גמר מלא טיוב חומרים",".GMC",IF(N137="גמר מינימלי",".GM",IF(N137="דירת שיווק",".DS","")))),""),".",VLOOKUP(Check[[#This Row],[טיפוס]],Tipus[],5,FALSE),".",VLOOKUP(Check[[#This Row],[מגדל]],Tower,2,FALSE),".Ap.",Check[[#This Row],[מספר דירה]])</f>
        <v>S.S.3E.TS.Ap.135</v>
      </c>
      <c r="B137" s="13" t="str">
        <f>_xlfn.CONCAT(VLOOKUP(Check[[#This Row],[סטטוס]],Sold,2,FALSE),IF(Check[[#This Row],[סטטוס]]="פנויה",IF(N137="גמר מלא סטנדרט",".GMS",IF(N137="גמר מלא טיוב חומרים",".GMC",IF(N137="גמר מינימלי",".GM",IF(N137="דירת שיווק",".DS","")))),""),IF(M137="זומן לטרום",".ZLT",IF(M137="טרום מסירה",".TM",IF(M137="טרום מסירה מהנדס",".TMM",IF(M137="מסירת חזקה",".MH",IF(M137="מסירת חזקה מהנדס",".MHM",""))))),".",VLOOKUP(Check[[#This Row],[טיפוס]],Tipus[],5,FALSE),".",VLOOKUP(Check[[#This Row],[מגדל]],Tower,2,FALSE),".Ap.",Check[[#This Row],[מספר דירה]])</f>
        <v>S.S.3E.TS.Ap.135</v>
      </c>
      <c r="C137" s="3" t="s">
        <v>55</v>
      </c>
      <c r="D137" s="3">
        <v>16</v>
      </c>
      <c r="E137" s="4">
        <v>135</v>
      </c>
      <c r="F137" s="3">
        <v>1605</v>
      </c>
      <c r="G137" s="3" t="s">
        <v>20</v>
      </c>
      <c r="H137" s="3">
        <f>VLOOKUP(Check[[#This Row],[טיפוס]],Tipus[],2,FALSE)</f>
        <v>3</v>
      </c>
      <c r="I137" s="3" t="str">
        <f>VLOOKUP(Check[[#This Row],[טיפוס]],Tipus[],3,FALSE)</f>
        <v>סטנדרט</v>
      </c>
      <c r="J137" s="3" t="str">
        <f>VLOOKUP(Check[[#This Row],[טיפוס]],Tipus[],4,FALSE)</f>
        <v>A</v>
      </c>
      <c r="K137" s="3" t="str">
        <f>IF(Check[[#This Row],[סטטוס2]]="הולד","פנויה",Check[[#This Row],[סטטוס2]])</f>
        <v>מכורה</v>
      </c>
      <c r="L137" s="382" t="s">
        <v>130</v>
      </c>
      <c r="M137" s="382"/>
      <c r="N137" s="383"/>
      <c r="O137" s="383"/>
      <c r="P137" s="411"/>
      <c r="Q137" s="411"/>
      <c r="R137" s="383"/>
      <c r="S137" s="386">
        <v>44440</v>
      </c>
      <c r="T137" s="386" t="s">
        <v>1071</v>
      </c>
      <c r="U137" s="385" t="s">
        <v>971</v>
      </c>
      <c r="V137" s="387"/>
      <c r="W137" s="387"/>
    </row>
    <row r="138" spans="1:23" x14ac:dyDescent="0.2">
      <c r="A138" s="13" t="str">
        <f>_xlfn.CONCAT(VLOOKUP(Check[[#This Row],[סטטוס]],Sold,2,FALSE),IF(Check[[#This Row],[סטטוס]]="פנויה",IF(N138="גמר מלא סטנדרט",".GMS",IF(N138="גמר מלא טיוב חומרים",".GMC",IF(N138="גמר מינימלי",".GM",IF(N138="דירת שיווק",".DS","")))),""),".",VLOOKUP(Check[[#This Row],[טיפוס]],Tipus[],5,FALSE),".",VLOOKUP(Check[[#This Row],[מגדל]],Tower,2,FALSE),".Ap.",Check[[#This Row],[מספר דירה]])</f>
        <v>S.S.4A.TS.Ap.136</v>
      </c>
      <c r="B138" s="13" t="str">
        <f>_xlfn.CONCAT(VLOOKUP(Check[[#This Row],[סטטוס]],Sold,2,FALSE),IF(Check[[#This Row],[סטטוס]]="פנויה",IF(N138="גמר מלא סטנדרט",".GMS",IF(N138="גמר מלא טיוב חומרים",".GMC",IF(N138="גמר מינימלי",".GM",IF(N138="דירת שיווק",".DS","")))),""),IF(M138="זומן לטרום",".ZLT",IF(M138="טרום מסירה",".TM",IF(M138="טרום מסירה מהנדס",".TMM",IF(M138="מסירת חזקה",".MH",IF(M138="מסירת חזקה מהנדס",".MHM",""))))),".",VLOOKUP(Check[[#This Row],[טיפוס]],Tipus[],5,FALSE),".",VLOOKUP(Check[[#This Row],[מגדל]],Tower,2,FALSE),".Ap.",Check[[#This Row],[מספר דירה]])</f>
        <v>S.S.4A.TS.Ap.136</v>
      </c>
      <c r="C138" s="3" t="s">
        <v>55</v>
      </c>
      <c r="D138" s="3">
        <v>16</v>
      </c>
      <c r="E138" s="4">
        <v>136</v>
      </c>
      <c r="F138" s="3">
        <v>1606</v>
      </c>
      <c r="G138" s="3" t="s">
        <v>14</v>
      </c>
      <c r="H138" s="3">
        <f>VLOOKUP(Check[[#This Row],[טיפוס]],Tipus[],2,FALSE)</f>
        <v>4</v>
      </c>
      <c r="I138" s="3" t="str">
        <f>VLOOKUP(Check[[#This Row],[טיפוס]],Tipus[],3,FALSE)</f>
        <v>סטנדרט</v>
      </c>
      <c r="J138" s="3" t="str">
        <f>VLOOKUP(Check[[#This Row],[טיפוס]],Tipus[],4,FALSE)</f>
        <v>J</v>
      </c>
      <c r="K138" s="3" t="str">
        <f>IF(Check[[#This Row],[סטטוס2]]="הולד","פנויה",Check[[#This Row],[סטטוס2]])</f>
        <v>מכורה</v>
      </c>
      <c r="L138" s="382" t="s">
        <v>130</v>
      </c>
      <c r="M138" s="382"/>
      <c r="N138" s="383"/>
      <c r="O138" s="383"/>
      <c r="P138" s="411"/>
      <c r="Q138" s="411"/>
      <c r="R138" s="383"/>
      <c r="S138" s="386">
        <v>44508</v>
      </c>
      <c r="T138" s="386" t="s">
        <v>1121</v>
      </c>
      <c r="U138" s="385" t="s">
        <v>972</v>
      </c>
      <c r="V138" s="387"/>
      <c r="W138" s="387"/>
    </row>
    <row r="139" spans="1:23" x14ac:dyDescent="0.2">
      <c r="A139" s="13" t="str">
        <f>_xlfn.CONCAT(VLOOKUP(Check[[#This Row],[סטטוס]],Sold,2,FALSE),IF(Check[[#This Row],[סטטוס]]="פנויה",IF(N139="גמר מלא סטנדרט",".GMS",IF(N139="גמר מלא טיוב חומרים",".GMC",IF(N139="גמר מינימלי",".GM",IF(N139="דירת שיווק",".DS","")))),""),".",VLOOKUP(Check[[#This Row],[טיפוס]],Tipus[],5,FALSE),".",VLOOKUP(Check[[#This Row],[מגדל]],Tower,2,FALSE),".Ap.",Check[[#This Row],[מספר דירה]])</f>
        <v>S.S.2G.TS.Ap.137</v>
      </c>
      <c r="B139" s="13" t="str">
        <f>_xlfn.CONCAT(VLOOKUP(Check[[#This Row],[סטטוס]],Sold,2,FALSE),IF(Check[[#This Row],[סטטוס]]="פנויה",IF(N139="גמר מלא סטנדרט",".GMS",IF(N139="גמר מלא טיוב חומרים",".GMC",IF(N139="גמר מינימלי",".GM",IF(N139="דירת שיווק",".DS","")))),""),IF(M139="זומן לטרום",".ZLT",IF(M139="טרום מסירה",".TM",IF(M139="טרום מסירה מהנדס",".TMM",IF(M139="מסירת חזקה",".MH",IF(M139="מסירת חזקה מהנדס",".MHM",""))))),".",VLOOKUP(Check[[#This Row],[טיפוס]],Tipus[],5,FALSE),".",VLOOKUP(Check[[#This Row],[מגדל]],Tower,2,FALSE),".Ap.",Check[[#This Row],[מספר דירה]])</f>
        <v>S.S.2G.TS.Ap.137</v>
      </c>
      <c r="C139" s="3" t="s">
        <v>55</v>
      </c>
      <c r="D139" s="3">
        <v>16</v>
      </c>
      <c r="E139" s="4">
        <v>137</v>
      </c>
      <c r="F139" s="3">
        <v>1607</v>
      </c>
      <c r="G139" s="3" t="s">
        <v>15</v>
      </c>
      <c r="H139" s="3">
        <f>VLOOKUP(Check[[#This Row],[טיפוס]],Tipus[],2,FALSE)</f>
        <v>2</v>
      </c>
      <c r="I139" s="3" t="str">
        <f>VLOOKUP(Check[[#This Row],[טיפוס]],Tipus[],3,FALSE)</f>
        <v>סטנדרט</v>
      </c>
      <c r="J139" s="3" t="str">
        <f>VLOOKUP(Check[[#This Row],[טיפוס]],Tipus[],4,FALSE)</f>
        <v>I</v>
      </c>
      <c r="K139" s="3" t="str">
        <f>IF(Check[[#This Row],[סטטוס2]]="הולד","פנויה",Check[[#This Row],[סטטוס2]])</f>
        <v>מכורה</v>
      </c>
      <c r="L139" s="382" t="s">
        <v>130</v>
      </c>
      <c r="M139" s="382"/>
      <c r="N139" s="383"/>
      <c r="O139" s="383"/>
      <c r="P139" s="411"/>
      <c r="Q139" s="411"/>
      <c r="R139" s="383"/>
      <c r="S139" s="386">
        <v>44521</v>
      </c>
      <c r="T139" s="386" t="s">
        <v>1071</v>
      </c>
      <c r="U139" s="387"/>
      <c r="V139" s="387"/>
      <c r="W139" s="387"/>
    </row>
    <row r="140" spans="1:23" x14ac:dyDescent="0.2">
      <c r="A140" s="13" t="str">
        <f>_xlfn.CONCAT(VLOOKUP(Check[[#This Row],[סטטוס]],Sold,2,FALSE),IF(Check[[#This Row],[סטטוס]]="פנויה",IF(N140="גמר מלא סטנדרט",".GMS",IF(N140="גמר מלא טיוב חומרים",".GMC",IF(N140="גמר מינימלי",".GM",IF(N140="דירת שיווק",".DS","")))),""),".",VLOOKUP(Check[[#This Row],[טיפוס]],Tipus[],5,FALSE),".",VLOOKUP(Check[[#This Row],[מגדל]],Tower,2,FALSE),".Ap.",Check[[#This Row],[מספר דירה]])</f>
        <v>S.S.4B.TS.Ap.138</v>
      </c>
      <c r="B140" s="13" t="str">
        <f>_xlfn.CONCAT(VLOOKUP(Check[[#This Row],[סטטוס]],Sold,2,FALSE),IF(Check[[#This Row],[סטטוס]]="פנויה",IF(N140="גמר מלא סטנדרט",".GMS",IF(N140="גמר מלא טיוב חומרים",".GMC",IF(N140="גמר מינימלי",".GM",IF(N140="דירת שיווק",".DS","")))),""),IF(M140="זומן לטרום",".ZLT",IF(M140="טרום מסירה",".TM",IF(M140="טרום מסירה מהנדס",".TMM",IF(M140="מסירת חזקה",".MH",IF(M140="מסירת חזקה מהנדס",".MHM",""))))),".",VLOOKUP(Check[[#This Row],[טיפוס]],Tipus[],5,FALSE),".",VLOOKUP(Check[[#This Row],[מגדל]],Tower,2,FALSE),".Ap.",Check[[#This Row],[מספר דירה]])</f>
        <v>S.S.4B.TS.Ap.138</v>
      </c>
      <c r="C140" s="3" t="s">
        <v>55</v>
      </c>
      <c r="D140" s="3">
        <v>16</v>
      </c>
      <c r="E140" s="4">
        <v>138</v>
      </c>
      <c r="F140" s="3">
        <v>1608</v>
      </c>
      <c r="G140" s="3" t="s">
        <v>16</v>
      </c>
      <c r="H140" s="3">
        <f>VLOOKUP(Check[[#This Row],[טיפוס]],Tipus[],2,FALSE)</f>
        <v>4</v>
      </c>
      <c r="I140" s="3" t="str">
        <f>VLOOKUP(Check[[#This Row],[טיפוס]],Tipus[],3,FALSE)</f>
        <v>סטנדרט</v>
      </c>
      <c r="J140" s="3" t="str">
        <f>VLOOKUP(Check[[#This Row],[טיפוס]],Tipus[],4,FALSE)</f>
        <v>H</v>
      </c>
      <c r="K140" s="3" t="str">
        <f>IF(Check[[#This Row],[סטטוס2]]="הולד","פנויה",Check[[#This Row],[סטטוס2]])</f>
        <v>מכורה</v>
      </c>
      <c r="L140" s="382" t="s">
        <v>130</v>
      </c>
      <c r="M140" s="382"/>
      <c r="N140" s="383"/>
      <c r="O140" s="383"/>
      <c r="P140" s="411"/>
      <c r="Q140" s="411"/>
      <c r="R140" s="383"/>
      <c r="S140" s="384">
        <v>45813</v>
      </c>
      <c r="T140" s="384" t="s">
        <v>1301</v>
      </c>
      <c r="U140" s="385" t="s">
        <v>1257</v>
      </c>
      <c r="V140" s="385" t="s">
        <v>1258</v>
      </c>
      <c r="W140" s="388" t="s">
        <v>1259</v>
      </c>
    </row>
    <row r="141" spans="1:23" x14ac:dyDescent="0.2">
      <c r="A141" s="13" t="str">
        <f>_xlfn.CONCAT(VLOOKUP(Check[[#This Row],[סטטוס]],Sold,2,FALSE),IF(Check[[#This Row],[סטטוס]]="פנויה",IF(N141="גמר מלא סטנדרט",".GMS",IF(N141="גמר מלא טיוב חומרים",".GMC",IF(N141="גמר מינימלי",".GM",IF(N141="דירת שיווק",".DS","")))),""),".",VLOOKUP(Check[[#This Row],[טיפוס]],Tipus[],5,FALSE),".",VLOOKUP(Check[[#This Row],[מגדל]],Tower,2,FALSE),".Ap.",Check[[#This Row],[מספר דירה]])</f>
        <v>O.S.3B.TS.Ap.139</v>
      </c>
      <c r="B141" s="13" t="str">
        <f>_xlfn.CONCAT(VLOOKUP(Check[[#This Row],[סטטוס]],Sold,2,FALSE),IF(Check[[#This Row],[סטטוס]]="פנויה",IF(N141="גמר מלא סטנדרט",".GMS",IF(N141="גמר מלא טיוב חומרים",".GMC",IF(N141="גמר מינימלי",".GM",IF(N141="דירת שיווק",".DS","")))),""),IF(M141="זומן לטרום",".ZLT",IF(M141="טרום מסירה",".TM",IF(M141="טרום מסירה מהנדס",".TMM",IF(M141="מסירת חזקה",".MH",IF(M141="מסירת חזקה מהנדס",".MHM",""))))),".",VLOOKUP(Check[[#This Row],[טיפוס]],Tipus[],5,FALSE),".",VLOOKUP(Check[[#This Row],[מגדל]],Tower,2,FALSE),".Ap.",Check[[#This Row],[מספר דירה]])</f>
        <v>O.S.3B.TS.Ap.139</v>
      </c>
      <c r="C141" s="3" t="s">
        <v>55</v>
      </c>
      <c r="D141" s="3">
        <v>17</v>
      </c>
      <c r="E141" s="4">
        <v>139</v>
      </c>
      <c r="F141" s="3">
        <v>1701</v>
      </c>
      <c r="G141" s="3" t="s">
        <v>19</v>
      </c>
      <c r="H141" s="3">
        <f>VLOOKUP(Check[[#This Row],[טיפוס]],Tipus[],2,FALSE)</f>
        <v>3</v>
      </c>
      <c r="I141" s="3" t="str">
        <f>VLOOKUP(Check[[#This Row],[טיפוס]],Tipus[],3,FALSE)</f>
        <v>סטנדרט</v>
      </c>
      <c r="J141" s="3" t="str">
        <f>VLOOKUP(Check[[#This Row],[טיפוס]],Tipus[],4,FALSE)</f>
        <v>G</v>
      </c>
      <c r="K141" s="3" t="str">
        <f>IF(Check[[#This Row],[סטטוס2]]="הולד","פנויה",Check[[#This Row],[סטטוס2]])</f>
        <v>בעלים</v>
      </c>
      <c r="L141" s="382" t="s">
        <v>91</v>
      </c>
      <c r="M141" s="382"/>
      <c r="N141" s="383"/>
      <c r="O141" s="383"/>
      <c r="P141" s="411"/>
      <c r="Q141" s="411"/>
      <c r="R141" s="383"/>
      <c r="S141" s="384">
        <v>44040</v>
      </c>
      <c r="T141" s="384" t="s">
        <v>432</v>
      </c>
      <c r="U141" s="385" t="s">
        <v>433</v>
      </c>
      <c r="V141" s="385" t="s">
        <v>214</v>
      </c>
      <c r="W141" s="385" t="s">
        <v>434</v>
      </c>
    </row>
    <row r="142" spans="1:23" x14ac:dyDescent="0.2">
      <c r="A142" s="13" t="str">
        <f>_xlfn.CONCAT(VLOOKUP(Check[[#This Row],[סטטוס]],Sold,2,FALSE),IF(Check[[#This Row],[סטטוס]]="פנויה",IF(N142="גמר מלא סטנדרט",".GMS",IF(N142="גמר מלא טיוב חומרים",".GMC",IF(N142="גמר מינימלי",".GM",IF(N142="דירת שיווק",".DS","")))),""),".",VLOOKUP(Check[[#This Row],[טיפוס]],Tipus[],5,FALSE),".",VLOOKUP(Check[[#This Row],[מגדל]],Tower,2,FALSE),".Ap.",Check[[#This Row],[מספר דירה]])</f>
        <v>S.S.3C.TS.Ap.140</v>
      </c>
      <c r="B142" s="13" t="str">
        <f>_xlfn.CONCAT(VLOOKUP(Check[[#This Row],[סטטוס]],Sold,2,FALSE),IF(Check[[#This Row],[סטטוס]]="פנויה",IF(N142="גמר מלא סטנדרט",".GMS",IF(N142="גמר מלא טיוב חומרים",".GMC",IF(N142="גמר מינימלי",".GM",IF(N142="דירת שיווק",".DS","")))),""),IF(M142="זומן לטרום",".ZLT",IF(M142="טרום מסירה",".TM",IF(M142="טרום מסירה מהנדס",".TMM",IF(M142="מסירת חזקה",".MH",IF(M142="מסירת חזקה מהנדס",".MHM",""))))),".",VLOOKUP(Check[[#This Row],[טיפוס]],Tipus[],5,FALSE),".",VLOOKUP(Check[[#This Row],[מגדל]],Tower,2,FALSE),".Ap.",Check[[#This Row],[מספר דירה]])</f>
        <v>S.S.3C.TS.Ap.140</v>
      </c>
      <c r="C142" s="3" t="s">
        <v>55</v>
      </c>
      <c r="D142" s="3">
        <v>17</v>
      </c>
      <c r="E142" s="4">
        <v>140</v>
      </c>
      <c r="F142" s="3">
        <v>1702</v>
      </c>
      <c r="G142" s="3" t="s">
        <v>18</v>
      </c>
      <c r="H142" s="3">
        <f>VLOOKUP(Check[[#This Row],[טיפוס]],Tipus[],2,FALSE)</f>
        <v>3</v>
      </c>
      <c r="I142" s="3" t="str">
        <f>VLOOKUP(Check[[#This Row],[טיפוס]],Tipus[],3,FALSE)</f>
        <v>סטנדרט</v>
      </c>
      <c r="J142" s="3" t="str">
        <f>VLOOKUP(Check[[#This Row],[טיפוס]],Tipus[],4,FALSE)</f>
        <v>E</v>
      </c>
      <c r="K142" s="3" t="str">
        <f>IF(Check[[#This Row],[סטטוס2]]="הולד","פנויה",Check[[#This Row],[סטטוס2]])</f>
        <v>מכורה</v>
      </c>
      <c r="L142" s="382" t="s">
        <v>130</v>
      </c>
      <c r="M142" s="382"/>
      <c r="N142" s="383"/>
      <c r="O142" s="383"/>
      <c r="P142" s="411"/>
      <c r="Q142" s="411"/>
      <c r="R142" s="383"/>
      <c r="S142" s="386">
        <v>44452</v>
      </c>
      <c r="T142" s="386" t="s">
        <v>1122</v>
      </c>
      <c r="U142" s="385" t="s">
        <v>973</v>
      </c>
      <c r="V142" s="387"/>
      <c r="W142" s="387"/>
    </row>
    <row r="143" spans="1:23" x14ac:dyDescent="0.2">
      <c r="A143" s="13" t="str">
        <f>_xlfn.CONCAT(VLOOKUP(Check[[#This Row],[סטטוס]],Sold,2,FALSE),IF(Check[[#This Row],[סטטוס]]="פנויה",IF(N143="גמר מלא סטנדרט",".GMS",IF(N143="גמר מלא טיוב חומרים",".GMC",IF(N143="גמר מינימלי",".GM",IF(N143="דירת שיווק",".DS","")))),""),".",VLOOKUP(Check[[#This Row],[טיפוס]],Tipus[],5,FALSE),".",VLOOKUP(Check[[#This Row],[מגדל]],Tower,2,FALSE),".Ap.",Check[[#This Row],[מספר דירה]])</f>
        <v>S.S.3A.TS.Ap.141</v>
      </c>
      <c r="B143" s="13" t="str">
        <f>_xlfn.CONCAT(VLOOKUP(Check[[#This Row],[סטטוס]],Sold,2,FALSE),IF(Check[[#This Row],[סטטוס]]="פנויה",IF(N143="גמר מלא סטנדרט",".GMS",IF(N143="גמר מלא טיוב חומרים",".GMC",IF(N143="גמר מינימלי",".GM",IF(N143="דירת שיווק",".DS","")))),""),IF(M143="זומן לטרום",".ZLT",IF(M143="טרום מסירה",".TM",IF(M143="טרום מסירה מהנדס",".TMM",IF(M143="מסירת חזקה",".MH",IF(M143="מסירת חזקה מהנדס",".MHM",""))))),".",VLOOKUP(Check[[#This Row],[טיפוס]],Tipus[],5,FALSE),".",VLOOKUP(Check[[#This Row],[מגדל]],Tower,2,FALSE),".Ap.",Check[[#This Row],[מספר דירה]])</f>
        <v>S.S.3A.TS.Ap.141</v>
      </c>
      <c r="C143" s="3" t="s">
        <v>55</v>
      </c>
      <c r="D143" s="3">
        <v>17</v>
      </c>
      <c r="E143" s="4">
        <v>141</v>
      </c>
      <c r="F143" s="3">
        <v>1703</v>
      </c>
      <c r="G143" s="3" t="s">
        <v>9</v>
      </c>
      <c r="H143" s="3">
        <f>VLOOKUP(Check[[#This Row],[טיפוס]],Tipus[],2,FALSE)</f>
        <v>3</v>
      </c>
      <c r="I143" s="3" t="str">
        <f>VLOOKUP(Check[[#This Row],[טיפוס]],Tipus[],3,FALSE)</f>
        <v>סטנדרט</v>
      </c>
      <c r="J143" s="3" t="str">
        <f>VLOOKUP(Check[[#This Row],[טיפוס]],Tipus[],4,FALSE)</f>
        <v>D</v>
      </c>
      <c r="K143" s="3" t="str">
        <f>IF(Check[[#This Row],[סטטוס2]]="הולד","פנויה",Check[[#This Row],[סטטוס2]])</f>
        <v>מכורה</v>
      </c>
      <c r="L143" s="382" t="s">
        <v>130</v>
      </c>
      <c r="M143" s="382"/>
      <c r="N143" s="383"/>
      <c r="O143" s="383"/>
      <c r="P143" s="411"/>
      <c r="Q143" s="411"/>
      <c r="R143" s="383"/>
      <c r="S143" s="386">
        <v>44440</v>
      </c>
      <c r="T143" s="386" t="s">
        <v>1071</v>
      </c>
      <c r="U143" s="385" t="s">
        <v>974</v>
      </c>
      <c r="V143" s="387"/>
      <c r="W143" s="387"/>
    </row>
    <row r="144" spans="1:23" x14ac:dyDescent="0.2">
      <c r="A144" s="13" t="str">
        <f>_xlfn.CONCAT(VLOOKUP(Check[[#This Row],[סטטוס]],Sold,2,FALSE),IF(Check[[#This Row],[סטטוס]]="פנויה",IF(N144="גמר מלא סטנדרט",".GMS",IF(N144="גמר מלא טיוב חומרים",".GMC",IF(N144="גמר מינימלי",".GM",IF(N144="דירת שיווק",".DS","")))),""),".",VLOOKUP(Check[[#This Row],[טיפוס]],Tipus[],5,FALSE),".",VLOOKUP(Check[[#This Row],[מגדל]],Tower,2,FALSE),".Ap.",Check[[#This Row],[מספר דירה]])</f>
        <v>S.S.3D.TS.Ap.142</v>
      </c>
      <c r="B144" s="13" t="str">
        <f>_xlfn.CONCAT(VLOOKUP(Check[[#This Row],[סטטוס]],Sold,2,FALSE),IF(Check[[#This Row],[סטטוס]]="פנויה",IF(N144="גמר מלא סטנדרט",".GMS",IF(N144="גמר מלא טיוב חומרים",".GMC",IF(N144="גמר מינימלי",".GM",IF(N144="דירת שיווק",".DS","")))),""),IF(M144="זומן לטרום",".ZLT",IF(M144="טרום מסירה",".TM",IF(M144="טרום מסירה מהנדס",".TMM",IF(M144="מסירת חזקה",".MH",IF(M144="מסירת חזקה מהנדס",".MHM",""))))),".",VLOOKUP(Check[[#This Row],[טיפוס]],Tipus[],5,FALSE),".",VLOOKUP(Check[[#This Row],[מגדל]],Tower,2,FALSE),".Ap.",Check[[#This Row],[מספר דירה]])</f>
        <v>S.S.3D.TS.Ap.142</v>
      </c>
      <c r="C144" s="3" t="s">
        <v>55</v>
      </c>
      <c r="D144" s="3">
        <v>17</v>
      </c>
      <c r="E144" s="4">
        <v>142</v>
      </c>
      <c r="F144" s="3">
        <v>1704</v>
      </c>
      <c r="G144" s="3" t="s">
        <v>21</v>
      </c>
      <c r="H144" s="3">
        <f>VLOOKUP(Check[[#This Row],[טיפוס]],Tipus[],2,FALSE)</f>
        <v>3</v>
      </c>
      <c r="I144" s="3" t="str">
        <f>VLOOKUP(Check[[#This Row],[טיפוס]],Tipus[],3,FALSE)</f>
        <v>סטנדרט</v>
      </c>
      <c r="J144" s="3" t="str">
        <f>VLOOKUP(Check[[#This Row],[טיפוס]],Tipus[],4,FALSE)</f>
        <v>C</v>
      </c>
      <c r="K144" s="3" t="str">
        <f>IF(Check[[#This Row],[סטטוס2]]="הולד","פנויה",Check[[#This Row],[סטטוס2]])</f>
        <v>מכורה</v>
      </c>
      <c r="L144" s="382" t="s">
        <v>130</v>
      </c>
      <c r="M144" s="382"/>
      <c r="N144" s="383"/>
      <c r="O144" s="383"/>
      <c r="P144" s="411"/>
      <c r="Q144" s="411"/>
      <c r="R144" s="383"/>
      <c r="S144" s="386">
        <v>44440</v>
      </c>
      <c r="T144" s="386" t="s">
        <v>1071</v>
      </c>
      <c r="U144" s="385" t="s">
        <v>975</v>
      </c>
      <c r="V144" s="385" t="s">
        <v>214</v>
      </c>
      <c r="W144" s="388" t="s">
        <v>976</v>
      </c>
    </row>
    <row r="145" spans="1:23" x14ac:dyDescent="0.2">
      <c r="A145" s="13" t="str">
        <f>_xlfn.CONCAT(VLOOKUP(Check[[#This Row],[סטטוס]],Sold,2,FALSE),IF(Check[[#This Row],[סטטוס]]="פנויה",IF(N145="גמר מלא סטנדרט",".GMS",IF(N145="גמר מלא טיוב חומרים",".GMC",IF(N145="גמר מינימלי",".GM",IF(N145="דירת שיווק",".DS","")))),""),".",VLOOKUP(Check[[#This Row],[טיפוס]],Tipus[],5,FALSE),".",VLOOKUP(Check[[#This Row],[מגדל]],Tower,2,FALSE),".Ap.",Check[[#This Row],[מספר דירה]])</f>
        <v>S.S.3E.TS.Ap.143</v>
      </c>
      <c r="B145" s="13" t="str">
        <f>_xlfn.CONCAT(VLOOKUP(Check[[#This Row],[סטטוס]],Sold,2,FALSE),IF(Check[[#This Row],[סטטוס]]="פנויה",IF(N145="גמר מלא סטנדרט",".GMS",IF(N145="גמר מלא טיוב חומרים",".GMC",IF(N145="גמר מינימלי",".GM",IF(N145="דירת שיווק",".DS","")))),""),IF(M145="זומן לטרום",".ZLT",IF(M145="טרום מסירה",".TM",IF(M145="טרום מסירה מהנדס",".TMM",IF(M145="מסירת חזקה",".MH",IF(M145="מסירת חזקה מהנדס",".MHM",""))))),".",VLOOKUP(Check[[#This Row],[טיפוס]],Tipus[],5,FALSE),".",VLOOKUP(Check[[#This Row],[מגדל]],Tower,2,FALSE),".Ap.",Check[[#This Row],[מספר דירה]])</f>
        <v>S.S.3E.TS.Ap.143</v>
      </c>
      <c r="C145" s="3" t="s">
        <v>55</v>
      </c>
      <c r="D145" s="3">
        <v>17</v>
      </c>
      <c r="E145" s="4">
        <v>143</v>
      </c>
      <c r="F145" s="3">
        <v>1705</v>
      </c>
      <c r="G145" s="3" t="s">
        <v>20</v>
      </c>
      <c r="H145" s="3">
        <f>VLOOKUP(Check[[#This Row],[טיפוס]],Tipus[],2,FALSE)</f>
        <v>3</v>
      </c>
      <c r="I145" s="3" t="str">
        <f>VLOOKUP(Check[[#This Row],[טיפוס]],Tipus[],3,FALSE)</f>
        <v>סטנדרט</v>
      </c>
      <c r="J145" s="3" t="str">
        <f>VLOOKUP(Check[[#This Row],[טיפוס]],Tipus[],4,FALSE)</f>
        <v>A</v>
      </c>
      <c r="K145" s="3" t="str">
        <f>IF(Check[[#This Row],[סטטוס2]]="הולד","פנויה",Check[[#This Row],[סטטוס2]])</f>
        <v>מכורה</v>
      </c>
      <c r="L145" s="382" t="s">
        <v>130</v>
      </c>
      <c r="M145" s="382"/>
      <c r="N145" s="383"/>
      <c r="O145" s="383"/>
      <c r="P145" s="411"/>
      <c r="Q145" s="411"/>
      <c r="R145" s="383"/>
      <c r="S145" s="386">
        <v>44440</v>
      </c>
      <c r="T145" s="386" t="s">
        <v>1071</v>
      </c>
      <c r="U145" s="385" t="s">
        <v>977</v>
      </c>
      <c r="V145" s="385" t="s">
        <v>214</v>
      </c>
      <c r="W145" s="388" t="s">
        <v>978</v>
      </c>
    </row>
    <row r="146" spans="1:23" x14ac:dyDescent="0.2">
      <c r="A146" s="13" t="str">
        <f>_xlfn.CONCAT(VLOOKUP(Check[[#This Row],[סטטוס]],Sold,2,FALSE),IF(Check[[#This Row],[סטטוס]]="פנויה",IF(N146="גמר מלא סטנדרט",".GMS",IF(N146="גמר מלא טיוב חומרים",".GMC",IF(N146="גמר מינימלי",".GM",IF(N146="דירת שיווק",".DS","")))),""),".",VLOOKUP(Check[[#This Row],[טיפוס]],Tipus[],5,FALSE),".",VLOOKUP(Check[[#This Row],[מגדל]],Tower,2,FALSE),".Ap.",Check[[#This Row],[מספר דירה]])</f>
        <v>S.S.4A.TS.Ap.144</v>
      </c>
      <c r="B146" s="13" t="str">
        <f>_xlfn.CONCAT(VLOOKUP(Check[[#This Row],[סטטוס]],Sold,2,FALSE),IF(Check[[#This Row],[סטטוס]]="פנויה",IF(N146="גמר מלא סטנדרט",".GMS",IF(N146="גמר מלא טיוב חומרים",".GMC",IF(N146="גמר מינימלי",".GM",IF(N146="דירת שיווק",".DS","")))),""),IF(M146="זומן לטרום",".ZLT",IF(M146="טרום מסירה",".TM",IF(M146="טרום מסירה מהנדס",".TMM",IF(M146="מסירת חזקה",".MH",IF(M146="מסירת חזקה מהנדס",".MHM",""))))),".",VLOOKUP(Check[[#This Row],[טיפוס]],Tipus[],5,FALSE),".",VLOOKUP(Check[[#This Row],[מגדל]],Tower,2,FALSE),".Ap.",Check[[#This Row],[מספר דירה]])</f>
        <v>S.S.4A.TS.Ap.144</v>
      </c>
      <c r="C146" s="3" t="s">
        <v>55</v>
      </c>
      <c r="D146" s="3">
        <v>17</v>
      </c>
      <c r="E146" s="4">
        <v>144</v>
      </c>
      <c r="F146" s="3">
        <v>1706</v>
      </c>
      <c r="G146" s="3" t="s">
        <v>14</v>
      </c>
      <c r="H146" s="3">
        <f>VLOOKUP(Check[[#This Row],[טיפוס]],Tipus[],2,FALSE)</f>
        <v>4</v>
      </c>
      <c r="I146" s="3" t="str">
        <f>VLOOKUP(Check[[#This Row],[טיפוס]],Tipus[],3,FALSE)</f>
        <v>סטנדרט</v>
      </c>
      <c r="J146" s="3" t="str">
        <f>VLOOKUP(Check[[#This Row],[טיפוס]],Tipus[],4,FALSE)</f>
        <v>J</v>
      </c>
      <c r="K146" s="3" t="str">
        <f>IF(Check[[#This Row],[סטטוס2]]="הולד","פנויה",Check[[#This Row],[סטטוס2]])</f>
        <v>מכורה</v>
      </c>
      <c r="L146" s="382" t="s">
        <v>130</v>
      </c>
      <c r="M146" s="382"/>
      <c r="N146" s="383"/>
      <c r="O146" s="383"/>
      <c r="P146" s="411"/>
      <c r="Q146" s="411"/>
      <c r="R146" s="383"/>
      <c r="S146" s="386">
        <v>44508</v>
      </c>
      <c r="T146" s="386" t="s">
        <v>1123</v>
      </c>
      <c r="U146" s="385" t="s">
        <v>979</v>
      </c>
      <c r="V146" s="387"/>
      <c r="W146" s="387"/>
    </row>
    <row r="147" spans="1:23" ht="78.75" x14ac:dyDescent="0.2">
      <c r="A147" s="13" t="str">
        <f>_xlfn.CONCAT(VLOOKUP(Check[[#This Row],[סטטוס]],Sold,2,FALSE),IF(Check[[#This Row],[סטטוס]]="פנויה",IF(N147="גמר מלא סטנדרט",".GMS",IF(N147="גמר מלא טיוב חומרים",".GMC",IF(N147="גמר מינימלי",".GM",IF(N147="דירת שיווק",".DS","")))),""),".",VLOOKUP(Check[[#This Row],[טיפוס]],Tipus[],5,FALSE),".",VLOOKUP(Check[[#This Row],[מגדל]],Tower,2,FALSE),".Ap.",Check[[#This Row],[מספר דירה]])</f>
        <v>V.GMC.S.2G.TS.Ap.145</v>
      </c>
      <c r="B147" s="13" t="str">
        <f>_xlfn.CONCAT(VLOOKUP(Check[[#This Row],[סטטוס]],Sold,2,FALSE),IF(Check[[#This Row],[סטטוס]]="פנויה",IF(N147="גמר מלא סטנדרט",".GMS",IF(N147="גמר מלא טיוב חומרים",".GMC",IF(N147="גמר מינימלי",".GM",IF(N147="דירת שיווק",".DS","")))),""),IF(M147="זומן לטרום",".ZLT",IF(M147="טרום מסירה",".TM",IF(M147="טרום מסירה מהנדס",".TMM",IF(M147="מסירת חזקה",".MH",IF(M147="מסירת חזקה מהנדס",".MHM",""))))),".",VLOOKUP(Check[[#This Row],[טיפוס]],Tipus[],5,FALSE),".",VLOOKUP(Check[[#This Row],[מגדל]],Tower,2,FALSE),".Ap.",Check[[#This Row],[מספר דירה]])</f>
        <v>V.GMC.S.2G.TS.Ap.145</v>
      </c>
      <c r="C147" s="3" t="s">
        <v>55</v>
      </c>
      <c r="D147" s="3">
        <v>17</v>
      </c>
      <c r="E147" s="4">
        <v>145</v>
      </c>
      <c r="F147" s="3">
        <v>1707</v>
      </c>
      <c r="G147" s="3" t="s">
        <v>15</v>
      </c>
      <c r="H147" s="3">
        <f>VLOOKUP(Check[[#This Row],[טיפוס]],Tipus[],2,FALSE)</f>
        <v>2</v>
      </c>
      <c r="I147" s="3" t="str">
        <f>VLOOKUP(Check[[#This Row],[טיפוס]],Tipus[],3,FALSE)</f>
        <v>סטנדרט</v>
      </c>
      <c r="J147" s="3" t="str">
        <f>VLOOKUP(Check[[#This Row],[טיפוס]],Tipus[],4,FALSE)</f>
        <v>I</v>
      </c>
      <c r="K147" s="3" t="str">
        <f>IF(Check[[#This Row],[סטטוס2]]="הולד","פנויה",Check[[#This Row],[סטטוס2]])</f>
        <v>פנויה</v>
      </c>
      <c r="L147" s="382" t="s">
        <v>108</v>
      </c>
      <c r="M147" s="382"/>
      <c r="N147" t="s">
        <v>1417</v>
      </c>
      <c r="O147" s="429" t="s">
        <v>1411</v>
      </c>
      <c r="P147" s="410" t="s">
        <v>1385</v>
      </c>
      <c r="Q147" s="410" t="s">
        <v>1393</v>
      </c>
      <c r="R147" s="383"/>
      <c r="S147" s="384"/>
      <c r="T147" s="398"/>
      <c r="U147" s="385"/>
      <c r="V147" s="385"/>
      <c r="W147" s="387"/>
    </row>
    <row r="148" spans="1:23" ht="84.75" customHeight="1" x14ac:dyDescent="0.2">
      <c r="A148" s="13" t="str">
        <f>_xlfn.CONCAT(VLOOKUP(Check[[#This Row],[סטטוס]],Sold,2,FALSE),IF(Check[[#This Row],[סטטוס]]="פנויה",IF(N148="גמר מלא סטנדרט",".GMS",IF(N148="גמר מלא טיוב חומרים",".GMC",IF(N148="גמר מינימלי",".GM",IF(N148="דירת שיווק",".DS","")))),""),".",VLOOKUP(Check[[#This Row],[טיפוס]],Tipus[],5,FALSE),".",VLOOKUP(Check[[#This Row],[מגדל]],Tower,2,FALSE),".Ap.",Check[[#This Row],[מספר דירה]])</f>
        <v>V.GMC.S.4B.TS.Ap.146</v>
      </c>
      <c r="B148" s="13" t="str">
        <f>_xlfn.CONCAT(VLOOKUP(Check[[#This Row],[סטטוס]],Sold,2,FALSE),IF(Check[[#This Row],[סטטוס]]="פנויה",IF(N148="גמר מלא סטנדרט",".GMS",IF(N148="גמר מלא טיוב חומרים",".GMC",IF(N148="גמר מינימלי",".GM",IF(N148="דירת שיווק",".DS","")))),""),IF(M148="זומן לטרום",".ZLT",IF(M148="טרום מסירה",".TM",IF(M148="טרום מסירה מהנדס",".TMM",IF(M148="מסירת חזקה",".MH",IF(M148="מסירת חזקה מהנדס",".MHM",""))))),".",VLOOKUP(Check[[#This Row],[טיפוס]],Tipus[],5,FALSE),".",VLOOKUP(Check[[#This Row],[מגדל]],Tower,2,FALSE),".Ap.",Check[[#This Row],[מספר דירה]])</f>
        <v>V.GMC.S.4B.TS.Ap.146</v>
      </c>
      <c r="C148" s="3" t="s">
        <v>55</v>
      </c>
      <c r="D148" s="3">
        <v>17</v>
      </c>
      <c r="E148" s="4">
        <v>146</v>
      </c>
      <c r="F148" s="3">
        <v>1708</v>
      </c>
      <c r="G148" s="3" t="s">
        <v>16</v>
      </c>
      <c r="H148" s="3">
        <f>VLOOKUP(Check[[#This Row],[טיפוס]],Tipus[],2,FALSE)</f>
        <v>4</v>
      </c>
      <c r="I148" s="3" t="str">
        <f>VLOOKUP(Check[[#This Row],[טיפוס]],Tipus[],3,FALSE)</f>
        <v>סטנדרט</v>
      </c>
      <c r="J148" s="3" t="str">
        <f>VLOOKUP(Check[[#This Row],[טיפוס]],Tipus[],4,FALSE)</f>
        <v>H</v>
      </c>
      <c r="K148" s="3" t="str">
        <f>IF(Check[[#This Row],[סטטוס2]]="הולד","פנויה",Check[[#This Row],[סטטוס2]])</f>
        <v>פנויה</v>
      </c>
      <c r="L148" s="382" t="s">
        <v>108</v>
      </c>
      <c r="M148" s="382"/>
      <c r="N148" t="s">
        <v>1417</v>
      </c>
      <c r="O148" s="422" t="s">
        <v>1396</v>
      </c>
      <c r="P148" s="410" t="s">
        <v>1389</v>
      </c>
      <c r="Q148" s="410" t="s">
        <v>1393</v>
      </c>
      <c r="R148" s="383"/>
      <c r="S148" s="384"/>
      <c r="T148" s="398"/>
      <c r="U148" s="385"/>
      <c r="V148" s="385"/>
      <c r="W148" s="387"/>
    </row>
    <row r="149" spans="1:23" x14ac:dyDescent="0.2">
      <c r="A149" s="13" t="str">
        <f>_xlfn.CONCAT(VLOOKUP(Check[[#This Row],[סטטוס]],Sold,2,FALSE),IF(Check[[#This Row],[סטטוס]]="פנויה",IF(N149="גמר מלא סטנדרט",".GMS",IF(N149="גמר מלא טיוב חומרים",".GMC",IF(N149="גמר מינימלי",".GM",IF(N149="דירת שיווק",".DS","")))),""),".",VLOOKUP(Check[[#This Row],[טיפוס]],Tipus[],5,FALSE),".",VLOOKUP(Check[[#This Row],[מגדל]],Tower,2,FALSE),".Ap.",Check[[#This Row],[מספר דירה]])</f>
        <v>V.GMS.S.3B.TS.Ap.147</v>
      </c>
      <c r="B149" s="13" t="str">
        <f>_xlfn.CONCAT(VLOOKUP(Check[[#This Row],[סטטוס]],Sold,2,FALSE),IF(Check[[#This Row],[סטטוס]]="פנויה",IF(N149="גמר מלא סטנדרט",".GMS",IF(N149="גמר מלא טיוב חומרים",".GMC",IF(N149="גמר מינימלי",".GM",IF(N149="דירת שיווק",".DS","")))),""),IF(M149="זומן לטרום",".ZLT",IF(M149="טרום מסירה",".TM",IF(M149="טרום מסירה מהנדס",".TMM",IF(M149="מסירת חזקה",".MH",IF(M149="מסירת חזקה מהנדס",".MHM",""))))),".",VLOOKUP(Check[[#This Row],[טיפוס]],Tipus[],5,FALSE),".",VLOOKUP(Check[[#This Row],[מגדל]],Tower,2,FALSE),".Ap.",Check[[#This Row],[מספר דירה]])</f>
        <v>V.GMS.S.3B.TS.Ap.147</v>
      </c>
      <c r="C149" s="3" t="s">
        <v>55</v>
      </c>
      <c r="D149" s="3">
        <v>18</v>
      </c>
      <c r="E149" s="4">
        <v>147</v>
      </c>
      <c r="F149" s="3">
        <v>1801</v>
      </c>
      <c r="G149" s="3" t="s">
        <v>19</v>
      </c>
      <c r="H149" s="3">
        <f>VLOOKUP(Check[[#This Row],[טיפוס]],Tipus[],2,FALSE)</f>
        <v>3</v>
      </c>
      <c r="I149" s="3" t="str">
        <f>VLOOKUP(Check[[#This Row],[טיפוס]],Tipus[],3,FALSE)</f>
        <v>סטנדרט</v>
      </c>
      <c r="J149" s="3" t="str">
        <f>VLOOKUP(Check[[#This Row],[טיפוס]],Tipus[],4,FALSE)</f>
        <v>G</v>
      </c>
      <c r="K149" s="3" t="str">
        <f>IF(Check[[#This Row],[סטטוס2]]="הולד","פנויה",Check[[#This Row],[סטטוס2]])</f>
        <v>פנויה</v>
      </c>
      <c r="L149" s="382" t="s">
        <v>108</v>
      </c>
      <c r="M149" s="382"/>
      <c r="N149" t="s">
        <v>1367</v>
      </c>
      <c r="O149" s="383" t="s">
        <v>1390</v>
      </c>
      <c r="P149" s="410" t="s">
        <v>1389</v>
      </c>
      <c r="Q149" s="410"/>
      <c r="R149" s="383"/>
      <c r="S149" s="384"/>
      <c r="T149" s="384" t="s">
        <v>214</v>
      </c>
      <c r="U149" s="385"/>
      <c r="V149" s="385"/>
      <c r="W149" s="387"/>
    </row>
    <row r="150" spans="1:23" x14ac:dyDescent="0.2">
      <c r="A150" s="13" t="str">
        <f>_xlfn.CONCAT(VLOOKUP(Check[[#This Row],[סטטוס]],Sold,2,FALSE),IF(Check[[#This Row],[סטטוס]]="פנויה",IF(N150="גמר מלא סטנדרט",".GMS",IF(N150="גמר מלא טיוב חומרים",".GMC",IF(N150="גמר מינימלי",".GM",IF(N150="דירת שיווק",".DS","")))),""),".",VLOOKUP(Check[[#This Row],[טיפוס]],Tipus[],5,FALSE),".",VLOOKUP(Check[[#This Row],[מגדל]],Tower,2,FALSE),".Ap.",Check[[#This Row],[מספר דירה]])</f>
        <v>S.S.3C.TS.Ap.148</v>
      </c>
      <c r="B150" s="13" t="str">
        <f>_xlfn.CONCAT(VLOOKUP(Check[[#This Row],[סטטוס]],Sold,2,FALSE),IF(Check[[#This Row],[סטטוס]]="פנויה",IF(N150="גמר מלא סטנדרט",".GMS",IF(N150="גמר מלא טיוב חומרים",".GMC",IF(N150="גמר מינימלי",".GM",IF(N150="דירת שיווק",".DS","")))),""),IF(M150="זומן לטרום",".ZLT",IF(M150="טרום מסירה",".TM",IF(M150="טרום מסירה מהנדס",".TMM",IF(M150="מסירת חזקה",".MH",IF(M150="מסירת חזקה מהנדס",".MHM",""))))),".",VLOOKUP(Check[[#This Row],[טיפוס]],Tipus[],5,FALSE),".",VLOOKUP(Check[[#This Row],[מגדל]],Tower,2,FALSE),".Ap.",Check[[#This Row],[מספר דירה]])</f>
        <v>S.S.3C.TS.Ap.148</v>
      </c>
      <c r="C150" s="3" t="s">
        <v>55</v>
      </c>
      <c r="D150" s="3">
        <v>18</v>
      </c>
      <c r="E150" s="4">
        <v>148</v>
      </c>
      <c r="F150" s="3">
        <v>1802</v>
      </c>
      <c r="G150" s="3" t="s">
        <v>18</v>
      </c>
      <c r="H150" s="3">
        <f>VLOOKUP(Check[[#This Row],[טיפוס]],Tipus[],2,FALSE)</f>
        <v>3</v>
      </c>
      <c r="I150" s="3" t="str">
        <f>VLOOKUP(Check[[#This Row],[טיפוס]],Tipus[],3,FALSE)</f>
        <v>סטנדרט</v>
      </c>
      <c r="J150" s="3" t="str">
        <f>VLOOKUP(Check[[#This Row],[טיפוס]],Tipus[],4,FALSE)</f>
        <v>E</v>
      </c>
      <c r="K150" s="3" t="str">
        <f>IF(Check[[#This Row],[סטטוס2]]="הולד","פנויה",Check[[#This Row],[סטטוס2]])</f>
        <v>מכורה</v>
      </c>
      <c r="L150" s="382" t="s">
        <v>130</v>
      </c>
      <c r="M150" s="382"/>
      <c r="N150" s="383"/>
      <c r="O150" s="383"/>
      <c r="P150" s="411"/>
      <c r="Q150" s="411"/>
      <c r="R150" s="383"/>
      <c r="S150" s="386">
        <v>44472</v>
      </c>
      <c r="T150" s="386" t="s">
        <v>683</v>
      </c>
      <c r="U150" s="385" t="s">
        <v>980</v>
      </c>
      <c r="V150" s="387"/>
      <c r="W150" s="387"/>
    </row>
    <row r="151" spans="1:23" x14ac:dyDescent="0.2">
      <c r="A151" s="13" t="str">
        <f>_xlfn.CONCAT(VLOOKUP(Check[[#This Row],[סטטוס]],Sold,2,FALSE),IF(Check[[#This Row],[סטטוס]]="פנויה",IF(N151="גמר מלא סטנדרט",".GMS",IF(N151="גמר מלא טיוב חומרים",".GMC",IF(N151="גמר מינימלי",".GM",IF(N151="דירת שיווק",".DS","")))),""),".",VLOOKUP(Check[[#This Row],[טיפוס]],Tipus[],5,FALSE),".",VLOOKUP(Check[[#This Row],[מגדל]],Tower,2,FALSE),".Ap.",Check[[#This Row],[מספר דירה]])</f>
        <v>S.S.3A.TS.Ap.149</v>
      </c>
      <c r="B151" s="13" t="str">
        <f>_xlfn.CONCAT(VLOOKUP(Check[[#This Row],[סטטוס]],Sold,2,FALSE),IF(Check[[#This Row],[סטטוס]]="פנויה",IF(N151="גמר מלא סטנדרט",".GMS",IF(N151="גמר מלא טיוב חומרים",".GMC",IF(N151="גמר מינימלי",".GM",IF(N151="דירת שיווק",".DS","")))),""),IF(M151="זומן לטרום",".ZLT",IF(M151="טרום מסירה",".TM",IF(M151="טרום מסירה מהנדס",".TMM",IF(M151="מסירת חזקה",".MH",IF(M151="מסירת חזקה מהנדס",".MHM",""))))),".",VLOOKUP(Check[[#This Row],[טיפוס]],Tipus[],5,FALSE),".",VLOOKUP(Check[[#This Row],[מגדל]],Tower,2,FALSE),".Ap.",Check[[#This Row],[מספר דירה]])</f>
        <v>S.S.3A.TS.Ap.149</v>
      </c>
      <c r="C151" s="3" t="s">
        <v>55</v>
      </c>
      <c r="D151" s="3">
        <v>18</v>
      </c>
      <c r="E151" s="4">
        <v>149</v>
      </c>
      <c r="F151" s="3">
        <v>1803</v>
      </c>
      <c r="G151" s="3" t="s">
        <v>9</v>
      </c>
      <c r="H151" s="3">
        <f>VLOOKUP(Check[[#This Row],[טיפוס]],Tipus[],2,FALSE)</f>
        <v>3</v>
      </c>
      <c r="I151" s="3" t="str">
        <f>VLOOKUP(Check[[#This Row],[טיפוס]],Tipus[],3,FALSE)</f>
        <v>סטנדרט</v>
      </c>
      <c r="J151" s="3" t="str">
        <f>VLOOKUP(Check[[#This Row],[טיפוס]],Tipus[],4,FALSE)</f>
        <v>D</v>
      </c>
      <c r="K151" s="3" t="str">
        <f>IF(Check[[#This Row],[סטטוס2]]="הולד","פנויה",Check[[#This Row],[סטטוס2]])</f>
        <v>מכורה</v>
      </c>
      <c r="L151" s="382" t="s">
        <v>130</v>
      </c>
      <c r="M151" s="382"/>
      <c r="N151" s="383"/>
      <c r="O151" s="383"/>
      <c r="P151" s="411"/>
      <c r="Q151" s="411"/>
      <c r="R151" s="383"/>
      <c r="S151" s="386">
        <v>44440</v>
      </c>
      <c r="T151" s="386" t="s">
        <v>1124</v>
      </c>
      <c r="U151" s="385" t="s">
        <v>981</v>
      </c>
      <c r="V151" s="387"/>
      <c r="W151" s="387"/>
    </row>
    <row r="152" spans="1:23" x14ac:dyDescent="0.2">
      <c r="A152" s="13" t="str">
        <f>_xlfn.CONCAT(VLOOKUP(Check[[#This Row],[סטטוס]],Sold,2,FALSE),IF(Check[[#This Row],[סטטוס]]="פנויה",IF(N152="גמר מלא סטנדרט",".GMS",IF(N152="גמר מלא טיוב חומרים",".GMC",IF(N152="גמר מינימלי",".GM",IF(N152="דירת שיווק",".DS","")))),""),".",VLOOKUP(Check[[#This Row],[טיפוס]],Tipus[],5,FALSE),".",VLOOKUP(Check[[#This Row],[מגדל]],Tower,2,FALSE),".Ap.",Check[[#This Row],[מספר דירה]])</f>
        <v>S.S.3D.TS.Ap.150</v>
      </c>
      <c r="B152" s="13" t="str">
        <f>_xlfn.CONCAT(VLOOKUP(Check[[#This Row],[סטטוס]],Sold,2,FALSE),IF(Check[[#This Row],[סטטוס]]="פנויה",IF(N152="גמר מלא סטנדרט",".GMS",IF(N152="גמר מלא טיוב חומרים",".GMC",IF(N152="גמר מינימלי",".GM",IF(N152="דירת שיווק",".DS","")))),""),IF(M152="זומן לטרום",".ZLT",IF(M152="טרום מסירה",".TM",IF(M152="טרום מסירה מהנדס",".TMM",IF(M152="מסירת חזקה",".MH",IF(M152="מסירת חזקה מהנדס",".MHM",""))))),".",VLOOKUP(Check[[#This Row],[טיפוס]],Tipus[],5,FALSE),".",VLOOKUP(Check[[#This Row],[מגדל]],Tower,2,FALSE),".Ap.",Check[[#This Row],[מספר דירה]])</f>
        <v>S.S.3D.TS.Ap.150</v>
      </c>
      <c r="C152" s="3" t="s">
        <v>55</v>
      </c>
      <c r="D152" s="3">
        <v>18</v>
      </c>
      <c r="E152" s="4">
        <v>150</v>
      </c>
      <c r="F152" s="3">
        <v>1804</v>
      </c>
      <c r="G152" s="3" t="s">
        <v>21</v>
      </c>
      <c r="H152" s="3">
        <f>VLOOKUP(Check[[#This Row],[טיפוס]],Tipus[],2,FALSE)</f>
        <v>3</v>
      </c>
      <c r="I152" s="3" t="str">
        <f>VLOOKUP(Check[[#This Row],[טיפוס]],Tipus[],3,FALSE)</f>
        <v>סטנדרט</v>
      </c>
      <c r="J152" s="3" t="str">
        <f>VLOOKUP(Check[[#This Row],[טיפוס]],Tipus[],4,FALSE)</f>
        <v>C</v>
      </c>
      <c r="K152" s="3" t="str">
        <f>IF(Check[[#This Row],[סטטוס2]]="הולד","פנויה",Check[[#This Row],[סטטוס2]])</f>
        <v>מכורה</v>
      </c>
      <c r="L152" s="382" t="s">
        <v>130</v>
      </c>
      <c r="M152" s="382"/>
      <c r="N152" s="383"/>
      <c r="O152" s="383"/>
      <c r="P152" s="411"/>
      <c r="Q152" s="411"/>
      <c r="R152" s="383"/>
      <c r="S152" s="386">
        <v>44748</v>
      </c>
      <c r="T152" s="386" t="s">
        <v>1125</v>
      </c>
      <c r="U152" s="385" t="s">
        <v>982</v>
      </c>
      <c r="V152" s="385" t="s">
        <v>214</v>
      </c>
      <c r="W152" s="388" t="s">
        <v>983</v>
      </c>
    </row>
    <row r="153" spans="1:23" x14ac:dyDescent="0.2">
      <c r="A153" s="13" t="str">
        <f>_xlfn.CONCAT(VLOOKUP(Check[[#This Row],[סטטוס]],Sold,2,FALSE),IF(Check[[#This Row],[סטטוס]]="פנויה",IF(N153="גמר מלא סטנדרט",".GMS",IF(N153="גמר מלא טיוב חומרים",".GMC",IF(N153="גמר מינימלי",".GM",IF(N153="דירת שיווק",".DS","")))),""),".",VLOOKUP(Check[[#This Row],[טיפוס]],Tipus[],5,FALSE),".",VLOOKUP(Check[[#This Row],[מגדל]],Tower,2,FALSE),".Ap.",Check[[#This Row],[מספר דירה]])</f>
        <v>S.S.3E.TS.Ap.151</v>
      </c>
      <c r="B153" s="13" t="str">
        <f>_xlfn.CONCAT(VLOOKUP(Check[[#This Row],[סטטוס]],Sold,2,FALSE),IF(Check[[#This Row],[סטטוס]]="פנויה",IF(N153="גמר מלא סטנדרט",".GMS",IF(N153="גמר מלא טיוב חומרים",".GMC",IF(N153="גמר מינימלי",".GM",IF(N153="דירת שיווק",".DS","")))),""),IF(M153="זומן לטרום",".ZLT",IF(M153="טרום מסירה",".TM",IF(M153="טרום מסירה מהנדס",".TMM",IF(M153="מסירת חזקה",".MH",IF(M153="מסירת חזקה מהנדס",".MHM",""))))),".",VLOOKUP(Check[[#This Row],[טיפוס]],Tipus[],5,FALSE),".",VLOOKUP(Check[[#This Row],[מגדל]],Tower,2,FALSE),".Ap.",Check[[#This Row],[מספר דירה]])</f>
        <v>S.S.3E.TS.Ap.151</v>
      </c>
      <c r="C153" s="3" t="s">
        <v>55</v>
      </c>
      <c r="D153" s="3">
        <v>18</v>
      </c>
      <c r="E153" s="4">
        <v>151</v>
      </c>
      <c r="F153" s="3">
        <v>1805</v>
      </c>
      <c r="G153" s="3" t="s">
        <v>20</v>
      </c>
      <c r="H153" s="3">
        <f>VLOOKUP(Check[[#This Row],[טיפוס]],Tipus[],2,FALSE)</f>
        <v>3</v>
      </c>
      <c r="I153" s="3" t="str">
        <f>VLOOKUP(Check[[#This Row],[טיפוס]],Tipus[],3,FALSE)</f>
        <v>סטנדרט</v>
      </c>
      <c r="J153" s="3" t="str">
        <f>VLOOKUP(Check[[#This Row],[טיפוס]],Tipus[],4,FALSE)</f>
        <v>A</v>
      </c>
      <c r="K153" s="3" t="str">
        <f>IF(Check[[#This Row],[סטטוס2]]="הולד","פנויה",Check[[#This Row],[סטטוס2]])</f>
        <v>מכורה</v>
      </c>
      <c r="L153" s="382" t="s">
        <v>130</v>
      </c>
      <c r="M153" s="382"/>
      <c r="N153" s="383"/>
      <c r="O153" s="383"/>
      <c r="P153" s="411"/>
      <c r="Q153" s="411"/>
      <c r="R153" s="383"/>
      <c r="S153" s="386">
        <v>44468</v>
      </c>
      <c r="T153" s="386" t="s">
        <v>1126</v>
      </c>
      <c r="U153" s="385" t="s">
        <v>984</v>
      </c>
      <c r="V153" s="387"/>
      <c r="W153" s="387"/>
    </row>
    <row r="154" spans="1:23" x14ac:dyDescent="0.2">
      <c r="A154" s="13" t="str">
        <f>_xlfn.CONCAT(VLOOKUP(Check[[#This Row],[סטטוס]],Sold,2,FALSE),IF(Check[[#This Row],[סטטוס]]="פנויה",IF(N154="גמר מלא סטנדרט",".GMS",IF(N154="גמר מלא טיוב חומרים",".GMC",IF(N154="גמר מינימלי",".GM",IF(N154="דירת שיווק",".DS","")))),""),".",VLOOKUP(Check[[#This Row],[טיפוס]],Tipus[],5,FALSE),".",VLOOKUP(Check[[#This Row],[מגדל]],Tower,2,FALSE),".Ap.",Check[[#This Row],[מספר דירה]])</f>
        <v>O.S.4A.TS.Ap.152</v>
      </c>
      <c r="B154" s="13" t="str">
        <f>_xlfn.CONCAT(VLOOKUP(Check[[#This Row],[סטטוס]],Sold,2,FALSE),IF(Check[[#This Row],[סטטוס]]="פנויה",IF(N154="גמר מלא סטנדרט",".GMS",IF(N154="גמר מלא טיוב חומרים",".GMC",IF(N154="גמר מינימלי",".GM",IF(N154="דירת שיווק",".DS","")))),""),IF(M154="זומן לטרום",".ZLT",IF(M154="טרום מסירה",".TM",IF(M154="טרום מסירה מהנדס",".TMM",IF(M154="מסירת חזקה",".MH",IF(M154="מסירת חזקה מהנדס",".MHM",""))))),".",VLOOKUP(Check[[#This Row],[טיפוס]],Tipus[],5,FALSE),".",VLOOKUP(Check[[#This Row],[מגדל]],Tower,2,FALSE),".Ap.",Check[[#This Row],[מספר דירה]])</f>
        <v>O.S.4A.TS.Ap.152</v>
      </c>
      <c r="C154" s="3" t="s">
        <v>55</v>
      </c>
      <c r="D154" s="3">
        <v>18</v>
      </c>
      <c r="E154" s="4">
        <v>152</v>
      </c>
      <c r="F154" s="3">
        <v>1806</v>
      </c>
      <c r="G154" s="3" t="s">
        <v>14</v>
      </c>
      <c r="H154" s="3">
        <f>VLOOKUP(Check[[#This Row],[טיפוס]],Tipus[],2,FALSE)</f>
        <v>4</v>
      </c>
      <c r="I154" s="3" t="str">
        <f>VLOOKUP(Check[[#This Row],[טיפוס]],Tipus[],3,FALSE)</f>
        <v>סטנדרט</v>
      </c>
      <c r="J154" s="3" t="str">
        <f>VLOOKUP(Check[[#This Row],[טיפוס]],Tipus[],4,FALSE)</f>
        <v>J</v>
      </c>
      <c r="K154" s="3" t="str">
        <f>IF(Check[[#This Row],[סטטוס2]]="הולד","פנויה",Check[[#This Row],[סטטוס2]])</f>
        <v>בעלים</v>
      </c>
      <c r="L154" s="382" t="s">
        <v>91</v>
      </c>
      <c r="M154" s="382"/>
      <c r="N154" s="383"/>
      <c r="O154" s="383"/>
      <c r="P154" s="411"/>
      <c r="Q154" s="411"/>
      <c r="R154" s="383"/>
      <c r="S154" s="384">
        <v>44040</v>
      </c>
      <c r="T154" s="384" t="s">
        <v>1127</v>
      </c>
      <c r="U154" s="385" t="s">
        <v>435</v>
      </c>
      <c r="V154" s="385" t="s">
        <v>214</v>
      </c>
      <c r="W154" s="385" t="s">
        <v>436</v>
      </c>
    </row>
    <row r="155" spans="1:23" ht="78.75" x14ac:dyDescent="0.2">
      <c r="A155" s="13" t="str">
        <f>_xlfn.CONCAT(VLOOKUP(Check[[#This Row],[סטטוס]],Sold,2,FALSE),IF(Check[[#This Row],[סטטוס]]="פנויה",IF(N155="גמר מלא סטנדרט",".GMS",IF(N155="גמר מלא טיוב חומרים",".GMC",IF(N155="גמר מינימלי",".GM",IF(N155="דירת שיווק",".DS","")))),""),".",VLOOKUP(Check[[#This Row],[טיפוס]],Tipus[],5,FALSE),".",VLOOKUP(Check[[#This Row],[מגדל]],Tower,2,FALSE),".Ap.",Check[[#This Row],[מספר דירה]])</f>
        <v>V.GMC.S.2G.TS.Ap.153</v>
      </c>
      <c r="B155" s="13" t="str">
        <f>_xlfn.CONCAT(VLOOKUP(Check[[#This Row],[סטטוס]],Sold,2,FALSE),IF(Check[[#This Row],[סטטוס]]="פנויה",IF(N155="גמר מלא סטנדרט",".GMS",IF(N155="גמר מלא טיוב חומרים",".GMC",IF(N155="גמר מינימלי",".GM",IF(N155="דירת שיווק",".DS","")))),""),IF(M155="זומן לטרום",".ZLT",IF(M155="טרום מסירה",".TM",IF(M155="טרום מסירה מהנדס",".TMM",IF(M155="מסירת חזקה",".MH",IF(M155="מסירת חזקה מהנדס",".MHM",""))))),".",VLOOKUP(Check[[#This Row],[טיפוס]],Tipus[],5,FALSE),".",VLOOKUP(Check[[#This Row],[מגדל]],Tower,2,FALSE),".Ap.",Check[[#This Row],[מספר דירה]])</f>
        <v>V.GMC.S.2G.TS.Ap.153</v>
      </c>
      <c r="C155" s="3" t="s">
        <v>55</v>
      </c>
      <c r="D155" s="3">
        <v>18</v>
      </c>
      <c r="E155" s="4">
        <v>153</v>
      </c>
      <c r="F155" s="3">
        <v>1807</v>
      </c>
      <c r="G155" s="3" t="s">
        <v>15</v>
      </c>
      <c r="H155" s="3">
        <f>VLOOKUP(Check[[#This Row],[טיפוס]],Tipus[],2,FALSE)</f>
        <v>2</v>
      </c>
      <c r="I155" s="3" t="str">
        <f>VLOOKUP(Check[[#This Row],[טיפוס]],Tipus[],3,FALSE)</f>
        <v>סטנדרט</v>
      </c>
      <c r="J155" s="3" t="str">
        <f>VLOOKUP(Check[[#This Row],[טיפוס]],Tipus[],4,FALSE)</f>
        <v>I</v>
      </c>
      <c r="K155" s="3" t="str">
        <f>IF(Check[[#This Row],[סטטוס2]]="הולד","פנויה",Check[[#This Row],[סטטוס2]])</f>
        <v>פנויה</v>
      </c>
      <c r="L155" s="382" t="s">
        <v>108</v>
      </c>
      <c r="M155" s="382"/>
      <c r="N155" t="s">
        <v>1417</v>
      </c>
      <c r="O155" s="422" t="s">
        <v>1396</v>
      </c>
      <c r="P155" s="410" t="s">
        <v>1385</v>
      </c>
      <c r="Q155" s="410" t="s">
        <v>1393</v>
      </c>
      <c r="R155" s="383"/>
      <c r="S155" s="384"/>
      <c r="T155" s="398"/>
      <c r="U155" s="385"/>
      <c r="V155" s="385"/>
      <c r="W155" s="387"/>
    </row>
    <row r="156" spans="1:23" ht="78.75" x14ac:dyDescent="0.2">
      <c r="A156" s="13" t="str">
        <f>_xlfn.CONCAT(VLOOKUP(Check[[#This Row],[סטטוס]],Sold,2,FALSE),IF(Check[[#This Row],[סטטוס]]="פנויה",IF(N156="גמר מלא סטנדרט",".GMS",IF(N156="גמר מלא טיוב חומרים",".GMC",IF(N156="גמר מינימלי",".GM",IF(N156="דירת שיווק",".DS","")))),""),".",VLOOKUP(Check[[#This Row],[טיפוס]],Tipus[],5,FALSE),".",VLOOKUP(Check[[#This Row],[מגדל]],Tower,2,FALSE),".Ap.",Check[[#This Row],[מספר דירה]])</f>
        <v>V.GMC.S.4B.TS.Ap.154</v>
      </c>
      <c r="B156" s="13" t="str">
        <f>_xlfn.CONCAT(VLOOKUP(Check[[#This Row],[סטטוס]],Sold,2,FALSE),IF(Check[[#This Row],[סטטוס]]="פנויה",IF(N156="גמר מלא סטנדרט",".GMS",IF(N156="גמר מלא טיוב חומרים",".GMC",IF(N156="גמר מינימלי",".GM",IF(N156="דירת שיווק",".DS","")))),""),IF(M156="זומן לטרום",".ZLT",IF(M156="טרום מסירה",".TM",IF(M156="טרום מסירה מהנדס",".TMM",IF(M156="מסירת חזקה",".MH",IF(M156="מסירת חזקה מהנדס",".MHM",""))))),".",VLOOKUP(Check[[#This Row],[טיפוס]],Tipus[],5,FALSE),".",VLOOKUP(Check[[#This Row],[מגדל]],Tower,2,FALSE),".Ap.",Check[[#This Row],[מספר דירה]])</f>
        <v>V.GMC.S.4B.TS.Ap.154</v>
      </c>
      <c r="C156" s="3" t="s">
        <v>55</v>
      </c>
      <c r="D156" s="3">
        <v>18</v>
      </c>
      <c r="E156" s="4">
        <v>154</v>
      </c>
      <c r="F156" s="3">
        <v>1808</v>
      </c>
      <c r="G156" s="3" t="s">
        <v>16</v>
      </c>
      <c r="H156" s="3">
        <f>VLOOKUP(Check[[#This Row],[טיפוס]],Tipus[],2,FALSE)</f>
        <v>4</v>
      </c>
      <c r="I156" s="3" t="str">
        <f>VLOOKUP(Check[[#This Row],[טיפוס]],Tipus[],3,FALSE)</f>
        <v>סטנדרט</v>
      </c>
      <c r="J156" s="3" t="str">
        <f>VLOOKUP(Check[[#This Row],[טיפוס]],Tipus[],4,FALSE)</f>
        <v>H</v>
      </c>
      <c r="K156" s="3" t="str">
        <f>IF(Check[[#This Row],[סטטוס2]]="הולד","פנויה",Check[[#This Row],[סטטוס2]])</f>
        <v>פנויה</v>
      </c>
      <c r="L156" s="382" t="s">
        <v>108</v>
      </c>
      <c r="M156" s="382"/>
      <c r="N156" t="s">
        <v>1417</v>
      </c>
      <c r="O156" s="422" t="s">
        <v>1396</v>
      </c>
      <c r="P156" s="410" t="s">
        <v>1385</v>
      </c>
      <c r="Q156" s="410" t="s">
        <v>1393</v>
      </c>
      <c r="R156" s="383"/>
      <c r="S156" s="384"/>
      <c r="T156" s="398"/>
      <c r="U156" s="385"/>
      <c r="V156" s="385"/>
      <c r="W156" s="387"/>
    </row>
    <row r="157" spans="1:23" x14ac:dyDescent="0.2">
      <c r="A157" s="13" t="str">
        <f>_xlfn.CONCAT(VLOOKUP(Check[[#This Row],[סטטוס]],Sold,2,FALSE),IF(Check[[#This Row],[סטטוס]]="פנויה",IF(N157="גמר מלא סטנדרט",".GMS",IF(N157="גמר מלא טיוב חומרים",".GMC",IF(N157="גמר מינימלי",".GM",IF(N157="דירת שיווק",".DS","")))),""),".",VLOOKUP(Check[[#This Row],[טיפוס]],Tipus[],5,FALSE),".",VLOOKUP(Check[[#This Row],[מגדל]],Tower,2,FALSE),".Ap.",Check[[#This Row],[מספר דירה]])</f>
        <v>V.GMS.S.3B.TS.Ap.155</v>
      </c>
      <c r="B157" s="13" t="str">
        <f>_xlfn.CONCAT(VLOOKUP(Check[[#This Row],[סטטוס]],Sold,2,FALSE),IF(Check[[#This Row],[סטטוס]]="פנויה",IF(N157="גמר מלא סטנדרט",".GMS",IF(N157="גמר מלא טיוב חומרים",".GMC",IF(N157="גמר מינימלי",".GM",IF(N157="דירת שיווק",".DS","")))),""),IF(M157="זומן לטרום",".ZLT",IF(M157="טרום מסירה",".TM",IF(M157="טרום מסירה מהנדס",".TMM",IF(M157="מסירת חזקה",".MH",IF(M157="מסירת חזקה מהנדס",".MHM",""))))),".",VLOOKUP(Check[[#This Row],[טיפוס]],Tipus[],5,FALSE),".",VLOOKUP(Check[[#This Row],[מגדל]],Tower,2,FALSE),".Ap.",Check[[#This Row],[מספר דירה]])</f>
        <v>V.GMS.S.3B.TS.Ap.155</v>
      </c>
      <c r="C157" s="3" t="s">
        <v>55</v>
      </c>
      <c r="D157" s="3">
        <v>19</v>
      </c>
      <c r="E157" s="4">
        <v>155</v>
      </c>
      <c r="F157" s="3">
        <v>1901</v>
      </c>
      <c r="G157" s="3" t="s">
        <v>19</v>
      </c>
      <c r="H157" s="3">
        <f>VLOOKUP(Check[[#This Row],[טיפוס]],Tipus[],2,FALSE)</f>
        <v>3</v>
      </c>
      <c r="I157" s="3" t="str">
        <f>VLOOKUP(Check[[#This Row],[טיפוס]],Tipus[],3,FALSE)</f>
        <v>סטנדרט</v>
      </c>
      <c r="J157" s="3" t="str">
        <f>VLOOKUP(Check[[#This Row],[טיפוס]],Tipus[],4,FALSE)</f>
        <v>G</v>
      </c>
      <c r="K157" s="3" t="str">
        <f>IF(Check[[#This Row],[סטטוס2]]="הולד","פנויה",Check[[#This Row],[סטטוס2]])</f>
        <v>פנויה</v>
      </c>
      <c r="L157" s="382" t="s">
        <v>108</v>
      </c>
      <c r="M157" s="382"/>
      <c r="N157" t="s">
        <v>1367</v>
      </c>
      <c r="O157" s="383"/>
      <c r="P157" s="410" t="s">
        <v>1389</v>
      </c>
      <c r="Q157" s="410"/>
      <c r="R157" s="383"/>
      <c r="S157" s="384"/>
      <c r="T157" s="384" t="s">
        <v>214</v>
      </c>
      <c r="U157" s="385"/>
      <c r="V157" s="385"/>
      <c r="W157" s="387"/>
    </row>
    <row r="158" spans="1:23" x14ac:dyDescent="0.2">
      <c r="A158" s="13" t="str">
        <f>_xlfn.CONCAT(VLOOKUP(Check[[#This Row],[סטטוס]],Sold,2,FALSE),IF(Check[[#This Row],[סטטוס]]="פנויה",IF(N158="גמר מלא סטנדרט",".GMS",IF(N158="גמר מלא טיוב חומרים",".GMC",IF(N158="גמר מינימלי",".GM",IF(N158="דירת שיווק",".DS","")))),""),".",VLOOKUP(Check[[#This Row],[טיפוס]],Tipus[],5,FALSE),".",VLOOKUP(Check[[#This Row],[מגדל]],Tower,2,FALSE),".Ap.",Check[[#This Row],[מספר דירה]])</f>
        <v>S.S.3C.TS.Ap.156</v>
      </c>
      <c r="B158" s="13" t="str">
        <f>_xlfn.CONCAT(VLOOKUP(Check[[#This Row],[סטטוס]],Sold,2,FALSE),IF(Check[[#This Row],[סטטוס]]="פנויה",IF(N158="גמר מלא סטנדרט",".GMS",IF(N158="גמר מלא טיוב חומרים",".GMC",IF(N158="גמר מינימלי",".GM",IF(N158="דירת שיווק",".DS","")))),""),IF(M158="זומן לטרום",".ZLT",IF(M158="טרום מסירה",".TM",IF(M158="טרום מסירה מהנדס",".TMM",IF(M158="מסירת חזקה",".MH",IF(M158="מסירת חזקה מהנדס",".MHM",""))))),".",VLOOKUP(Check[[#This Row],[טיפוס]],Tipus[],5,FALSE),".",VLOOKUP(Check[[#This Row],[מגדל]],Tower,2,FALSE),".Ap.",Check[[#This Row],[מספר דירה]])</f>
        <v>S.S.3C.TS.Ap.156</v>
      </c>
      <c r="C158" s="3" t="s">
        <v>55</v>
      </c>
      <c r="D158" s="3">
        <v>19</v>
      </c>
      <c r="E158" s="4">
        <v>156</v>
      </c>
      <c r="F158" s="3">
        <v>1902</v>
      </c>
      <c r="G158" s="3" t="s">
        <v>18</v>
      </c>
      <c r="H158" s="3">
        <f>VLOOKUP(Check[[#This Row],[טיפוס]],Tipus[],2,FALSE)</f>
        <v>3</v>
      </c>
      <c r="I158" s="3" t="str">
        <f>VLOOKUP(Check[[#This Row],[טיפוס]],Tipus[],3,FALSE)</f>
        <v>סטנדרט</v>
      </c>
      <c r="J158" s="3" t="str">
        <f>VLOOKUP(Check[[#This Row],[טיפוס]],Tipus[],4,FALSE)</f>
        <v>E</v>
      </c>
      <c r="K158" s="3" t="str">
        <f>IF(Check[[#This Row],[סטטוס2]]="הולד","פנויה",Check[[#This Row],[סטטוס2]])</f>
        <v>מכורה</v>
      </c>
      <c r="L158" s="382" t="s">
        <v>130</v>
      </c>
      <c r="M158" s="382"/>
      <c r="N158" s="383"/>
      <c r="O158" s="383"/>
      <c r="P158" s="411"/>
      <c r="Q158" s="411"/>
      <c r="R158" s="383"/>
      <c r="S158" s="386">
        <v>44452</v>
      </c>
      <c r="T158" s="386" t="s">
        <v>1128</v>
      </c>
      <c r="U158" s="385" t="s">
        <v>985</v>
      </c>
      <c r="V158" s="387"/>
      <c r="W158" s="387"/>
    </row>
    <row r="159" spans="1:23" x14ac:dyDescent="0.2">
      <c r="A159" s="13" t="str">
        <f>_xlfn.CONCAT(VLOOKUP(Check[[#This Row],[סטטוס]],Sold,2,FALSE),IF(Check[[#This Row],[סטטוס]]="פנויה",IF(N159="גמר מלא סטנדרט",".GMS",IF(N159="גמר מלא טיוב חומרים",".GMC",IF(N159="גמר מינימלי",".GM",IF(N159="דירת שיווק",".DS","")))),""),".",VLOOKUP(Check[[#This Row],[טיפוס]],Tipus[],5,FALSE),".",VLOOKUP(Check[[#This Row],[מגדל]],Tower,2,FALSE),".Ap.",Check[[#This Row],[מספר דירה]])</f>
        <v>S.S.3A.TS.Ap.157</v>
      </c>
      <c r="B159" s="13" t="str">
        <f>_xlfn.CONCAT(VLOOKUP(Check[[#This Row],[סטטוס]],Sold,2,FALSE),IF(Check[[#This Row],[סטטוס]]="פנויה",IF(N159="גמר מלא סטנדרט",".GMS",IF(N159="גמר מלא טיוב חומרים",".GMC",IF(N159="גמר מינימלי",".GM",IF(N159="דירת שיווק",".DS","")))),""),IF(M159="זומן לטרום",".ZLT",IF(M159="טרום מסירה",".TM",IF(M159="טרום מסירה מהנדס",".TMM",IF(M159="מסירת חזקה",".MH",IF(M159="מסירת חזקה מהנדס",".MHM",""))))),".",VLOOKUP(Check[[#This Row],[טיפוס]],Tipus[],5,FALSE),".",VLOOKUP(Check[[#This Row],[מגדל]],Tower,2,FALSE),".Ap.",Check[[#This Row],[מספר דירה]])</f>
        <v>S.S.3A.TS.Ap.157</v>
      </c>
      <c r="C159" s="3" t="s">
        <v>55</v>
      </c>
      <c r="D159" s="3">
        <v>19</v>
      </c>
      <c r="E159" s="4">
        <v>157</v>
      </c>
      <c r="F159" s="3">
        <v>1903</v>
      </c>
      <c r="G159" s="3" t="s">
        <v>9</v>
      </c>
      <c r="H159" s="3">
        <f>VLOOKUP(Check[[#This Row],[טיפוס]],Tipus[],2,FALSE)</f>
        <v>3</v>
      </c>
      <c r="I159" s="3" t="str">
        <f>VLOOKUP(Check[[#This Row],[טיפוס]],Tipus[],3,FALSE)</f>
        <v>סטנדרט</v>
      </c>
      <c r="J159" s="3" t="str">
        <f>VLOOKUP(Check[[#This Row],[טיפוס]],Tipus[],4,FALSE)</f>
        <v>D</v>
      </c>
      <c r="K159" s="3" t="str">
        <f>IF(Check[[#This Row],[סטטוס2]]="הולד","פנויה",Check[[#This Row],[סטטוס2]])</f>
        <v>מכורה</v>
      </c>
      <c r="L159" s="382" t="s">
        <v>130</v>
      </c>
      <c r="M159" s="382"/>
      <c r="N159" s="383"/>
      <c r="O159" s="383"/>
      <c r="P159" s="411"/>
      <c r="Q159" s="411"/>
      <c r="R159" s="383"/>
      <c r="S159" s="386">
        <v>45068</v>
      </c>
      <c r="T159" s="386" t="s">
        <v>1129</v>
      </c>
      <c r="U159" s="385" t="s">
        <v>986</v>
      </c>
      <c r="V159" s="387"/>
      <c r="W159" s="387"/>
    </row>
    <row r="160" spans="1:23" x14ac:dyDescent="0.2">
      <c r="A160" s="13" t="str">
        <f>_xlfn.CONCAT(VLOOKUP(Check[[#This Row],[סטטוס]],Sold,2,FALSE),IF(Check[[#This Row],[סטטוס]]="פנויה",IF(N160="גמר מלא סטנדרט",".GMS",IF(N160="גמר מלא טיוב חומרים",".GMC",IF(N160="גמר מינימלי",".GM",IF(N160="דירת שיווק",".DS","")))),""),".",VLOOKUP(Check[[#This Row],[טיפוס]],Tipus[],5,FALSE),".",VLOOKUP(Check[[#This Row],[מגדל]],Tower,2,FALSE),".Ap.",Check[[#This Row],[מספר דירה]])</f>
        <v>S.S.3D.TS.Ap.158</v>
      </c>
      <c r="B160" s="13" t="str">
        <f>_xlfn.CONCAT(VLOOKUP(Check[[#This Row],[סטטוס]],Sold,2,FALSE),IF(Check[[#This Row],[סטטוס]]="פנויה",IF(N160="גמר מלא סטנדרט",".GMS",IF(N160="גמר מלא טיוב חומרים",".GMC",IF(N160="גמר מינימלי",".GM",IF(N160="דירת שיווק",".DS","")))),""),IF(M160="זומן לטרום",".ZLT",IF(M160="טרום מסירה",".TM",IF(M160="טרום מסירה מהנדס",".TMM",IF(M160="מסירת חזקה",".MH",IF(M160="מסירת חזקה מהנדס",".MHM",""))))),".",VLOOKUP(Check[[#This Row],[טיפוס]],Tipus[],5,FALSE),".",VLOOKUP(Check[[#This Row],[מגדל]],Tower,2,FALSE),".Ap.",Check[[#This Row],[מספר דירה]])</f>
        <v>S.S.3D.TS.Ap.158</v>
      </c>
      <c r="C160" s="3" t="s">
        <v>55</v>
      </c>
      <c r="D160" s="3">
        <v>19</v>
      </c>
      <c r="E160" s="4">
        <v>158</v>
      </c>
      <c r="F160" s="3">
        <v>1904</v>
      </c>
      <c r="G160" s="3" t="s">
        <v>21</v>
      </c>
      <c r="H160" s="3">
        <f>VLOOKUP(Check[[#This Row],[טיפוס]],Tipus[],2,FALSE)</f>
        <v>3</v>
      </c>
      <c r="I160" s="3" t="str">
        <f>VLOOKUP(Check[[#This Row],[טיפוס]],Tipus[],3,FALSE)</f>
        <v>סטנדרט</v>
      </c>
      <c r="J160" s="3" t="str">
        <f>VLOOKUP(Check[[#This Row],[טיפוס]],Tipus[],4,FALSE)</f>
        <v>C</v>
      </c>
      <c r="K160" s="3" t="str">
        <f>IF(Check[[#This Row],[סטטוס2]]="הולד","פנויה",Check[[#This Row],[סטטוס2]])</f>
        <v>מכורה</v>
      </c>
      <c r="L160" s="382" t="s">
        <v>130</v>
      </c>
      <c r="M160" s="382"/>
      <c r="N160" s="383"/>
      <c r="O160" s="383"/>
      <c r="P160" s="411"/>
      <c r="Q160" s="411"/>
      <c r="R160" s="383"/>
      <c r="S160" s="386">
        <v>44748</v>
      </c>
      <c r="T160" s="386" t="s">
        <v>1302</v>
      </c>
      <c r="U160" s="385" t="s">
        <v>987</v>
      </c>
      <c r="V160" s="385" t="s">
        <v>214</v>
      </c>
      <c r="W160" s="388" t="s">
        <v>988</v>
      </c>
    </row>
    <row r="161" spans="1:23" x14ac:dyDescent="0.2">
      <c r="A161" s="13" t="str">
        <f>_xlfn.CONCAT(VLOOKUP(Check[[#This Row],[סטטוס]],Sold,2,FALSE),IF(Check[[#This Row],[סטטוס]]="פנויה",IF(N161="גמר מלא סטנדרט",".GMS",IF(N161="גמר מלא טיוב חומרים",".GMC",IF(N161="גמר מינימלי",".GM",IF(N161="דירת שיווק",".DS","")))),""),".",VLOOKUP(Check[[#This Row],[טיפוס]],Tipus[],5,FALSE),".",VLOOKUP(Check[[#This Row],[מגדל]],Tower,2,FALSE),".Ap.",Check[[#This Row],[מספר דירה]])</f>
        <v>S.S.3E.TS.Ap.159</v>
      </c>
      <c r="B161" s="13" t="str">
        <f>_xlfn.CONCAT(VLOOKUP(Check[[#This Row],[סטטוס]],Sold,2,FALSE),IF(Check[[#This Row],[סטטוס]]="פנויה",IF(N161="גמר מלא סטנדרט",".GMS",IF(N161="גמר מלא טיוב חומרים",".GMC",IF(N161="גמר מינימלי",".GM",IF(N161="דירת שיווק",".DS","")))),""),IF(M161="זומן לטרום",".ZLT",IF(M161="טרום מסירה",".TM",IF(M161="טרום מסירה מהנדס",".TMM",IF(M161="מסירת חזקה",".MH",IF(M161="מסירת חזקה מהנדס",".MHM",""))))),".",VLOOKUP(Check[[#This Row],[טיפוס]],Tipus[],5,FALSE),".",VLOOKUP(Check[[#This Row],[מגדל]],Tower,2,FALSE),".Ap.",Check[[#This Row],[מספר דירה]])</f>
        <v>S.S.3E.TS.Ap.159</v>
      </c>
      <c r="C161" s="3" t="s">
        <v>55</v>
      </c>
      <c r="D161" s="3">
        <v>19</v>
      </c>
      <c r="E161" s="4">
        <v>159</v>
      </c>
      <c r="F161" s="3">
        <v>1905</v>
      </c>
      <c r="G161" s="3" t="s">
        <v>20</v>
      </c>
      <c r="H161" s="3">
        <f>VLOOKUP(Check[[#This Row],[טיפוס]],Tipus[],2,FALSE)</f>
        <v>3</v>
      </c>
      <c r="I161" s="3" t="str">
        <f>VLOOKUP(Check[[#This Row],[טיפוס]],Tipus[],3,FALSE)</f>
        <v>סטנדרט</v>
      </c>
      <c r="J161" s="3" t="str">
        <f>VLOOKUP(Check[[#This Row],[טיפוס]],Tipus[],4,FALSE)</f>
        <v>A</v>
      </c>
      <c r="K161" s="3" t="str">
        <f>IF(Check[[#This Row],[סטטוס2]]="הולד","פנויה",Check[[#This Row],[סטטוס2]])</f>
        <v>מכורה</v>
      </c>
      <c r="L161" s="382" t="s">
        <v>130</v>
      </c>
      <c r="M161" s="382"/>
      <c r="N161" s="383"/>
      <c r="O161" s="383"/>
      <c r="P161" s="411"/>
      <c r="Q161" s="411"/>
      <c r="R161" s="383"/>
      <c r="S161" s="386">
        <v>44444</v>
      </c>
      <c r="T161" s="386" t="s">
        <v>989</v>
      </c>
      <c r="U161" s="385" t="s">
        <v>990</v>
      </c>
      <c r="V161" s="387"/>
      <c r="W161" s="387"/>
    </row>
    <row r="162" spans="1:23" x14ac:dyDescent="0.2">
      <c r="A162" s="13" t="str">
        <f>_xlfn.CONCAT(VLOOKUP(Check[[#This Row],[סטטוס]],Sold,2,FALSE),IF(Check[[#This Row],[סטטוס]]="פנויה",IF(N162="גמר מלא סטנדרט",".GMS",IF(N162="גמר מלא טיוב חומרים",".GMC",IF(N162="גמר מינימלי",".GM",IF(N162="דירת שיווק",".DS","")))),""),".",VLOOKUP(Check[[#This Row],[טיפוס]],Tipus[],5,FALSE),".",VLOOKUP(Check[[#This Row],[מגדל]],Tower,2,FALSE),".Ap.",Check[[#This Row],[מספר דירה]])</f>
        <v>O.S.4A.TS.Ap.160</v>
      </c>
      <c r="B162" s="13" t="str">
        <f>_xlfn.CONCAT(VLOOKUP(Check[[#This Row],[סטטוס]],Sold,2,FALSE),IF(Check[[#This Row],[סטטוס]]="פנויה",IF(N162="גמר מלא סטנדרט",".GMS",IF(N162="גמר מלא טיוב חומרים",".GMC",IF(N162="גמר מינימלי",".GM",IF(N162="דירת שיווק",".DS","")))),""),IF(M162="זומן לטרום",".ZLT",IF(M162="טרום מסירה",".TM",IF(M162="טרום מסירה מהנדס",".TMM",IF(M162="מסירת חזקה",".MH",IF(M162="מסירת חזקה מהנדס",".MHM",""))))),".",VLOOKUP(Check[[#This Row],[טיפוס]],Tipus[],5,FALSE),".",VLOOKUP(Check[[#This Row],[מגדל]],Tower,2,FALSE),".Ap.",Check[[#This Row],[מספר דירה]])</f>
        <v>O.S.4A.TS.Ap.160</v>
      </c>
      <c r="C162" s="3" t="s">
        <v>55</v>
      </c>
      <c r="D162" s="3">
        <v>19</v>
      </c>
      <c r="E162" s="4">
        <v>160</v>
      </c>
      <c r="F162" s="3">
        <v>1906</v>
      </c>
      <c r="G162" s="3" t="s">
        <v>14</v>
      </c>
      <c r="H162" s="3">
        <f>VLOOKUP(Check[[#This Row],[טיפוס]],Tipus[],2,FALSE)</f>
        <v>4</v>
      </c>
      <c r="I162" s="3" t="str">
        <f>VLOOKUP(Check[[#This Row],[טיפוס]],Tipus[],3,FALSE)</f>
        <v>סטנדרט</v>
      </c>
      <c r="J162" s="3" t="str">
        <f>VLOOKUP(Check[[#This Row],[טיפוס]],Tipus[],4,FALSE)</f>
        <v>J</v>
      </c>
      <c r="K162" s="3" t="str">
        <f>IF(Check[[#This Row],[סטטוס2]]="הולד","פנויה",Check[[#This Row],[סטטוס2]])</f>
        <v>בעלים</v>
      </c>
      <c r="L162" s="382" t="s">
        <v>91</v>
      </c>
      <c r="M162" s="382"/>
      <c r="N162" s="383"/>
      <c r="O162" s="383"/>
      <c r="P162" s="411"/>
      <c r="Q162" s="411"/>
      <c r="R162" s="383"/>
      <c r="S162" s="384">
        <v>44040</v>
      </c>
      <c r="T162" s="384" t="s">
        <v>1127</v>
      </c>
      <c r="U162" s="385" t="s">
        <v>437</v>
      </c>
      <c r="V162" s="385" t="s">
        <v>214</v>
      </c>
      <c r="W162" s="385" t="s">
        <v>214</v>
      </c>
    </row>
    <row r="163" spans="1:23" x14ac:dyDescent="0.2">
      <c r="A163" s="13" t="str">
        <f>_xlfn.CONCAT(VLOOKUP(Check[[#This Row],[סטטוס]],Sold,2,FALSE),IF(Check[[#This Row],[סטטוס]]="פנויה",IF(N163="גמר מלא סטנדרט",".GMS",IF(N163="גמר מלא טיוב חומרים",".GMC",IF(N163="גמר מינימלי",".GM",IF(N163="דירת שיווק",".DS","")))),""),".",VLOOKUP(Check[[#This Row],[טיפוס]],Tipus[],5,FALSE),".",VLOOKUP(Check[[#This Row],[מגדל]],Tower,2,FALSE),".Ap.",Check[[#This Row],[מספר דירה]])</f>
        <v>S.S.2G.TS.Ap.161</v>
      </c>
      <c r="B163" s="13" t="str">
        <f>_xlfn.CONCAT(VLOOKUP(Check[[#This Row],[סטטוס]],Sold,2,FALSE),IF(Check[[#This Row],[סטטוס]]="פנויה",IF(N163="גמר מלא סטנדרט",".GMS",IF(N163="גמר מלא טיוב חומרים",".GMC",IF(N163="גמר מינימלי",".GM",IF(N163="דירת שיווק",".DS","")))),""),IF(M163="זומן לטרום",".ZLT",IF(M163="טרום מסירה",".TM",IF(M163="טרום מסירה מהנדס",".TMM",IF(M163="מסירת חזקה",".MH",IF(M163="מסירת חזקה מהנדס",".MHM",""))))),".",VLOOKUP(Check[[#This Row],[טיפוס]],Tipus[],5,FALSE),".",VLOOKUP(Check[[#This Row],[מגדל]],Tower,2,FALSE),".Ap.",Check[[#This Row],[מספר דירה]])</f>
        <v>S.S.2G.TS.Ap.161</v>
      </c>
      <c r="C163" s="3" t="s">
        <v>55</v>
      </c>
      <c r="D163" s="3">
        <v>19</v>
      </c>
      <c r="E163" s="4">
        <v>161</v>
      </c>
      <c r="F163" s="3">
        <v>1907</v>
      </c>
      <c r="G163" s="3" t="s">
        <v>15</v>
      </c>
      <c r="H163" s="3">
        <f>VLOOKUP(Check[[#This Row],[טיפוס]],Tipus[],2,FALSE)</f>
        <v>2</v>
      </c>
      <c r="I163" s="3" t="str">
        <f>VLOOKUP(Check[[#This Row],[טיפוס]],Tipus[],3,FALSE)</f>
        <v>סטנדרט</v>
      </c>
      <c r="J163" s="3" t="str">
        <f>VLOOKUP(Check[[#This Row],[טיפוס]],Tipus[],4,FALSE)</f>
        <v>I</v>
      </c>
      <c r="K163" s="3" t="str">
        <f>IF(Check[[#This Row],[סטטוס2]]="הולד","פנויה",Check[[#This Row],[סטטוס2]])</f>
        <v>מכורה</v>
      </c>
      <c r="L163" s="382" t="s">
        <v>130</v>
      </c>
      <c r="M163" s="382"/>
      <c r="N163" s="383"/>
      <c r="O163" s="383"/>
      <c r="P163" s="411"/>
      <c r="Q163" s="411"/>
      <c r="R163" s="383"/>
      <c r="S163" s="384">
        <v>45880</v>
      </c>
      <c r="T163" s="384" t="s">
        <v>1266</v>
      </c>
      <c r="U163" s="385"/>
      <c r="V163" s="385"/>
      <c r="W163" s="387"/>
    </row>
    <row r="164" spans="1:23" x14ac:dyDescent="0.2">
      <c r="A164" s="13" t="str">
        <f>_xlfn.CONCAT(VLOOKUP(Check[[#This Row],[סטטוס]],Sold,2,FALSE),IF(Check[[#This Row],[סטטוס]]="פנויה",IF(N164="גמר מלא סטנדרט",".GMS",IF(N164="גמר מלא טיוב חומרים",".GMC",IF(N164="גמר מינימלי",".GM",IF(N164="דירת שיווק",".DS","")))),""),".",VLOOKUP(Check[[#This Row],[טיפוס]],Tipus[],5,FALSE),".",VLOOKUP(Check[[#This Row],[מגדל]],Tower,2,FALSE),".Ap.",Check[[#This Row],[מספר דירה]])</f>
        <v>V.GMS.S.4B.TS.Ap.162</v>
      </c>
      <c r="B164" s="13" t="str">
        <f>_xlfn.CONCAT(VLOOKUP(Check[[#This Row],[סטטוס]],Sold,2,FALSE),IF(Check[[#This Row],[סטטוס]]="פנויה",IF(N164="גמר מלא סטנדרט",".GMS",IF(N164="גמר מלא טיוב חומרים",".GMC",IF(N164="גמר מינימלי",".GM",IF(N164="דירת שיווק",".DS","")))),""),IF(M164="זומן לטרום",".ZLT",IF(M164="טרום מסירה",".TM",IF(M164="טרום מסירה מהנדס",".TMM",IF(M164="מסירת חזקה",".MH",IF(M164="מסירת חזקה מהנדס",".MHM",""))))),".",VLOOKUP(Check[[#This Row],[טיפוס]],Tipus[],5,FALSE),".",VLOOKUP(Check[[#This Row],[מגדל]],Tower,2,FALSE),".Ap.",Check[[#This Row],[מספר דירה]])</f>
        <v>V.GMS.S.4B.TS.Ap.162</v>
      </c>
      <c r="C164" s="3" t="s">
        <v>55</v>
      </c>
      <c r="D164" s="3">
        <v>19</v>
      </c>
      <c r="E164" s="4">
        <v>162</v>
      </c>
      <c r="F164" s="3">
        <v>1908</v>
      </c>
      <c r="G164" s="3" t="s">
        <v>16</v>
      </c>
      <c r="H164" s="3">
        <f>VLOOKUP(Check[[#This Row],[טיפוס]],Tipus[],2,FALSE)</f>
        <v>4</v>
      </c>
      <c r="I164" s="3" t="str">
        <f>VLOOKUP(Check[[#This Row],[טיפוס]],Tipus[],3,FALSE)</f>
        <v>סטנדרט</v>
      </c>
      <c r="J164" s="3" t="str">
        <f>VLOOKUP(Check[[#This Row],[טיפוס]],Tipus[],4,FALSE)</f>
        <v>H</v>
      </c>
      <c r="K164" s="3" t="str">
        <f>IF(Check[[#This Row],[סטטוס2]]="הולד","פנויה",Check[[#This Row],[סטטוס2]])</f>
        <v>פנויה</v>
      </c>
      <c r="L164" s="382" t="s">
        <v>108</v>
      </c>
      <c r="M164" s="382"/>
      <c r="N164" t="s">
        <v>1367</v>
      </c>
      <c r="O164" s="383" t="s">
        <v>1390</v>
      </c>
      <c r="P164" s="410" t="s">
        <v>1389</v>
      </c>
      <c r="Q164" s="410"/>
      <c r="R164" s="383"/>
      <c r="S164" s="384"/>
      <c r="T164" s="384" t="s">
        <v>214</v>
      </c>
      <c r="U164" s="385"/>
      <c r="V164" s="385"/>
      <c r="W164" s="387"/>
    </row>
    <row r="165" spans="1:23" x14ac:dyDescent="0.2">
      <c r="A165" s="13" t="str">
        <f>_xlfn.CONCAT(VLOOKUP(Check[[#This Row],[סטטוס]],Sold,2,FALSE),IF(Check[[#This Row],[סטטוס]]="פנויה",IF(N165="גמר מלא סטנדרט",".GMS",IF(N165="גמר מלא טיוב חומרים",".GMC",IF(N165="גמר מינימלי",".GM",IF(N165="דירת שיווק",".DS","")))),""),".",VLOOKUP(Check[[#This Row],[טיפוס]],Tipus[],5,FALSE),".",VLOOKUP(Check[[#This Row],[מגדל]],Tower,2,FALSE),".Ap.",Check[[#This Row],[מספר דירה]])</f>
        <v>V.GMS.S.3B.TS.Ap.163</v>
      </c>
      <c r="B165" s="13" t="str">
        <f>_xlfn.CONCAT(VLOOKUP(Check[[#This Row],[סטטוס]],Sold,2,FALSE),IF(Check[[#This Row],[סטטוס]]="פנויה",IF(N165="גמר מלא סטנדרט",".GMS",IF(N165="גמר מלא טיוב חומרים",".GMC",IF(N165="גמר מינימלי",".GM",IF(N165="דירת שיווק",".DS","")))),""),IF(M165="זומן לטרום",".ZLT",IF(M165="טרום מסירה",".TM",IF(M165="טרום מסירה מהנדס",".TMM",IF(M165="מסירת חזקה",".MH",IF(M165="מסירת חזקה מהנדס",".MHM",""))))),".",VLOOKUP(Check[[#This Row],[טיפוס]],Tipus[],5,FALSE),".",VLOOKUP(Check[[#This Row],[מגדל]],Tower,2,FALSE),".Ap.",Check[[#This Row],[מספר דירה]])</f>
        <v>V.GMS.S.3B.TS.Ap.163</v>
      </c>
      <c r="C165" s="3" t="s">
        <v>55</v>
      </c>
      <c r="D165" s="3">
        <v>20</v>
      </c>
      <c r="E165" s="4">
        <v>163</v>
      </c>
      <c r="F165" s="3">
        <v>2001</v>
      </c>
      <c r="G165" s="3" t="s">
        <v>19</v>
      </c>
      <c r="H165" s="3">
        <f>VLOOKUP(Check[[#This Row],[טיפוס]],Tipus[],2,FALSE)</f>
        <v>3</v>
      </c>
      <c r="I165" s="3" t="str">
        <f>VLOOKUP(Check[[#This Row],[טיפוס]],Tipus[],3,FALSE)</f>
        <v>סטנדרט</v>
      </c>
      <c r="J165" s="3" t="str">
        <f>VLOOKUP(Check[[#This Row],[טיפוס]],Tipus[],4,FALSE)</f>
        <v>G</v>
      </c>
      <c r="K165" s="3" t="str">
        <f>IF(Check[[#This Row],[סטטוס2]]="הולד","פנויה",Check[[#This Row],[סטטוס2]])</f>
        <v>פנויה</v>
      </c>
      <c r="L165" s="382" t="s">
        <v>108</v>
      </c>
      <c r="M165" s="382"/>
      <c r="N165" t="s">
        <v>1367</v>
      </c>
      <c r="O165" s="383" t="s">
        <v>1390</v>
      </c>
      <c r="P165" s="410" t="s">
        <v>1389</v>
      </c>
      <c r="Q165" s="410"/>
      <c r="R165" s="383"/>
      <c r="S165" s="384"/>
      <c r="T165" s="384" t="s">
        <v>214</v>
      </c>
      <c r="U165" s="385"/>
      <c r="V165" s="385"/>
      <c r="W165" s="387"/>
    </row>
    <row r="166" spans="1:23" x14ac:dyDescent="0.2">
      <c r="A166" s="13" t="str">
        <f>_xlfn.CONCAT(VLOOKUP(Check[[#This Row],[סטטוס]],Sold,2,FALSE),IF(Check[[#This Row],[סטטוס]]="פנויה",IF(N166="גמר מלא סטנדרט",".GMS",IF(N166="גמר מלא טיוב חומרים",".GMC",IF(N166="גמר מינימלי",".GM",IF(N166="דירת שיווק",".DS","")))),""),".",VLOOKUP(Check[[#This Row],[טיפוס]],Tipus[],5,FALSE),".",VLOOKUP(Check[[#This Row],[מגדל]],Tower,2,FALSE),".Ap.",Check[[#This Row],[מספר דירה]])</f>
        <v>S.S.3C.TS.Ap.164</v>
      </c>
      <c r="B166" s="13" t="str">
        <f>_xlfn.CONCAT(VLOOKUP(Check[[#This Row],[סטטוס]],Sold,2,FALSE),IF(Check[[#This Row],[סטטוס]]="פנויה",IF(N166="גמר מלא סטנדרט",".GMS",IF(N166="גמר מלא טיוב חומרים",".GMC",IF(N166="גמר מינימלי",".GM",IF(N166="דירת שיווק",".DS","")))),""),IF(M166="זומן לטרום",".ZLT",IF(M166="טרום מסירה",".TM",IF(M166="טרום מסירה מהנדס",".TMM",IF(M166="מסירת חזקה",".MH",IF(M166="מסירת חזקה מהנדס",".MHM",""))))),".",VLOOKUP(Check[[#This Row],[טיפוס]],Tipus[],5,FALSE),".",VLOOKUP(Check[[#This Row],[מגדל]],Tower,2,FALSE),".Ap.",Check[[#This Row],[מספר דירה]])</f>
        <v>S.S.3C.TS.Ap.164</v>
      </c>
      <c r="C166" s="3" t="s">
        <v>55</v>
      </c>
      <c r="D166" s="3">
        <v>20</v>
      </c>
      <c r="E166" s="4">
        <v>164</v>
      </c>
      <c r="F166" s="3">
        <v>2002</v>
      </c>
      <c r="G166" s="3" t="s">
        <v>18</v>
      </c>
      <c r="H166" s="3">
        <f>VLOOKUP(Check[[#This Row],[טיפוס]],Tipus[],2,FALSE)</f>
        <v>3</v>
      </c>
      <c r="I166" s="3" t="str">
        <f>VLOOKUP(Check[[#This Row],[טיפוס]],Tipus[],3,FALSE)</f>
        <v>סטנדרט</v>
      </c>
      <c r="J166" s="3" t="str">
        <f>VLOOKUP(Check[[#This Row],[טיפוס]],Tipus[],4,FALSE)</f>
        <v>E</v>
      </c>
      <c r="K166" s="3" t="str">
        <f>IF(Check[[#This Row],[סטטוס2]]="הולד","פנויה",Check[[#This Row],[סטטוס2]])</f>
        <v>מכורה</v>
      </c>
      <c r="L166" s="382" t="s">
        <v>130</v>
      </c>
      <c r="M166" s="382"/>
      <c r="N166" s="383"/>
      <c r="O166" s="383"/>
      <c r="P166" s="411"/>
      <c r="Q166" s="411"/>
      <c r="R166" s="383"/>
      <c r="S166" s="386">
        <v>44500</v>
      </c>
      <c r="T166" s="386" t="s">
        <v>1130</v>
      </c>
      <c r="U166" s="385" t="s">
        <v>991</v>
      </c>
      <c r="V166" s="387"/>
      <c r="W166" s="387"/>
    </row>
    <row r="167" spans="1:23" x14ac:dyDescent="0.2">
      <c r="A167" s="13" t="str">
        <f>_xlfn.CONCAT(VLOOKUP(Check[[#This Row],[סטטוס]],Sold,2,FALSE),IF(Check[[#This Row],[סטטוס]]="פנויה",IF(N167="גמר מלא סטנדרט",".GMS",IF(N167="גמר מלא טיוב חומרים",".GMC",IF(N167="גמר מינימלי",".GM",IF(N167="דירת שיווק",".DS","")))),""),".",VLOOKUP(Check[[#This Row],[טיפוס]],Tipus[],5,FALSE),".",VLOOKUP(Check[[#This Row],[מגדל]],Tower,2,FALSE),".Ap.",Check[[#This Row],[מספר דירה]])</f>
        <v>S.S.3A.TS.Ap.165</v>
      </c>
      <c r="B167" s="13" t="str">
        <f>_xlfn.CONCAT(VLOOKUP(Check[[#This Row],[סטטוס]],Sold,2,FALSE),IF(Check[[#This Row],[סטטוס]]="פנויה",IF(N167="גמר מלא סטנדרט",".GMS",IF(N167="גמר מלא טיוב חומרים",".GMC",IF(N167="גמר מינימלי",".GM",IF(N167="דירת שיווק",".DS","")))),""),IF(M167="זומן לטרום",".ZLT",IF(M167="טרום מסירה",".TM",IF(M167="טרום מסירה מהנדס",".TMM",IF(M167="מסירת חזקה",".MH",IF(M167="מסירת חזקה מהנדס",".MHM",""))))),".",VLOOKUP(Check[[#This Row],[טיפוס]],Tipus[],5,FALSE),".",VLOOKUP(Check[[#This Row],[מגדל]],Tower,2,FALSE),".Ap.",Check[[#This Row],[מספר דירה]])</f>
        <v>S.S.3A.TS.Ap.165</v>
      </c>
      <c r="C167" s="3" t="s">
        <v>55</v>
      </c>
      <c r="D167" s="3">
        <v>20</v>
      </c>
      <c r="E167" s="4">
        <v>165</v>
      </c>
      <c r="F167" s="3">
        <v>2003</v>
      </c>
      <c r="G167" s="3" t="s">
        <v>9</v>
      </c>
      <c r="H167" s="3">
        <f>VLOOKUP(Check[[#This Row],[טיפוס]],Tipus[],2,FALSE)</f>
        <v>3</v>
      </c>
      <c r="I167" s="3" t="str">
        <f>VLOOKUP(Check[[#This Row],[טיפוס]],Tipus[],3,FALSE)</f>
        <v>סטנדרט</v>
      </c>
      <c r="J167" s="3" t="str">
        <f>VLOOKUP(Check[[#This Row],[טיפוס]],Tipus[],4,FALSE)</f>
        <v>D</v>
      </c>
      <c r="K167" s="3" t="str">
        <f>IF(Check[[#This Row],[סטטוס2]]="הולד","פנויה",Check[[#This Row],[סטטוס2]])</f>
        <v>מכורה</v>
      </c>
      <c r="L167" s="382" t="s">
        <v>130</v>
      </c>
      <c r="M167" s="382"/>
      <c r="N167" s="383"/>
      <c r="O167" s="383"/>
      <c r="P167" s="411"/>
      <c r="Q167" s="411"/>
      <c r="R167" s="383"/>
      <c r="S167" s="386">
        <v>44452</v>
      </c>
      <c r="T167" s="386" t="s">
        <v>1131</v>
      </c>
      <c r="U167" s="385" t="s">
        <v>992</v>
      </c>
      <c r="V167" s="387"/>
      <c r="W167" s="387"/>
    </row>
    <row r="168" spans="1:23" x14ac:dyDescent="0.2">
      <c r="A168" s="13" t="str">
        <f>_xlfn.CONCAT(VLOOKUP(Check[[#This Row],[סטטוס]],Sold,2,FALSE),IF(Check[[#This Row],[סטטוס]]="פנויה",IF(N168="גמר מלא סטנדרט",".GMS",IF(N168="גמר מלא טיוב חומרים",".GMC",IF(N168="גמר מינימלי",".GM",IF(N168="דירת שיווק",".DS","")))),""),".",VLOOKUP(Check[[#This Row],[טיפוס]],Tipus[],5,FALSE),".",VLOOKUP(Check[[#This Row],[מגדל]],Tower,2,FALSE),".Ap.",Check[[#This Row],[מספר דירה]])</f>
        <v>S.S.3D.TS.Ap.166</v>
      </c>
      <c r="B168" s="13" t="str">
        <f>_xlfn.CONCAT(VLOOKUP(Check[[#This Row],[סטטוס]],Sold,2,FALSE),IF(Check[[#This Row],[סטטוס]]="פנויה",IF(N168="גמר מלא סטנדרט",".GMS",IF(N168="גמר מלא טיוב חומרים",".GMC",IF(N168="גמר מינימלי",".GM",IF(N168="דירת שיווק",".DS","")))),""),IF(M168="זומן לטרום",".ZLT",IF(M168="טרום מסירה",".TM",IF(M168="טרום מסירה מהנדס",".TMM",IF(M168="מסירת חזקה",".MH",IF(M168="מסירת חזקה מהנדס",".MHM",""))))),".",VLOOKUP(Check[[#This Row],[טיפוס]],Tipus[],5,FALSE),".",VLOOKUP(Check[[#This Row],[מגדל]],Tower,2,FALSE),".Ap.",Check[[#This Row],[מספר דירה]])</f>
        <v>S.S.3D.TS.Ap.166</v>
      </c>
      <c r="C168" s="3" t="s">
        <v>55</v>
      </c>
      <c r="D168" s="3">
        <v>20</v>
      </c>
      <c r="E168" s="4">
        <v>166</v>
      </c>
      <c r="F168" s="3">
        <v>2004</v>
      </c>
      <c r="G168" s="3" t="s">
        <v>21</v>
      </c>
      <c r="H168" s="3">
        <f>VLOOKUP(Check[[#This Row],[טיפוס]],Tipus[],2,FALSE)</f>
        <v>3</v>
      </c>
      <c r="I168" s="3" t="str">
        <f>VLOOKUP(Check[[#This Row],[טיפוס]],Tipus[],3,FALSE)</f>
        <v>סטנדרט</v>
      </c>
      <c r="J168" s="3" t="str">
        <f>VLOOKUP(Check[[#This Row],[טיפוס]],Tipus[],4,FALSE)</f>
        <v>C</v>
      </c>
      <c r="K168" s="3" t="str">
        <f>IF(Check[[#This Row],[סטטוס2]]="הולד","פנויה",Check[[#This Row],[סטטוס2]])</f>
        <v>מכורה</v>
      </c>
      <c r="L168" s="382" t="s">
        <v>130</v>
      </c>
      <c r="M168" s="382"/>
      <c r="N168" s="383"/>
      <c r="O168" s="383"/>
      <c r="P168" s="411"/>
      <c r="Q168" s="411"/>
      <c r="R168" s="383"/>
      <c r="S168" s="386">
        <v>44452</v>
      </c>
      <c r="T168" s="386" t="s">
        <v>1131</v>
      </c>
      <c r="U168" s="385" t="s">
        <v>993</v>
      </c>
      <c r="V168" s="387"/>
      <c r="W168" s="387"/>
    </row>
    <row r="169" spans="1:23" x14ac:dyDescent="0.2">
      <c r="A169" s="13" t="str">
        <f>_xlfn.CONCAT(VLOOKUP(Check[[#This Row],[סטטוס]],Sold,2,FALSE),IF(Check[[#This Row],[סטטוס]]="פנויה",IF(N169="גמר מלא סטנדרט",".GMS",IF(N169="גמר מלא טיוב חומרים",".GMC",IF(N169="גמר מינימלי",".GM",IF(N169="דירת שיווק",".DS","")))),""),".",VLOOKUP(Check[[#This Row],[טיפוס]],Tipus[],5,FALSE),".",VLOOKUP(Check[[#This Row],[מגדל]],Tower,2,FALSE),".Ap.",Check[[#This Row],[מספר דירה]])</f>
        <v>S.S.3E.TS.Ap.167</v>
      </c>
      <c r="B169" s="13" t="str">
        <f>_xlfn.CONCAT(VLOOKUP(Check[[#This Row],[סטטוס]],Sold,2,FALSE),IF(Check[[#This Row],[סטטוס]]="פנויה",IF(N169="גמר מלא סטנדרט",".GMS",IF(N169="גמר מלא טיוב חומרים",".GMC",IF(N169="גמר מינימלי",".GM",IF(N169="דירת שיווק",".DS","")))),""),IF(M169="זומן לטרום",".ZLT",IF(M169="טרום מסירה",".TM",IF(M169="טרום מסירה מהנדס",".TMM",IF(M169="מסירת חזקה",".MH",IF(M169="מסירת חזקה מהנדס",".MHM",""))))),".",VLOOKUP(Check[[#This Row],[טיפוס]],Tipus[],5,FALSE),".",VLOOKUP(Check[[#This Row],[מגדל]],Tower,2,FALSE),".Ap.",Check[[#This Row],[מספר דירה]])</f>
        <v>S.S.3E.TS.Ap.167</v>
      </c>
      <c r="C169" s="3" t="s">
        <v>55</v>
      </c>
      <c r="D169" s="3">
        <v>20</v>
      </c>
      <c r="E169" s="4">
        <v>167</v>
      </c>
      <c r="F169" s="3">
        <v>2005</v>
      </c>
      <c r="G169" s="3" t="s">
        <v>20</v>
      </c>
      <c r="H169" s="3">
        <f>VLOOKUP(Check[[#This Row],[טיפוס]],Tipus[],2,FALSE)</f>
        <v>3</v>
      </c>
      <c r="I169" s="3" t="str">
        <f>VLOOKUP(Check[[#This Row],[טיפוס]],Tipus[],3,FALSE)</f>
        <v>סטנדרט</v>
      </c>
      <c r="J169" s="3" t="str">
        <f>VLOOKUP(Check[[#This Row],[טיפוס]],Tipus[],4,FALSE)</f>
        <v>A</v>
      </c>
      <c r="K169" s="3" t="str">
        <f>IF(Check[[#This Row],[סטטוס2]]="הולד","פנויה",Check[[#This Row],[סטטוס2]])</f>
        <v>מכורה</v>
      </c>
      <c r="L169" s="382" t="s">
        <v>130</v>
      </c>
      <c r="M169" s="382"/>
      <c r="N169" s="383"/>
      <c r="O169" s="383"/>
      <c r="P169" s="411"/>
      <c r="Q169" s="411"/>
      <c r="R169" s="383"/>
      <c r="S169" s="386">
        <v>44441</v>
      </c>
      <c r="T169" s="386" t="s">
        <v>1303</v>
      </c>
      <c r="U169" s="385" t="s">
        <v>994</v>
      </c>
      <c r="V169" s="387"/>
      <c r="W169" s="387"/>
    </row>
    <row r="170" spans="1:23" x14ac:dyDescent="0.2">
      <c r="A170" s="13" t="str">
        <f>_xlfn.CONCAT(VLOOKUP(Check[[#This Row],[סטטוס]],Sold,2,FALSE),IF(Check[[#This Row],[סטטוס]]="פנויה",IF(N170="גמר מלא סטנדרט",".GMS",IF(N170="גמר מלא טיוב חומרים",".GMC",IF(N170="גמר מינימלי",".GM",IF(N170="דירת שיווק",".DS","")))),""),".",VLOOKUP(Check[[#This Row],[טיפוס]],Tipus[],5,FALSE),".",VLOOKUP(Check[[#This Row],[מגדל]],Tower,2,FALSE),".Ap.",Check[[#This Row],[מספר דירה]])</f>
        <v>S.S.4A.TS.Ap.168</v>
      </c>
      <c r="B170" s="13" t="str">
        <f>_xlfn.CONCAT(VLOOKUP(Check[[#This Row],[סטטוס]],Sold,2,FALSE),IF(Check[[#This Row],[סטטוס]]="פנויה",IF(N170="גמר מלא סטנדרט",".GMS",IF(N170="גמר מלא טיוב חומרים",".GMC",IF(N170="גמר מינימלי",".GM",IF(N170="דירת שיווק",".DS","")))),""),IF(M170="זומן לטרום",".ZLT",IF(M170="טרום מסירה",".TM",IF(M170="טרום מסירה מהנדס",".TMM",IF(M170="מסירת חזקה",".MH",IF(M170="מסירת חזקה מהנדס",".MHM",""))))),".",VLOOKUP(Check[[#This Row],[טיפוס]],Tipus[],5,FALSE),".",VLOOKUP(Check[[#This Row],[מגדל]],Tower,2,FALSE),".Ap.",Check[[#This Row],[מספר דירה]])</f>
        <v>S.S.4A.TS.Ap.168</v>
      </c>
      <c r="C170" s="3" t="s">
        <v>55</v>
      </c>
      <c r="D170" s="3">
        <v>20</v>
      </c>
      <c r="E170" s="4">
        <v>168</v>
      </c>
      <c r="F170" s="3">
        <v>2006</v>
      </c>
      <c r="G170" s="3" t="s">
        <v>14</v>
      </c>
      <c r="H170" s="3">
        <f>VLOOKUP(Check[[#This Row],[טיפוס]],Tipus[],2,FALSE)</f>
        <v>4</v>
      </c>
      <c r="I170" s="3" t="str">
        <f>VLOOKUP(Check[[#This Row],[טיפוס]],Tipus[],3,FALSE)</f>
        <v>סטנדרט</v>
      </c>
      <c r="J170" s="3" t="str">
        <f>VLOOKUP(Check[[#This Row],[טיפוס]],Tipus[],4,FALSE)</f>
        <v>J</v>
      </c>
      <c r="K170" s="3" t="str">
        <f>IF(Check[[#This Row],[סטטוס2]]="הולד","פנויה",Check[[#This Row],[סטטוס2]])</f>
        <v>מכורה</v>
      </c>
      <c r="L170" s="382" t="s">
        <v>130</v>
      </c>
      <c r="M170" s="382"/>
      <c r="N170" s="383"/>
      <c r="O170" s="383"/>
      <c r="P170" s="411"/>
      <c r="Q170" s="411"/>
      <c r="R170" s="383"/>
      <c r="S170" s="386">
        <v>44440</v>
      </c>
      <c r="T170" s="386" t="s">
        <v>1071</v>
      </c>
      <c r="U170" s="385" t="s">
        <v>995</v>
      </c>
      <c r="V170" s="387"/>
      <c r="W170" s="387"/>
    </row>
    <row r="171" spans="1:23" x14ac:dyDescent="0.2">
      <c r="A171" s="13" t="str">
        <f>_xlfn.CONCAT(VLOOKUP(Check[[#This Row],[סטטוס]],Sold,2,FALSE),IF(Check[[#This Row],[סטטוס]]="פנויה",IF(N171="גמר מלא סטנדרט",".GMS",IF(N171="גמר מלא טיוב חומרים",".GMC",IF(N171="גמר מינימלי",".GM",IF(N171="דירת שיווק",".DS","")))),""),".",VLOOKUP(Check[[#This Row],[טיפוס]],Tipus[],5,FALSE),".",VLOOKUP(Check[[#This Row],[מגדל]],Tower,2,FALSE),".Ap.",Check[[#This Row],[מספר דירה]])</f>
        <v>O.S.2G.TS.Ap.169</v>
      </c>
      <c r="B171" s="13" t="str">
        <f>_xlfn.CONCAT(VLOOKUP(Check[[#This Row],[סטטוס]],Sold,2,FALSE),IF(Check[[#This Row],[סטטוס]]="פנויה",IF(N171="גמר מלא סטנדרט",".GMS",IF(N171="גמר מלא טיוב חומרים",".GMC",IF(N171="גמר מינימלי",".GM",IF(N171="דירת שיווק",".DS","")))),""),IF(M171="זומן לטרום",".ZLT",IF(M171="טרום מסירה",".TM",IF(M171="טרום מסירה מהנדס",".TMM",IF(M171="מסירת חזקה",".MH",IF(M171="מסירת חזקה מהנדס",".MHM",""))))),".",VLOOKUP(Check[[#This Row],[טיפוס]],Tipus[],5,FALSE),".",VLOOKUP(Check[[#This Row],[מגדל]],Tower,2,FALSE),".Ap.",Check[[#This Row],[מספר דירה]])</f>
        <v>O.S.2G.TS.Ap.169</v>
      </c>
      <c r="C171" s="3" t="s">
        <v>55</v>
      </c>
      <c r="D171" s="3">
        <v>20</v>
      </c>
      <c r="E171" s="4">
        <v>169</v>
      </c>
      <c r="F171" s="3">
        <v>2007</v>
      </c>
      <c r="G171" s="3" t="s">
        <v>15</v>
      </c>
      <c r="H171" s="3">
        <f>VLOOKUP(Check[[#This Row],[טיפוס]],Tipus[],2,FALSE)</f>
        <v>2</v>
      </c>
      <c r="I171" s="3" t="str">
        <f>VLOOKUP(Check[[#This Row],[טיפוס]],Tipus[],3,FALSE)</f>
        <v>סטנדרט</v>
      </c>
      <c r="J171" s="3" t="str">
        <f>VLOOKUP(Check[[#This Row],[טיפוס]],Tipus[],4,FALSE)</f>
        <v>I</v>
      </c>
      <c r="K171" s="3" t="str">
        <f>IF(Check[[#This Row],[סטטוס2]]="הולד","פנויה",Check[[#This Row],[סטטוס2]])</f>
        <v>בעלים</v>
      </c>
      <c r="L171" s="382" t="s">
        <v>91</v>
      </c>
      <c r="M171" s="382"/>
      <c r="N171" s="383"/>
      <c r="O171" s="383"/>
      <c r="P171" s="411"/>
      <c r="Q171" s="411"/>
      <c r="R171" s="383"/>
      <c r="S171" s="384">
        <v>44040</v>
      </c>
      <c r="T171" s="384" t="s">
        <v>438</v>
      </c>
      <c r="U171" s="385" t="s">
        <v>439</v>
      </c>
      <c r="V171" s="385" t="s">
        <v>214</v>
      </c>
      <c r="W171" s="385" t="s">
        <v>250</v>
      </c>
    </row>
    <row r="172" spans="1:23" x14ac:dyDescent="0.2">
      <c r="A172" s="13" t="str">
        <f>_xlfn.CONCAT(VLOOKUP(Check[[#This Row],[סטטוס]],Sold,2,FALSE),IF(Check[[#This Row],[סטטוס]]="פנויה",IF(N172="גמר מלא סטנדרט",".GMS",IF(N172="גמר מלא טיוב חומרים",".GMC",IF(N172="גמר מינימלי",".GM",IF(N172="דירת שיווק",".DS","")))),""),".",VLOOKUP(Check[[#This Row],[טיפוס]],Tipus[],5,FALSE),".",VLOOKUP(Check[[#This Row],[מגדל]],Tower,2,FALSE),".Ap.",Check[[#This Row],[מספר דירה]])</f>
        <v>O.S.4B.TS.Ap.170</v>
      </c>
      <c r="B172" s="13" t="str">
        <f>_xlfn.CONCAT(VLOOKUP(Check[[#This Row],[סטטוס]],Sold,2,FALSE),IF(Check[[#This Row],[סטטוס]]="פנויה",IF(N172="גמר מלא סטנדרט",".GMS",IF(N172="גמר מלא טיוב חומרים",".GMC",IF(N172="גמר מינימלי",".GM",IF(N172="דירת שיווק",".DS","")))),""),IF(M172="זומן לטרום",".ZLT",IF(M172="טרום מסירה",".TM",IF(M172="טרום מסירה מהנדס",".TMM",IF(M172="מסירת חזקה",".MH",IF(M172="מסירת חזקה מהנדס",".MHM",""))))),".",VLOOKUP(Check[[#This Row],[טיפוס]],Tipus[],5,FALSE),".",VLOOKUP(Check[[#This Row],[מגדל]],Tower,2,FALSE),".Ap.",Check[[#This Row],[מספר דירה]])</f>
        <v>O.S.4B.TS.Ap.170</v>
      </c>
      <c r="C172" s="3" t="s">
        <v>55</v>
      </c>
      <c r="D172" s="3">
        <v>20</v>
      </c>
      <c r="E172" s="4">
        <v>170</v>
      </c>
      <c r="F172" s="3">
        <v>2008</v>
      </c>
      <c r="G172" s="3" t="s">
        <v>16</v>
      </c>
      <c r="H172" s="3">
        <f>VLOOKUP(Check[[#This Row],[טיפוס]],Tipus[],2,FALSE)</f>
        <v>4</v>
      </c>
      <c r="I172" s="3" t="str">
        <f>VLOOKUP(Check[[#This Row],[טיפוס]],Tipus[],3,FALSE)</f>
        <v>סטנדרט</v>
      </c>
      <c r="J172" s="3" t="str">
        <f>VLOOKUP(Check[[#This Row],[טיפוס]],Tipus[],4,FALSE)</f>
        <v>H</v>
      </c>
      <c r="K172" s="3" t="str">
        <f>IF(Check[[#This Row],[סטטוס2]]="הולד","פנויה",Check[[#This Row],[סטטוס2]])</f>
        <v>בעלים</v>
      </c>
      <c r="L172" s="382" t="s">
        <v>91</v>
      </c>
      <c r="M172" s="382"/>
      <c r="N172" s="383"/>
      <c r="O172" s="383"/>
      <c r="P172" s="411"/>
      <c r="Q172" s="411"/>
      <c r="R172" s="383"/>
      <c r="S172" s="384">
        <v>44040</v>
      </c>
      <c r="T172" s="384" t="s">
        <v>243</v>
      </c>
      <c r="U172" s="385" t="s">
        <v>440</v>
      </c>
      <c r="V172" s="385" t="s">
        <v>214</v>
      </c>
      <c r="W172" s="385" t="s">
        <v>214</v>
      </c>
    </row>
    <row r="173" spans="1:23" x14ac:dyDescent="0.2">
      <c r="A173" s="13" t="str">
        <f>_xlfn.CONCAT(VLOOKUP(Check[[#This Row],[סטטוס]],Sold,2,FALSE),IF(Check[[#This Row],[סטטוס]]="פנויה",IF(N173="גמר מלא סטנדרט",".GMS",IF(N173="גמר מלא טיוב חומרים",".GMC",IF(N173="גמר מינימלי",".GM",IF(N173="דירת שיווק",".DS","")))),""),".",VLOOKUP(Check[[#This Row],[טיפוס]],Tipus[],5,FALSE),".",VLOOKUP(Check[[#This Row],[מגדל]],Tower,2,FALSE),".Ap.",Check[[#This Row],[מספר דירה]])</f>
        <v>V.GMS.S.3B.TS.Ap.171</v>
      </c>
      <c r="B173" s="13" t="str">
        <f>_xlfn.CONCAT(VLOOKUP(Check[[#This Row],[סטטוס]],Sold,2,FALSE),IF(Check[[#This Row],[סטטוס]]="פנויה",IF(N173="גמר מלא סטנדרט",".GMS",IF(N173="גמר מלא טיוב חומרים",".GMC",IF(N173="גמר מינימלי",".GM",IF(N173="דירת שיווק",".DS","")))),""),IF(M173="זומן לטרום",".ZLT",IF(M173="טרום מסירה",".TM",IF(M173="טרום מסירה מהנדס",".TMM",IF(M173="מסירת חזקה",".MH",IF(M173="מסירת חזקה מהנדס",".MHM",""))))),".",VLOOKUP(Check[[#This Row],[טיפוס]],Tipus[],5,FALSE),".",VLOOKUP(Check[[#This Row],[מגדל]],Tower,2,FALSE),".Ap.",Check[[#This Row],[מספר דירה]])</f>
        <v>V.GMS.S.3B.TS.Ap.171</v>
      </c>
      <c r="C173" s="3" t="s">
        <v>55</v>
      </c>
      <c r="D173" s="3">
        <v>21</v>
      </c>
      <c r="E173" s="4">
        <v>171</v>
      </c>
      <c r="F173" s="3">
        <v>2101</v>
      </c>
      <c r="G173" s="3" t="s">
        <v>19</v>
      </c>
      <c r="H173" s="3">
        <f>VLOOKUP(Check[[#This Row],[טיפוס]],Tipus[],2,FALSE)</f>
        <v>3</v>
      </c>
      <c r="I173" s="3" t="str">
        <f>VLOOKUP(Check[[#This Row],[טיפוס]],Tipus[],3,FALSE)</f>
        <v>סטנדרט</v>
      </c>
      <c r="J173" s="3" t="str">
        <f>VLOOKUP(Check[[#This Row],[טיפוס]],Tipus[],4,FALSE)</f>
        <v>G</v>
      </c>
      <c r="K173" s="3" t="str">
        <f>IF(Check[[#This Row],[סטטוס2]]="הולד","פנויה",Check[[#This Row],[סטטוס2]])</f>
        <v>פנויה</v>
      </c>
      <c r="L173" s="382" t="s">
        <v>108</v>
      </c>
      <c r="M173" s="382"/>
      <c r="N173" t="s">
        <v>1367</v>
      </c>
      <c r="O173" s="383" t="s">
        <v>1390</v>
      </c>
      <c r="P173" s="410" t="s">
        <v>1389</v>
      </c>
      <c r="Q173" s="410"/>
      <c r="R173" s="383"/>
      <c r="S173" s="384"/>
      <c r="T173" s="384" t="s">
        <v>214</v>
      </c>
      <c r="U173" s="385"/>
      <c r="V173" s="385"/>
      <c r="W173" s="387"/>
    </row>
    <row r="174" spans="1:23" x14ac:dyDescent="0.2">
      <c r="A174" s="13" t="str">
        <f>_xlfn.CONCAT(VLOOKUP(Check[[#This Row],[סטטוס]],Sold,2,FALSE),IF(Check[[#This Row],[סטטוס]]="פנויה",IF(N174="גמר מלא סטנדרט",".GMS",IF(N174="גמר מלא טיוב חומרים",".GMC",IF(N174="גמר מינימלי",".GM",IF(N174="דירת שיווק",".DS","")))),""),".",VLOOKUP(Check[[#This Row],[טיפוס]],Tipus[],5,FALSE),".",VLOOKUP(Check[[#This Row],[מגדל]],Tower,2,FALSE),".Ap.",Check[[#This Row],[מספר דירה]])</f>
        <v>S.S.3C.TS.Ap.172</v>
      </c>
      <c r="B174" s="13" t="str">
        <f>_xlfn.CONCAT(VLOOKUP(Check[[#This Row],[סטטוס]],Sold,2,FALSE),IF(Check[[#This Row],[סטטוס]]="פנויה",IF(N174="גמר מלא סטנדרט",".GMS",IF(N174="גמר מלא טיוב חומרים",".GMC",IF(N174="גמר מינימלי",".GM",IF(N174="דירת שיווק",".DS","")))),""),IF(M174="זומן לטרום",".ZLT",IF(M174="טרום מסירה",".TM",IF(M174="טרום מסירה מהנדס",".TMM",IF(M174="מסירת חזקה",".MH",IF(M174="מסירת חזקה מהנדס",".MHM",""))))),".",VLOOKUP(Check[[#This Row],[טיפוס]],Tipus[],5,FALSE),".",VLOOKUP(Check[[#This Row],[מגדל]],Tower,2,FALSE),".Ap.",Check[[#This Row],[מספר דירה]])</f>
        <v>S.S.3C.TS.Ap.172</v>
      </c>
      <c r="C174" s="3" t="s">
        <v>55</v>
      </c>
      <c r="D174" s="3">
        <v>21</v>
      </c>
      <c r="E174" s="4">
        <v>172</v>
      </c>
      <c r="F174" s="3">
        <v>2102</v>
      </c>
      <c r="G174" s="3" t="s">
        <v>18</v>
      </c>
      <c r="H174" s="3">
        <f>VLOOKUP(Check[[#This Row],[טיפוס]],Tipus[],2,FALSE)</f>
        <v>3</v>
      </c>
      <c r="I174" s="3" t="str">
        <f>VLOOKUP(Check[[#This Row],[טיפוס]],Tipus[],3,FALSE)</f>
        <v>סטנדרט</v>
      </c>
      <c r="J174" s="3" t="str">
        <f>VLOOKUP(Check[[#This Row],[טיפוס]],Tipus[],4,FALSE)</f>
        <v>E</v>
      </c>
      <c r="K174" s="3" t="str">
        <f>IF(Check[[#This Row],[סטטוס2]]="הולד","פנויה",Check[[#This Row],[סטטוס2]])</f>
        <v>מכורה</v>
      </c>
      <c r="L174" s="382" t="s">
        <v>130</v>
      </c>
      <c r="M174" s="382"/>
      <c r="N174" s="383"/>
      <c r="O174" s="383"/>
      <c r="P174" s="411"/>
      <c r="Q174" s="411"/>
      <c r="R174" s="383"/>
      <c r="S174" s="386">
        <v>44500</v>
      </c>
      <c r="T174" s="386" t="s">
        <v>1132</v>
      </c>
      <c r="U174" s="385" t="s">
        <v>996</v>
      </c>
      <c r="V174" s="387"/>
      <c r="W174" s="387"/>
    </row>
    <row r="175" spans="1:23" x14ac:dyDescent="0.2">
      <c r="A175" s="13" t="str">
        <f>_xlfn.CONCAT(VLOOKUP(Check[[#This Row],[סטטוס]],Sold,2,FALSE),IF(Check[[#This Row],[סטטוס]]="פנויה",IF(N175="גמר מלא סטנדרט",".GMS",IF(N175="גמר מלא טיוב חומרים",".GMC",IF(N175="גמר מינימלי",".GM",IF(N175="דירת שיווק",".DS","")))),""),".",VLOOKUP(Check[[#This Row],[טיפוס]],Tipus[],5,FALSE),".",VLOOKUP(Check[[#This Row],[מגדל]],Tower,2,FALSE),".Ap.",Check[[#This Row],[מספר דירה]])</f>
        <v>S.S.3A.TS.Ap.173</v>
      </c>
      <c r="B175" s="13" t="str">
        <f>_xlfn.CONCAT(VLOOKUP(Check[[#This Row],[סטטוס]],Sold,2,FALSE),IF(Check[[#This Row],[סטטוס]]="פנויה",IF(N175="גמר מלא סטנדרט",".GMS",IF(N175="גמר מלא טיוב חומרים",".GMC",IF(N175="גמר מינימלי",".GM",IF(N175="דירת שיווק",".DS","")))),""),IF(M175="זומן לטרום",".ZLT",IF(M175="טרום מסירה",".TM",IF(M175="טרום מסירה מהנדס",".TMM",IF(M175="מסירת חזקה",".MH",IF(M175="מסירת חזקה מהנדס",".MHM",""))))),".",VLOOKUP(Check[[#This Row],[טיפוס]],Tipus[],5,FALSE),".",VLOOKUP(Check[[#This Row],[מגדל]],Tower,2,FALSE),".Ap.",Check[[#This Row],[מספר דירה]])</f>
        <v>S.S.3A.TS.Ap.173</v>
      </c>
      <c r="C175" s="3" t="s">
        <v>55</v>
      </c>
      <c r="D175" s="3">
        <v>21</v>
      </c>
      <c r="E175" s="4">
        <v>173</v>
      </c>
      <c r="F175" s="3">
        <v>2103</v>
      </c>
      <c r="G175" s="3" t="s">
        <v>9</v>
      </c>
      <c r="H175" s="3">
        <f>VLOOKUP(Check[[#This Row],[טיפוס]],Tipus[],2,FALSE)</f>
        <v>3</v>
      </c>
      <c r="I175" s="3" t="str">
        <f>VLOOKUP(Check[[#This Row],[טיפוס]],Tipus[],3,FALSE)</f>
        <v>סטנדרט</v>
      </c>
      <c r="J175" s="3" t="str">
        <f>VLOOKUP(Check[[#This Row],[טיפוס]],Tipus[],4,FALSE)</f>
        <v>D</v>
      </c>
      <c r="K175" s="3" t="str">
        <f>IF(Check[[#This Row],[סטטוס2]]="הולד","פנויה",Check[[#This Row],[סטטוס2]])</f>
        <v>מכורה</v>
      </c>
      <c r="L175" s="382" t="s">
        <v>130</v>
      </c>
      <c r="M175" s="382"/>
      <c r="N175" s="383"/>
      <c r="O175" s="383"/>
      <c r="P175" s="411"/>
      <c r="Q175" s="411"/>
      <c r="R175" s="383"/>
      <c r="S175" s="386">
        <v>44424</v>
      </c>
      <c r="T175" s="386" t="s">
        <v>1133</v>
      </c>
      <c r="U175" s="385" t="s">
        <v>997</v>
      </c>
      <c r="V175" s="387"/>
      <c r="W175" s="387"/>
    </row>
    <row r="176" spans="1:23" x14ac:dyDescent="0.2">
      <c r="A176" s="13" t="str">
        <f>_xlfn.CONCAT(VLOOKUP(Check[[#This Row],[סטטוס]],Sold,2,FALSE),IF(Check[[#This Row],[סטטוס]]="פנויה",IF(N176="גמר מלא סטנדרט",".GMS",IF(N176="גמר מלא טיוב חומרים",".GMC",IF(N176="גמר מינימלי",".GM",IF(N176="דירת שיווק",".DS","")))),""),".",VLOOKUP(Check[[#This Row],[טיפוס]],Tipus[],5,FALSE),".",VLOOKUP(Check[[#This Row],[מגדל]],Tower,2,FALSE),".Ap.",Check[[#This Row],[מספר דירה]])</f>
        <v>S.S.3D.TS.Ap.174</v>
      </c>
      <c r="B176" s="13" t="str">
        <f>_xlfn.CONCAT(VLOOKUP(Check[[#This Row],[סטטוס]],Sold,2,FALSE),IF(Check[[#This Row],[סטטוס]]="פנויה",IF(N176="גמר מלא סטנדרט",".GMS",IF(N176="גמר מלא טיוב חומרים",".GMC",IF(N176="גמר מינימלי",".GM",IF(N176="דירת שיווק",".DS","")))),""),IF(M176="זומן לטרום",".ZLT",IF(M176="טרום מסירה",".TM",IF(M176="טרום מסירה מהנדס",".TMM",IF(M176="מסירת חזקה",".MH",IF(M176="מסירת חזקה מהנדס",".MHM",""))))),".",VLOOKUP(Check[[#This Row],[טיפוס]],Tipus[],5,FALSE),".",VLOOKUP(Check[[#This Row],[מגדל]],Tower,2,FALSE),".Ap.",Check[[#This Row],[מספר דירה]])</f>
        <v>S.S.3D.TS.Ap.174</v>
      </c>
      <c r="C176" s="3" t="s">
        <v>55</v>
      </c>
      <c r="D176" s="3">
        <v>21</v>
      </c>
      <c r="E176" s="4">
        <v>174</v>
      </c>
      <c r="F176" s="3">
        <v>2104</v>
      </c>
      <c r="G176" s="3" t="s">
        <v>21</v>
      </c>
      <c r="H176" s="3">
        <f>VLOOKUP(Check[[#This Row],[טיפוס]],Tipus[],2,FALSE)</f>
        <v>3</v>
      </c>
      <c r="I176" s="3" t="str">
        <f>VLOOKUP(Check[[#This Row],[טיפוס]],Tipus[],3,FALSE)</f>
        <v>סטנדרט</v>
      </c>
      <c r="J176" s="3" t="str">
        <f>VLOOKUP(Check[[#This Row],[טיפוס]],Tipus[],4,FALSE)</f>
        <v>C</v>
      </c>
      <c r="K176" s="3" t="str">
        <f>IF(Check[[#This Row],[סטטוס2]]="הולד","פנויה",Check[[#This Row],[סטטוס2]])</f>
        <v>מכורה</v>
      </c>
      <c r="L176" s="382" t="s">
        <v>130</v>
      </c>
      <c r="M176" s="382"/>
      <c r="N176" s="383"/>
      <c r="O176" s="383"/>
      <c r="P176" s="411"/>
      <c r="Q176" s="411"/>
      <c r="R176" s="383"/>
      <c r="S176" s="386">
        <v>44424</v>
      </c>
      <c r="T176" s="386" t="s">
        <v>1133</v>
      </c>
      <c r="U176" s="385" t="s">
        <v>998</v>
      </c>
      <c r="V176" s="387"/>
      <c r="W176" s="387"/>
    </row>
    <row r="177" spans="1:23" x14ac:dyDescent="0.2">
      <c r="A177" s="13" t="str">
        <f>_xlfn.CONCAT(VLOOKUP(Check[[#This Row],[סטטוס]],Sold,2,FALSE),IF(Check[[#This Row],[סטטוס]]="פנויה",IF(N177="גמר מלא סטנדרט",".GMS",IF(N177="גמר מלא טיוב חומרים",".GMC",IF(N177="גמר מינימלי",".GM",IF(N177="דירת שיווק",".DS","")))),""),".",VLOOKUP(Check[[#This Row],[טיפוס]],Tipus[],5,FALSE),".",VLOOKUP(Check[[#This Row],[מגדל]],Tower,2,FALSE),".Ap.",Check[[#This Row],[מספר דירה]])</f>
        <v>S.S.3E.TS.Ap.175</v>
      </c>
      <c r="B177" s="13" t="str">
        <f>_xlfn.CONCAT(VLOOKUP(Check[[#This Row],[סטטוס]],Sold,2,FALSE),IF(Check[[#This Row],[סטטוס]]="פנויה",IF(N177="גמר מלא סטנדרט",".GMS",IF(N177="גמר מלא טיוב חומרים",".GMC",IF(N177="גמר מינימלי",".GM",IF(N177="דירת שיווק",".DS","")))),""),IF(M177="זומן לטרום",".ZLT",IF(M177="טרום מסירה",".TM",IF(M177="טרום מסירה מהנדס",".TMM",IF(M177="מסירת חזקה",".MH",IF(M177="מסירת חזקה מהנדס",".MHM",""))))),".",VLOOKUP(Check[[#This Row],[טיפוס]],Tipus[],5,FALSE),".",VLOOKUP(Check[[#This Row],[מגדל]],Tower,2,FALSE),".Ap.",Check[[#This Row],[מספר דירה]])</f>
        <v>S.S.3E.TS.Ap.175</v>
      </c>
      <c r="C177" s="3" t="s">
        <v>55</v>
      </c>
      <c r="D177" s="3">
        <v>21</v>
      </c>
      <c r="E177" s="4">
        <v>175</v>
      </c>
      <c r="F177" s="3">
        <v>2105</v>
      </c>
      <c r="G177" s="3" t="s">
        <v>20</v>
      </c>
      <c r="H177" s="3">
        <f>VLOOKUP(Check[[#This Row],[טיפוס]],Tipus[],2,FALSE)</f>
        <v>3</v>
      </c>
      <c r="I177" s="3" t="str">
        <f>VLOOKUP(Check[[#This Row],[טיפוס]],Tipus[],3,FALSE)</f>
        <v>סטנדרט</v>
      </c>
      <c r="J177" s="3" t="str">
        <f>VLOOKUP(Check[[#This Row],[טיפוס]],Tipus[],4,FALSE)</f>
        <v>A</v>
      </c>
      <c r="K177" s="3" t="str">
        <f>IF(Check[[#This Row],[סטטוס2]]="הולד","פנויה",Check[[#This Row],[סטטוס2]])</f>
        <v>מכורה</v>
      </c>
      <c r="L177" s="382" t="s">
        <v>130</v>
      </c>
      <c r="M177" s="382"/>
      <c r="N177" s="383"/>
      <c r="O177" s="383"/>
      <c r="P177" s="411"/>
      <c r="Q177" s="411"/>
      <c r="R177" s="383"/>
      <c r="S177" s="386">
        <v>44518</v>
      </c>
      <c r="T177" s="386" t="s">
        <v>1134</v>
      </c>
      <c r="U177" s="385" t="s">
        <v>999</v>
      </c>
      <c r="V177" s="387"/>
      <c r="W177" s="387"/>
    </row>
    <row r="178" spans="1:23" x14ac:dyDescent="0.2">
      <c r="A178" s="13" t="str">
        <f>_xlfn.CONCAT(VLOOKUP(Check[[#This Row],[סטטוס]],Sold,2,FALSE),IF(Check[[#This Row],[סטטוס]]="פנויה",IF(N178="גמר מלא סטנדרט",".GMS",IF(N178="גמר מלא טיוב חומרים",".GMC",IF(N178="גמר מינימלי",".GM",IF(N178="דירת שיווק",".DS","")))),""),".",VLOOKUP(Check[[#This Row],[טיפוס]],Tipus[],5,FALSE),".",VLOOKUP(Check[[#This Row],[מגדל]],Tower,2,FALSE),".Ap.",Check[[#This Row],[מספר דירה]])</f>
        <v>O.S.4A.TS.Ap.176</v>
      </c>
      <c r="B178" s="13" t="str">
        <f>_xlfn.CONCAT(VLOOKUP(Check[[#This Row],[סטטוס]],Sold,2,FALSE),IF(Check[[#This Row],[סטטוס]]="פנויה",IF(N178="גמר מלא סטנדרט",".GMS",IF(N178="גמר מלא טיוב חומרים",".GMC",IF(N178="גמר מינימלי",".GM",IF(N178="דירת שיווק",".DS","")))),""),IF(M178="זומן לטרום",".ZLT",IF(M178="טרום מסירה",".TM",IF(M178="טרום מסירה מהנדס",".TMM",IF(M178="מסירת חזקה",".MH",IF(M178="מסירת חזקה מהנדס",".MHM",""))))),".",VLOOKUP(Check[[#This Row],[טיפוס]],Tipus[],5,FALSE),".",VLOOKUP(Check[[#This Row],[מגדל]],Tower,2,FALSE),".Ap.",Check[[#This Row],[מספר דירה]])</f>
        <v>O.S.4A.TS.Ap.176</v>
      </c>
      <c r="C178" s="3" t="s">
        <v>55</v>
      </c>
      <c r="D178" s="3">
        <v>21</v>
      </c>
      <c r="E178" s="4">
        <v>176</v>
      </c>
      <c r="F178" s="3">
        <v>2106</v>
      </c>
      <c r="G178" s="3" t="s">
        <v>14</v>
      </c>
      <c r="H178" s="3">
        <f>VLOOKUP(Check[[#This Row],[טיפוס]],Tipus[],2,FALSE)</f>
        <v>4</v>
      </c>
      <c r="I178" s="3" t="str">
        <f>VLOOKUP(Check[[#This Row],[טיפוס]],Tipus[],3,FALSE)</f>
        <v>סטנדרט</v>
      </c>
      <c r="J178" s="3" t="str">
        <f>VLOOKUP(Check[[#This Row],[טיפוס]],Tipus[],4,FALSE)</f>
        <v>J</v>
      </c>
      <c r="K178" s="3" t="str">
        <f>IF(Check[[#This Row],[סטטוס2]]="הולד","פנויה",Check[[#This Row],[סטטוס2]])</f>
        <v>בעלים</v>
      </c>
      <c r="L178" s="382" t="s">
        <v>91</v>
      </c>
      <c r="M178" s="382"/>
      <c r="N178" s="383"/>
      <c r="O178" s="383"/>
      <c r="P178" s="411"/>
      <c r="Q178" s="411"/>
      <c r="R178" s="383"/>
      <c r="S178" s="384">
        <v>44040</v>
      </c>
      <c r="T178" s="384" t="s">
        <v>1298</v>
      </c>
      <c r="U178" s="385" t="s">
        <v>441</v>
      </c>
      <c r="V178" s="385" t="s">
        <v>214</v>
      </c>
      <c r="W178" s="385" t="s">
        <v>214</v>
      </c>
    </row>
    <row r="179" spans="1:23" x14ac:dyDescent="0.2">
      <c r="A179" s="13" t="str">
        <f>_xlfn.CONCAT(VLOOKUP(Check[[#This Row],[סטטוס]],Sold,2,FALSE),IF(Check[[#This Row],[סטטוס]]="פנויה",IF(N179="גמר מלא סטנדרט",".GMS",IF(N179="גמר מלא טיוב חומרים",".GMC",IF(N179="גמר מינימלי",".GM",IF(N179="דירת שיווק",".DS","")))),""),".",VLOOKUP(Check[[#This Row],[טיפוס]],Tipus[],5,FALSE),".",VLOOKUP(Check[[#This Row],[מגדל]],Tower,2,FALSE),".Ap.",Check[[#This Row],[מספר דירה]])</f>
        <v>S.S.2G.TS.Ap.177</v>
      </c>
      <c r="B179" s="13" t="str">
        <f>_xlfn.CONCAT(VLOOKUP(Check[[#This Row],[סטטוס]],Sold,2,FALSE),IF(Check[[#This Row],[סטטוס]]="פנויה",IF(N179="גמר מלא סטנדרט",".GMS",IF(N179="גמר מלא טיוב חומרים",".GMC",IF(N179="גמר מינימלי",".GM",IF(N179="דירת שיווק",".DS","")))),""),IF(M179="זומן לטרום",".ZLT",IF(M179="טרום מסירה",".TM",IF(M179="טרום מסירה מהנדס",".TMM",IF(M179="מסירת חזקה",".MH",IF(M179="מסירת חזקה מהנדס",".MHM",""))))),".",VLOOKUP(Check[[#This Row],[טיפוס]],Tipus[],5,FALSE),".",VLOOKUP(Check[[#This Row],[מגדל]],Tower,2,FALSE),".Ap.",Check[[#This Row],[מספר דירה]])</f>
        <v>S.S.2G.TS.Ap.177</v>
      </c>
      <c r="C179" s="3" t="s">
        <v>55</v>
      </c>
      <c r="D179" s="3">
        <v>21</v>
      </c>
      <c r="E179" s="4">
        <v>177</v>
      </c>
      <c r="F179" s="3">
        <v>2107</v>
      </c>
      <c r="G179" s="3" t="s">
        <v>15</v>
      </c>
      <c r="H179" s="3">
        <f>VLOOKUP(Check[[#This Row],[טיפוס]],Tipus[],2,FALSE)</f>
        <v>2</v>
      </c>
      <c r="I179" s="3" t="str">
        <f>VLOOKUP(Check[[#This Row],[טיפוס]],Tipus[],3,FALSE)</f>
        <v>סטנדרט</v>
      </c>
      <c r="J179" s="3" t="str">
        <f>VLOOKUP(Check[[#This Row],[טיפוס]],Tipus[],4,FALSE)</f>
        <v>I</v>
      </c>
      <c r="K179" s="3" t="str">
        <f>IF(Check[[#This Row],[סטטוס2]]="הולד","פנויה",Check[[#This Row],[סטטוס2]])</f>
        <v>מכורה</v>
      </c>
      <c r="L179" s="382" t="s">
        <v>130</v>
      </c>
      <c r="M179" s="382"/>
      <c r="N179" s="383"/>
      <c r="O179" s="383"/>
      <c r="P179" s="411"/>
      <c r="Q179" s="411"/>
      <c r="R179" s="383"/>
      <c r="S179" s="386">
        <v>44748</v>
      </c>
      <c r="T179" s="386" t="s">
        <v>1135</v>
      </c>
      <c r="U179" s="387"/>
      <c r="V179" s="387"/>
      <c r="W179" s="387"/>
    </row>
    <row r="180" spans="1:23" ht="78.75" x14ac:dyDescent="0.2">
      <c r="A180" s="13" t="str">
        <f>_xlfn.CONCAT(VLOOKUP(Check[[#This Row],[סטטוס]],Sold,2,FALSE),IF(Check[[#This Row],[סטטוס]]="פנויה",IF(N180="גמר מלא סטנדרט",".GMS",IF(N180="גמר מלא טיוב חומרים",".GMC",IF(N180="גמר מינימלי",".GM",IF(N180="דירת שיווק",".DS","")))),""),".",VLOOKUP(Check[[#This Row],[טיפוס]],Tipus[],5,FALSE),".",VLOOKUP(Check[[#This Row],[מגדל]],Tower,2,FALSE),".Ap.",Check[[#This Row],[מספר דירה]])</f>
        <v>V.GMC.S.4B.TS.Ap.178</v>
      </c>
      <c r="B180" s="13" t="str">
        <f>_xlfn.CONCAT(VLOOKUP(Check[[#This Row],[סטטוס]],Sold,2,FALSE),IF(Check[[#This Row],[סטטוס]]="פנויה",IF(N180="גמר מלא סטנדרט",".GMS",IF(N180="גמר מלא טיוב חומרים",".GMC",IF(N180="גמר מינימלי",".GM",IF(N180="דירת שיווק",".DS","")))),""),IF(M180="זומן לטרום",".ZLT",IF(M180="טרום מסירה",".TM",IF(M180="טרום מסירה מהנדס",".TMM",IF(M180="מסירת חזקה",".MH",IF(M180="מסירת חזקה מהנדס",".MHM",""))))),".",VLOOKUP(Check[[#This Row],[טיפוס]],Tipus[],5,FALSE),".",VLOOKUP(Check[[#This Row],[מגדל]],Tower,2,FALSE),".Ap.",Check[[#This Row],[מספר דירה]])</f>
        <v>V.GMC.S.4B.TS.Ap.178</v>
      </c>
      <c r="C180" s="3" t="s">
        <v>55</v>
      </c>
      <c r="D180" s="3">
        <v>21</v>
      </c>
      <c r="E180" s="4">
        <v>178</v>
      </c>
      <c r="F180" s="3">
        <v>2108</v>
      </c>
      <c r="G180" s="3" t="s">
        <v>16</v>
      </c>
      <c r="H180" s="3">
        <f>VLOOKUP(Check[[#This Row],[טיפוס]],Tipus[],2,FALSE)</f>
        <v>4</v>
      </c>
      <c r="I180" s="3" t="str">
        <f>VLOOKUP(Check[[#This Row],[טיפוס]],Tipus[],3,FALSE)</f>
        <v>סטנדרט</v>
      </c>
      <c r="J180" s="3" t="str">
        <f>VLOOKUP(Check[[#This Row],[טיפוס]],Tipus[],4,FALSE)</f>
        <v>H</v>
      </c>
      <c r="K180" s="3" t="str">
        <f>IF(Check[[#This Row],[סטטוס2]]="הולד","פנויה",Check[[#This Row],[סטטוס2]])</f>
        <v>פנויה</v>
      </c>
      <c r="L180" s="397" t="s">
        <v>108</v>
      </c>
      <c r="M180" s="397"/>
      <c r="N180" t="s">
        <v>1417</v>
      </c>
      <c r="O180" s="422" t="s">
        <v>1396</v>
      </c>
      <c r="P180" s="410" t="s">
        <v>1385</v>
      </c>
      <c r="Q180" s="410" t="s">
        <v>1393</v>
      </c>
      <c r="R180" s="399"/>
      <c r="S180" s="384"/>
      <c r="T180" s="398"/>
      <c r="U180" s="385"/>
      <c r="V180" s="385"/>
      <c r="W180" s="387"/>
    </row>
    <row r="181" spans="1:23" x14ac:dyDescent="0.2">
      <c r="A181" s="13" t="str">
        <f>_xlfn.CONCAT(VLOOKUP(Check[[#This Row],[סטטוס]],Sold,2,FALSE),IF(Check[[#This Row],[סטטוס]]="פנויה",IF(N181="גמר מלא סטנדרט",".GMS",IF(N181="גמר מלא טיוב חומרים",".GMC",IF(N181="גמר מינימלי",".GM",IF(N181="דירת שיווק",".DS","")))),""),".",VLOOKUP(Check[[#This Row],[טיפוס]],Tipus[],5,FALSE),".",VLOOKUP(Check[[#This Row],[מגדל]],Tower,2,FALSE),".Ap.",Check[[#This Row],[מספר דירה]])</f>
        <v>O.S.3F.TS.Ap.179</v>
      </c>
      <c r="B181" s="13" t="str">
        <f>_xlfn.CONCAT(VLOOKUP(Check[[#This Row],[סטטוס]],Sold,2,FALSE),IF(Check[[#This Row],[סטטוס]]="פנויה",IF(N181="גמר מלא סטנדרט",".GMS",IF(N181="גמר מלא טיוב חומרים",".GMC",IF(N181="גמר מינימלי",".GM",IF(N181="דירת שיווק",".DS","")))),""),IF(M181="זומן לטרום",".ZLT",IF(M181="טרום מסירה",".TM",IF(M181="טרום מסירה מהנדס",".TMM",IF(M181="מסירת חזקה",".MH",IF(M181="מסירת חזקה מהנדס",".MHM",""))))),".",VLOOKUP(Check[[#This Row],[טיפוס]],Tipus[],5,FALSE),".",VLOOKUP(Check[[#This Row],[מגדל]],Tower,2,FALSE),".Ap.",Check[[#This Row],[מספר דירה]])</f>
        <v>O.S.3F.TS.Ap.179</v>
      </c>
      <c r="C181" s="3" t="s">
        <v>55</v>
      </c>
      <c r="D181" s="3">
        <v>22</v>
      </c>
      <c r="E181" s="4">
        <v>179</v>
      </c>
      <c r="F181" s="3">
        <v>2201</v>
      </c>
      <c r="G181" s="3" t="s">
        <v>23</v>
      </c>
      <c r="H181" s="3">
        <f>VLOOKUP(Check[[#This Row],[טיפוס]],Tipus[],2,FALSE)</f>
        <v>3</v>
      </c>
      <c r="I181" s="3" t="str">
        <f>VLOOKUP(Check[[#This Row],[טיפוס]],Tipus[],3,FALSE)</f>
        <v>סטנדרט</v>
      </c>
      <c r="J181" s="3" t="str">
        <f>VLOOKUP(Check[[#This Row],[טיפוס]],Tipus[],4,FALSE)</f>
        <v>G</v>
      </c>
      <c r="K181" s="3" t="str">
        <f>IF(Check[[#This Row],[סטטוס2]]="הולד","פנויה",Check[[#This Row],[סטטוס2]])</f>
        <v>בעלים</v>
      </c>
      <c r="L181" s="382" t="s">
        <v>91</v>
      </c>
      <c r="M181" s="382"/>
      <c r="N181" s="383"/>
      <c r="O181" s="383"/>
      <c r="P181" s="411"/>
      <c r="Q181" s="411"/>
      <c r="R181" s="383"/>
      <c r="S181" s="384">
        <v>44040</v>
      </c>
      <c r="T181" s="384" t="s">
        <v>223</v>
      </c>
      <c r="U181" s="385" t="s">
        <v>442</v>
      </c>
      <c r="V181" s="385" t="s">
        <v>214</v>
      </c>
      <c r="W181" s="385" t="s">
        <v>214</v>
      </c>
    </row>
    <row r="182" spans="1:23" x14ac:dyDescent="0.2">
      <c r="A182" s="13" t="str">
        <f>_xlfn.CONCAT(VLOOKUP(Check[[#This Row],[סטטוס]],Sold,2,FALSE),IF(Check[[#This Row],[סטטוס]]="פנויה",IF(N182="גמר מלא סטנדרט",".GMS",IF(N182="גמר מלא טיוב חומרים",".GMC",IF(N182="גמר מינימלי",".GM",IF(N182="דירת שיווק",".DS","")))),""),".",VLOOKUP(Check[[#This Row],[טיפוס]],Tipus[],5,FALSE),".",VLOOKUP(Check[[#This Row],[מגדל]],Tower,2,FALSE),".Ap.",Check[[#This Row],[מספר דירה]])</f>
        <v>S.S.3G.TS.Ap.180</v>
      </c>
      <c r="B182" s="13" t="str">
        <f>_xlfn.CONCAT(VLOOKUP(Check[[#This Row],[סטטוס]],Sold,2,FALSE),IF(Check[[#This Row],[סטטוס]]="פנויה",IF(N182="גמר מלא סטנדרט",".GMS",IF(N182="גמר מלא טיוב חומרים",".GMC",IF(N182="גמר מינימלי",".GM",IF(N182="דירת שיווק",".DS","")))),""),IF(M182="זומן לטרום",".ZLT",IF(M182="טרום מסירה",".TM",IF(M182="טרום מסירה מהנדס",".TMM",IF(M182="מסירת חזקה",".MH",IF(M182="מסירת חזקה מהנדס",".MHM",""))))),".",VLOOKUP(Check[[#This Row],[טיפוס]],Tipus[],5,FALSE),".",VLOOKUP(Check[[#This Row],[מגדל]],Tower,2,FALSE),".Ap.",Check[[#This Row],[מספר דירה]])</f>
        <v>S.S.3G.TS.Ap.180</v>
      </c>
      <c r="C182" s="3" t="s">
        <v>55</v>
      </c>
      <c r="D182" s="3">
        <v>22</v>
      </c>
      <c r="E182" s="4">
        <v>180</v>
      </c>
      <c r="F182" s="3">
        <v>2202</v>
      </c>
      <c r="G182" s="3" t="s">
        <v>22</v>
      </c>
      <c r="H182" s="3">
        <f>VLOOKUP(Check[[#This Row],[טיפוס]],Tipus[],2,FALSE)</f>
        <v>3</v>
      </c>
      <c r="I182" s="3" t="str">
        <f>VLOOKUP(Check[[#This Row],[טיפוס]],Tipus[],3,FALSE)</f>
        <v>סטנדרט</v>
      </c>
      <c r="J182" s="3" t="str">
        <f>VLOOKUP(Check[[#This Row],[טיפוס]],Tipus[],4,FALSE)</f>
        <v>E</v>
      </c>
      <c r="K182" s="3" t="str">
        <f>IF(Check[[#This Row],[סטטוס2]]="הולד","פנויה",Check[[#This Row],[סטטוס2]])</f>
        <v>מכורה</v>
      </c>
      <c r="L182" s="382" t="s">
        <v>130</v>
      </c>
      <c r="M182" s="382"/>
      <c r="N182" s="383"/>
      <c r="O182" s="407"/>
      <c r="P182" s="411"/>
      <c r="Q182" s="411"/>
      <c r="R182" s="383"/>
      <c r="S182" s="386">
        <v>44452</v>
      </c>
      <c r="T182" s="386" t="s">
        <v>1106</v>
      </c>
      <c r="U182" s="385" t="s">
        <v>1000</v>
      </c>
      <c r="V182" s="387"/>
      <c r="W182" s="387"/>
    </row>
    <row r="183" spans="1:23" x14ac:dyDescent="0.2">
      <c r="A183" s="13" t="str">
        <f>_xlfn.CONCAT(VLOOKUP(Check[[#This Row],[סטטוס]],Sold,2,FALSE),IF(Check[[#This Row],[סטטוס]]="פנויה",IF(N183="גמר מלא סטנדרט",".GMS",IF(N183="גמר מלא טיוב חומרים",".GMC",IF(N183="גמר מינימלי",".GM",IF(N183="דירת שיווק",".DS","")))),""),".",VLOOKUP(Check[[#This Row],[טיפוס]],Tipus[],5,FALSE),".",VLOOKUP(Check[[#This Row],[מגדל]],Tower,2,FALSE),".Ap.",Check[[#This Row],[מספר דירה]])</f>
        <v>V.GMS.S.3A.TS.Ap.181</v>
      </c>
      <c r="B183" s="13" t="str">
        <f>_xlfn.CONCAT(VLOOKUP(Check[[#This Row],[סטטוס]],Sold,2,FALSE),IF(Check[[#This Row],[סטטוס]]="פנויה",IF(N183="גמר מלא סטנדרט",".GMS",IF(N183="גמר מלא טיוב חומרים",".GMC",IF(N183="גמר מינימלי",".GM",IF(N183="דירת שיווק",".DS","")))),""),IF(M183="זומן לטרום",".ZLT",IF(M183="טרום מסירה",".TM",IF(M183="טרום מסירה מהנדס",".TMM",IF(M183="מסירת חזקה",".MH",IF(M183="מסירת חזקה מהנדס",".MHM",""))))),".",VLOOKUP(Check[[#This Row],[טיפוס]],Tipus[],5,FALSE),".",VLOOKUP(Check[[#This Row],[מגדל]],Tower,2,FALSE),".Ap.",Check[[#This Row],[מספר דירה]])</f>
        <v>V.GMS.S.3A.TS.Ap.181</v>
      </c>
      <c r="C183" s="3" t="s">
        <v>55</v>
      </c>
      <c r="D183" s="3">
        <v>22</v>
      </c>
      <c r="E183" s="4">
        <v>181</v>
      </c>
      <c r="F183" s="3">
        <v>2203</v>
      </c>
      <c r="G183" s="3" t="s">
        <v>9</v>
      </c>
      <c r="H183" s="3">
        <f>VLOOKUP(Check[[#This Row],[טיפוס]],Tipus[],2,FALSE)</f>
        <v>3</v>
      </c>
      <c r="I183" s="3" t="str">
        <f>VLOOKUP(Check[[#This Row],[טיפוס]],Tipus[],3,FALSE)</f>
        <v>סטנדרט</v>
      </c>
      <c r="J183" s="3" t="str">
        <f>VLOOKUP(Check[[#This Row],[טיפוס]],Tipus[],4,FALSE)</f>
        <v>D</v>
      </c>
      <c r="K183" s="3" t="str">
        <f>IF(Check[[#This Row],[סטטוס2]]="הולד","פנויה",Check[[#This Row],[סטטוס2]])</f>
        <v>פנויה</v>
      </c>
      <c r="L183" s="382" t="s">
        <v>108</v>
      </c>
      <c r="M183" s="382"/>
      <c r="N183" t="s">
        <v>1367</v>
      </c>
      <c r="O183" s="383" t="s">
        <v>1390</v>
      </c>
      <c r="P183" s="410" t="s">
        <v>1389</v>
      </c>
      <c r="Q183" s="410"/>
      <c r="R183" s="383"/>
      <c r="S183" s="384"/>
      <c r="T183" s="384" t="s">
        <v>214</v>
      </c>
      <c r="U183" s="385"/>
      <c r="V183" s="385"/>
      <c r="W183" s="387"/>
    </row>
    <row r="184" spans="1:23" x14ac:dyDescent="0.2">
      <c r="A184" s="13" t="str">
        <f>_xlfn.CONCAT(VLOOKUP(Check[[#This Row],[סטטוס]],Sold,2,FALSE),IF(Check[[#This Row],[סטטוס]]="פנויה",IF(N184="גמר מלא סטנדרט",".GMS",IF(N184="גמר מלא טיוב חומרים",".GMC",IF(N184="גמר מינימלי",".GM",IF(N184="דירת שיווק",".DS","")))),""),".",VLOOKUP(Check[[#This Row],[טיפוס]],Tipus[],5,FALSE),".",VLOOKUP(Check[[#This Row],[מגדל]],Tower,2,FALSE),".Ap.",Check[[#This Row],[מספר דירה]])</f>
        <v>O.S.2D.TS.Ap.182</v>
      </c>
      <c r="B184" s="13" t="str">
        <f>_xlfn.CONCAT(VLOOKUP(Check[[#This Row],[סטטוס]],Sold,2,FALSE),IF(Check[[#This Row],[סטטוס]]="פנויה",IF(N184="גמר מלא סטנדרט",".GMS",IF(N184="גמר מלא טיוב חומרים",".GMC",IF(N184="גמר מינימלי",".GM",IF(N184="דירת שיווק",".DS","")))),""),IF(M184="זומן לטרום",".ZLT",IF(M184="טרום מסירה",".TM",IF(M184="טרום מסירה מהנדס",".TMM",IF(M184="מסירת חזקה",".MH",IF(M184="מסירת חזקה מהנדס",".MHM",""))))),".",VLOOKUP(Check[[#This Row],[טיפוס]],Tipus[],5,FALSE),".",VLOOKUP(Check[[#This Row],[מגדל]],Tower,2,FALSE),".Ap.",Check[[#This Row],[מספר דירה]])</f>
        <v>O.S.2D.TS.Ap.182</v>
      </c>
      <c r="C184" s="3" t="s">
        <v>55</v>
      </c>
      <c r="D184" s="3">
        <v>22</v>
      </c>
      <c r="E184" s="4">
        <v>182</v>
      </c>
      <c r="F184" s="3">
        <v>2204</v>
      </c>
      <c r="G184" s="3" t="s">
        <v>10</v>
      </c>
      <c r="H184" s="3">
        <f>VLOOKUP(Check[[#This Row],[טיפוס]],Tipus[],2,FALSE)</f>
        <v>2</v>
      </c>
      <c r="I184" s="3" t="str">
        <f>VLOOKUP(Check[[#This Row],[טיפוס]],Tipus[],3,FALSE)</f>
        <v>סטנדרט</v>
      </c>
      <c r="J184" s="3" t="str">
        <f>VLOOKUP(Check[[#This Row],[טיפוס]],Tipus[],4,FALSE)</f>
        <v>C</v>
      </c>
      <c r="K184" s="3" t="str">
        <f>IF(Check[[#This Row],[סטטוס2]]="הולד","פנויה",Check[[#This Row],[סטטוס2]])</f>
        <v>בעלים</v>
      </c>
      <c r="L184" s="382" t="s">
        <v>91</v>
      </c>
      <c r="M184" s="382"/>
      <c r="N184" s="383"/>
      <c r="O184" s="407"/>
      <c r="P184" s="411"/>
      <c r="Q184" s="411"/>
      <c r="R184" s="383"/>
      <c r="S184" s="384">
        <v>44040</v>
      </c>
      <c r="T184" s="384" t="s">
        <v>1151</v>
      </c>
      <c r="U184" s="385" t="s">
        <v>443</v>
      </c>
      <c r="V184" s="385" t="s">
        <v>214</v>
      </c>
      <c r="W184" s="385" t="s">
        <v>214</v>
      </c>
    </row>
    <row r="185" spans="1:23" x14ac:dyDescent="0.2">
      <c r="A185" s="13" t="str">
        <f>_xlfn.CONCAT(VLOOKUP(Check[[#This Row],[סטטוס]],Sold,2,FALSE),IF(Check[[#This Row],[סטטוס]]="פנויה",IF(N185="גמר מלא סטנדרט",".GMS",IF(N185="גמר מלא טיוב חומרים",".GMC",IF(N185="גמר מינימלי",".GM",IF(N185="דירת שיווק",".DS","")))),""),".",VLOOKUP(Check[[#This Row],[טיפוס]],Tipus[],5,FALSE),".",VLOOKUP(Check[[#This Row],[מגדל]],Tower,2,FALSE),".Ap.",Check[[#This Row],[מספר דירה]])</f>
        <v>S.S.4C.TS.Ap.183</v>
      </c>
      <c r="B185" s="13" t="str">
        <f>_xlfn.CONCAT(VLOOKUP(Check[[#This Row],[סטטוס]],Sold,2,FALSE),IF(Check[[#This Row],[סטטוס]]="פנויה",IF(N185="גמר מלא סטנדרט",".GMS",IF(N185="גמר מלא טיוב חומרים",".GMC",IF(N185="גמר מינימלי",".GM",IF(N185="דירת שיווק",".DS","")))),""),IF(M185="זומן לטרום",".ZLT",IF(M185="טרום מסירה",".TM",IF(M185="טרום מסירה מהנדס",".TMM",IF(M185="מסירת חזקה",".MH",IF(M185="מסירת חזקה מהנדס",".MHM",""))))),".",VLOOKUP(Check[[#This Row],[טיפוס]],Tipus[],5,FALSE),".",VLOOKUP(Check[[#This Row],[מגדל]],Tower,2,FALSE),".Ap.",Check[[#This Row],[מספר דירה]])</f>
        <v>S.S.4C.TS.Ap.183</v>
      </c>
      <c r="C185" s="3" t="s">
        <v>55</v>
      </c>
      <c r="D185" s="3">
        <v>22</v>
      </c>
      <c r="E185" s="4">
        <v>183</v>
      </c>
      <c r="F185" s="3">
        <v>2205</v>
      </c>
      <c r="G185" s="3" t="s">
        <v>26</v>
      </c>
      <c r="H185" s="3">
        <f>VLOOKUP(Check[[#This Row],[טיפוס]],Tipus[],2,FALSE)</f>
        <v>4</v>
      </c>
      <c r="I185" s="3" t="str">
        <f>VLOOKUP(Check[[#This Row],[טיפוס]],Tipus[],3,FALSE)</f>
        <v>סטנדרט</v>
      </c>
      <c r="J185" s="3" t="str">
        <f>VLOOKUP(Check[[#This Row],[טיפוס]],Tipus[],4,FALSE)</f>
        <v>A</v>
      </c>
      <c r="K185" s="3" t="str">
        <f>IF(Check[[#This Row],[סטטוס2]]="הולד","פנויה",Check[[#This Row],[סטטוס2]])</f>
        <v>מכורה</v>
      </c>
      <c r="L185" s="382" t="s">
        <v>130</v>
      </c>
      <c r="M185" s="382"/>
      <c r="N185" s="383"/>
      <c r="O185" s="407"/>
      <c r="P185" s="411"/>
      <c r="Q185" s="411"/>
      <c r="R185" s="383"/>
      <c r="S185" s="386">
        <v>44724</v>
      </c>
      <c r="T185" s="386" t="s">
        <v>1136</v>
      </c>
      <c r="U185" s="385" t="s">
        <v>1001</v>
      </c>
      <c r="V185" s="385" t="s">
        <v>1002</v>
      </c>
      <c r="W185" s="387"/>
    </row>
    <row r="186" spans="1:23" x14ac:dyDescent="0.2">
      <c r="A186" s="13" t="str">
        <f>_xlfn.CONCAT(VLOOKUP(Check[[#This Row],[סטטוס]],Sold,2,FALSE),IF(Check[[#This Row],[סטטוס]]="פנויה",IF(N186="גמר מלא סטנדרט",".GMS",IF(N186="גמר מלא טיוב חומרים",".GMC",IF(N186="גמר מינימלי",".GM",IF(N186="דירת שיווק",".DS","")))),""),".",VLOOKUP(Check[[#This Row],[טיפוס]],Tipus[],5,FALSE),".",VLOOKUP(Check[[#This Row],[מגדל]],Tower,2,FALSE),".Ap.",Check[[#This Row],[מספר דירה]])</f>
        <v>S.S.5A.TS.Ap.184</v>
      </c>
      <c r="B186" s="13" t="str">
        <f>_xlfn.CONCAT(VLOOKUP(Check[[#This Row],[סטטוס]],Sold,2,FALSE),IF(Check[[#This Row],[סטטוס]]="פנויה",IF(N186="גמר מלא סטנדרט",".GMS",IF(N186="גמר מלא טיוב חומרים",".GMC",IF(N186="גמר מינימלי",".GM",IF(N186="דירת שיווק",".DS","")))),""),IF(M186="זומן לטרום",".ZLT",IF(M186="טרום מסירה",".TM",IF(M186="טרום מסירה מהנדס",".TMM",IF(M186="מסירת חזקה",".MH",IF(M186="מסירת חזקה מהנדס",".MHM",""))))),".",VLOOKUP(Check[[#This Row],[טיפוס]],Tipus[],5,FALSE),".",VLOOKUP(Check[[#This Row],[מגדל]],Tower,2,FALSE),".Ap.",Check[[#This Row],[מספר דירה]])</f>
        <v>S.S.5A.TS.Ap.184</v>
      </c>
      <c r="C186" s="3" t="s">
        <v>55</v>
      </c>
      <c r="D186" s="3">
        <v>22</v>
      </c>
      <c r="E186" s="4">
        <v>184</v>
      </c>
      <c r="F186" s="3">
        <v>2206</v>
      </c>
      <c r="G186" s="3" t="s">
        <v>25</v>
      </c>
      <c r="H186" s="3">
        <f>VLOOKUP(Check[[#This Row],[טיפוס]],Tipus[],2,FALSE)</f>
        <v>5</v>
      </c>
      <c r="I186" s="3" t="str">
        <f>VLOOKUP(Check[[#This Row],[טיפוס]],Tipus[],3,FALSE)</f>
        <v>סטנדרט</v>
      </c>
      <c r="J186" s="3" t="str">
        <f>VLOOKUP(Check[[#This Row],[טיפוס]],Tipus[],4,FALSE)</f>
        <v>J</v>
      </c>
      <c r="K186" s="3" t="str">
        <f>IF(Check[[#This Row],[סטטוס2]]="הולד","פנויה",Check[[#This Row],[סטטוס2]])</f>
        <v>מכורה</v>
      </c>
      <c r="L186" s="382" t="s">
        <v>130</v>
      </c>
      <c r="M186" s="382"/>
      <c r="N186" s="383"/>
      <c r="O186" s="407"/>
      <c r="P186" s="411"/>
      <c r="Q186" s="411"/>
      <c r="R186" s="383"/>
      <c r="S186" s="384">
        <v>45774</v>
      </c>
      <c r="T186" s="384" t="s">
        <v>1304</v>
      </c>
      <c r="U186" s="385" t="s">
        <v>1260</v>
      </c>
      <c r="V186" s="385" t="s">
        <v>1261</v>
      </c>
      <c r="W186" s="388" t="s">
        <v>1262</v>
      </c>
    </row>
    <row r="187" spans="1:23" x14ac:dyDescent="0.2">
      <c r="A187" s="13" t="str">
        <f>_xlfn.CONCAT(VLOOKUP(Check[[#This Row],[סטטוס]],Sold,2,FALSE),IF(Check[[#This Row],[סטטוס]]="פנויה",IF(N187="גמר מלא סטנדרט",".GMS",IF(N187="גמר מלא טיוב חומרים",".GMC",IF(N187="גמר מינימלי",".GM",IF(N187="דירת שיווק",".DS","")))),""),".",VLOOKUP(Check[[#This Row],[טיפוס]],Tipus[],5,FALSE),".",VLOOKUP(Check[[#This Row],[מגדל]],Tower,2,FALSE),".Ap.",Check[[#This Row],[מספר דירה]])</f>
        <v>S.S.5B.TS.Ap.185</v>
      </c>
      <c r="B187" s="13" t="str">
        <f>_xlfn.CONCAT(VLOOKUP(Check[[#This Row],[סטטוס]],Sold,2,FALSE),IF(Check[[#This Row],[סטטוס]]="פנויה",IF(N187="גמר מלא סטנדרט",".GMS",IF(N187="גמר מלא טיוב חומרים",".GMC",IF(N187="גמר מינימלי",".GM",IF(N187="דירת שיווק",".DS","")))),""),IF(M187="זומן לטרום",".ZLT",IF(M187="טרום מסירה",".TM",IF(M187="טרום מסירה מהנדס",".TMM",IF(M187="מסירת חזקה",".MH",IF(M187="מסירת חזקה מהנדס",".MHM",""))))),".",VLOOKUP(Check[[#This Row],[טיפוס]],Tipus[],5,FALSE),".",VLOOKUP(Check[[#This Row],[מגדל]],Tower,2,FALSE),".Ap.",Check[[#This Row],[מספר דירה]])</f>
        <v>S.S.5B.TS.Ap.185</v>
      </c>
      <c r="C187" s="3" t="s">
        <v>55</v>
      </c>
      <c r="D187" s="3">
        <v>22</v>
      </c>
      <c r="E187" s="4">
        <v>185</v>
      </c>
      <c r="F187" s="3">
        <v>2207</v>
      </c>
      <c r="G187" s="3" t="s">
        <v>24</v>
      </c>
      <c r="H187" s="3">
        <f>VLOOKUP(Check[[#This Row],[טיפוס]],Tipus[],2,FALSE)</f>
        <v>5</v>
      </c>
      <c r="I187" s="3" t="str">
        <f>VLOOKUP(Check[[#This Row],[טיפוס]],Tipus[],3,FALSE)</f>
        <v>סטנדרט</v>
      </c>
      <c r="J187" s="3" t="str">
        <f>VLOOKUP(Check[[#This Row],[טיפוס]],Tipus[],4,FALSE)</f>
        <v>H</v>
      </c>
      <c r="K187" s="3" t="str">
        <f>IF(Check[[#This Row],[סטטוס2]]="הולד","פנויה",Check[[#This Row],[סטטוס2]])</f>
        <v>מכורה</v>
      </c>
      <c r="L187" s="382" t="s">
        <v>130</v>
      </c>
      <c r="M187" s="382"/>
      <c r="N187" s="383" t="s">
        <v>1286</v>
      </c>
      <c r="O187" s="407" t="s">
        <v>1375</v>
      </c>
      <c r="P187" s="411"/>
      <c r="Q187" s="411"/>
      <c r="R187" s="383"/>
      <c r="S187" s="384"/>
      <c r="T187" s="384" t="s">
        <v>214</v>
      </c>
      <c r="U187" s="385"/>
      <c r="V187" s="385"/>
      <c r="W187" s="387"/>
    </row>
    <row r="188" spans="1:23" x14ac:dyDescent="0.2">
      <c r="A188" s="13" t="str">
        <f>_xlfn.CONCAT(VLOOKUP(Check[[#This Row],[סטטוס]],Sold,2,FALSE),IF(Check[[#This Row],[סטטוס]]="פנויה",IF(N188="גמר מלא סטנדרט",".GMS",IF(N188="גמר מלא טיוב חומרים",".GMC",IF(N188="גמר מינימלי",".GM",IF(N188="דירת שיווק",".DS","")))),""),".",VLOOKUP(Check[[#This Row],[טיפוס]],Tipus[],5,FALSE),".",VLOOKUP(Check[[#This Row],[מגדל]],Tower,2,FALSE),".Ap.",Check[[#This Row],[מספר דירה]])</f>
        <v>O.S.3F.TS.Ap.186</v>
      </c>
      <c r="B188" s="13" t="str">
        <f>_xlfn.CONCAT(VLOOKUP(Check[[#This Row],[סטטוס]],Sold,2,FALSE),IF(Check[[#This Row],[סטטוס]]="פנויה",IF(N188="גמר מלא סטנדרט",".GMS",IF(N188="גמר מלא טיוב חומרים",".GMC",IF(N188="גמר מינימלי",".GM",IF(N188="דירת שיווק",".DS","")))),""),IF(M188="זומן לטרום",".ZLT",IF(M188="טרום מסירה",".TM",IF(M188="טרום מסירה מהנדס",".TMM",IF(M188="מסירת חזקה",".MH",IF(M188="מסירת חזקה מהנדס",".MHM",""))))),".",VLOOKUP(Check[[#This Row],[טיפוס]],Tipus[],5,FALSE),".",VLOOKUP(Check[[#This Row],[מגדל]],Tower,2,FALSE),".Ap.",Check[[#This Row],[מספר דירה]])</f>
        <v>O.S.3F.TS.Ap.186</v>
      </c>
      <c r="C188" s="3" t="s">
        <v>55</v>
      </c>
      <c r="D188" s="3">
        <v>23</v>
      </c>
      <c r="E188" s="4">
        <v>186</v>
      </c>
      <c r="F188" s="3">
        <v>2301</v>
      </c>
      <c r="G188" s="3" t="s">
        <v>23</v>
      </c>
      <c r="H188" s="3">
        <f>VLOOKUP(Check[[#This Row],[טיפוס]],Tipus[],2,FALSE)</f>
        <v>3</v>
      </c>
      <c r="I188" s="3" t="str">
        <f>VLOOKUP(Check[[#This Row],[טיפוס]],Tipus[],3,FALSE)</f>
        <v>סטנדרט</v>
      </c>
      <c r="J188" s="3" t="str">
        <f>VLOOKUP(Check[[#This Row],[טיפוס]],Tipus[],4,FALSE)</f>
        <v>G</v>
      </c>
      <c r="K188" s="3" t="str">
        <f>IF(Check[[#This Row],[סטטוס2]]="הולד","פנויה",Check[[#This Row],[סטטוס2]])</f>
        <v>בעלים</v>
      </c>
      <c r="L188" s="382" t="s">
        <v>91</v>
      </c>
      <c r="M188" s="382"/>
      <c r="N188" s="383"/>
      <c r="O188" s="407"/>
      <c r="P188" s="411"/>
      <c r="Q188" s="411"/>
      <c r="R188" s="383"/>
      <c r="S188" s="384">
        <v>44040</v>
      </c>
      <c r="T188" s="384" t="s">
        <v>444</v>
      </c>
      <c r="U188" s="385" t="s">
        <v>445</v>
      </c>
      <c r="V188" s="385" t="s">
        <v>214</v>
      </c>
      <c r="W188" s="385" t="s">
        <v>446</v>
      </c>
    </row>
    <row r="189" spans="1:23" x14ac:dyDescent="0.2">
      <c r="A189" s="13" t="str">
        <f>_xlfn.CONCAT(VLOOKUP(Check[[#This Row],[סטטוס]],Sold,2,FALSE),IF(Check[[#This Row],[סטטוס]]="פנויה",IF(N189="גמר מלא סטנדרט",".GMS",IF(N189="גמר מלא טיוב חומרים",".GMC",IF(N189="גמר מינימלי",".GM",IF(N189="דירת שיווק",".DS","")))),""),".",VLOOKUP(Check[[#This Row],[טיפוס]],Tipus[],5,FALSE),".",VLOOKUP(Check[[#This Row],[מגדל]],Tower,2,FALSE),".Ap.",Check[[#This Row],[מספר דירה]])</f>
        <v>S.S.3G.TS.Ap.187</v>
      </c>
      <c r="B189" s="13" t="str">
        <f>_xlfn.CONCAT(VLOOKUP(Check[[#This Row],[סטטוס]],Sold,2,FALSE),IF(Check[[#This Row],[סטטוס]]="פנויה",IF(N189="גמר מלא סטנדרט",".GMS",IF(N189="גמר מלא טיוב חומרים",".GMC",IF(N189="גמר מינימלי",".GM",IF(N189="דירת שיווק",".DS","")))),""),IF(M189="זומן לטרום",".ZLT",IF(M189="טרום מסירה",".TM",IF(M189="טרום מסירה מהנדס",".TMM",IF(M189="מסירת חזקה",".MH",IF(M189="מסירת חזקה מהנדס",".MHM",""))))),".",VLOOKUP(Check[[#This Row],[טיפוס]],Tipus[],5,FALSE),".",VLOOKUP(Check[[#This Row],[מגדל]],Tower,2,FALSE),".Ap.",Check[[#This Row],[מספר דירה]])</f>
        <v>S.S.3G.TS.Ap.187</v>
      </c>
      <c r="C189" s="3" t="s">
        <v>55</v>
      </c>
      <c r="D189" s="3">
        <v>23</v>
      </c>
      <c r="E189" s="4">
        <v>187</v>
      </c>
      <c r="F189" s="3">
        <v>2302</v>
      </c>
      <c r="G189" s="3" t="s">
        <v>22</v>
      </c>
      <c r="H189" s="3">
        <f>VLOOKUP(Check[[#This Row],[טיפוס]],Tipus[],2,FALSE)</f>
        <v>3</v>
      </c>
      <c r="I189" s="3" t="str">
        <f>VLOOKUP(Check[[#This Row],[טיפוס]],Tipus[],3,FALSE)</f>
        <v>סטנדרט</v>
      </c>
      <c r="J189" s="3" t="str">
        <f>VLOOKUP(Check[[#This Row],[טיפוס]],Tipus[],4,FALSE)</f>
        <v>E</v>
      </c>
      <c r="K189" s="3" t="str">
        <f>IF(Check[[#This Row],[סטטוס2]]="הולד","פנויה",Check[[#This Row],[סטטוס2]])</f>
        <v>מכורה</v>
      </c>
      <c r="L189" s="382" t="s">
        <v>130</v>
      </c>
      <c r="M189" s="382"/>
      <c r="N189" s="383"/>
      <c r="O189" s="407"/>
      <c r="P189" s="411"/>
      <c r="Q189" s="411"/>
      <c r="R189" s="383"/>
      <c r="S189" s="386">
        <v>44532</v>
      </c>
      <c r="T189" s="386" t="s">
        <v>1305</v>
      </c>
      <c r="U189" s="385" t="s">
        <v>1003</v>
      </c>
      <c r="V189" s="387"/>
      <c r="W189" s="387"/>
    </row>
    <row r="190" spans="1:23" x14ac:dyDescent="0.2">
      <c r="A190" s="13" t="str">
        <f>_xlfn.CONCAT(VLOOKUP(Check[[#This Row],[סטטוס]],Sold,2,FALSE),IF(Check[[#This Row],[סטטוס]]="פנויה",IF(N190="גמר מלא סטנדרט",".GMS",IF(N190="גמר מלא טיוב חומרים",".GMC",IF(N190="גמר מינימלי",".GM",IF(N190="דירת שיווק",".DS","")))),""),".",VLOOKUP(Check[[#This Row],[טיפוס]],Tipus[],5,FALSE),".",VLOOKUP(Check[[#This Row],[מגדל]],Tower,2,FALSE),".Ap.",Check[[#This Row],[מספר דירה]])</f>
        <v>S.S.3A.TS.Ap.188</v>
      </c>
      <c r="B190" s="13" t="str">
        <f>_xlfn.CONCAT(VLOOKUP(Check[[#This Row],[סטטוס]],Sold,2,FALSE),IF(Check[[#This Row],[סטטוס]]="פנויה",IF(N190="גמר מלא סטנדרט",".GMS",IF(N190="גמר מלא טיוב חומרים",".GMC",IF(N190="גמר מינימלי",".GM",IF(N190="דירת שיווק",".DS","")))),""),IF(M190="זומן לטרום",".ZLT",IF(M190="טרום מסירה",".TM",IF(M190="טרום מסירה מהנדס",".TMM",IF(M190="מסירת חזקה",".MH",IF(M190="מסירת חזקה מהנדס",".MHM",""))))),".",VLOOKUP(Check[[#This Row],[טיפוס]],Tipus[],5,FALSE),".",VLOOKUP(Check[[#This Row],[מגדל]],Tower,2,FALSE),".Ap.",Check[[#This Row],[מספר דירה]])</f>
        <v>S.S.3A.TS.Ap.188</v>
      </c>
      <c r="C190" s="3" t="s">
        <v>55</v>
      </c>
      <c r="D190" s="3">
        <v>23</v>
      </c>
      <c r="E190" s="4">
        <v>188</v>
      </c>
      <c r="F190" s="3">
        <v>2303</v>
      </c>
      <c r="G190" s="3" t="s">
        <v>9</v>
      </c>
      <c r="H190" s="3">
        <f>VLOOKUP(Check[[#This Row],[טיפוס]],Tipus[],2,FALSE)</f>
        <v>3</v>
      </c>
      <c r="I190" s="3" t="str">
        <f>VLOOKUP(Check[[#This Row],[טיפוס]],Tipus[],3,FALSE)</f>
        <v>סטנדרט</v>
      </c>
      <c r="J190" s="3" t="str">
        <f>VLOOKUP(Check[[#This Row],[טיפוס]],Tipus[],4,FALSE)</f>
        <v>D</v>
      </c>
      <c r="K190" s="3" t="str">
        <f>IF(Check[[#This Row],[סטטוס2]]="הולד","פנויה",Check[[#This Row],[סטטוס2]])</f>
        <v>מכורה</v>
      </c>
      <c r="L190" s="382" t="s">
        <v>130</v>
      </c>
      <c r="M190" s="382"/>
      <c r="N190" s="383"/>
      <c r="O190" s="407"/>
      <c r="P190" s="412"/>
      <c r="Q190" s="412"/>
      <c r="R190" s="383"/>
      <c r="S190" s="384">
        <v>45750</v>
      </c>
      <c r="T190" s="384" t="s">
        <v>1225</v>
      </c>
      <c r="U190" s="385" t="s">
        <v>1273</v>
      </c>
      <c r="V190" s="385"/>
      <c r="W190" s="389" t="s">
        <v>1274</v>
      </c>
    </row>
    <row r="191" spans="1:23" ht="78.75" x14ac:dyDescent="0.2">
      <c r="A191" s="13" t="str">
        <f>_xlfn.CONCAT(VLOOKUP(Check[[#This Row],[סטטוס]],Sold,2,FALSE),IF(Check[[#This Row],[סטטוס]]="פנויה",IF(N191="גמר מלא סטנדרט",".GMS",IF(N191="גמר מלא טיוב חומרים",".GMC",IF(N191="גמר מינימלי",".GM",IF(N191="דירת שיווק",".DS","")))),""),".",VLOOKUP(Check[[#This Row],[טיפוס]],Tipus[],5,FALSE),".",VLOOKUP(Check[[#This Row],[מגדל]],Tower,2,FALSE),".Ap.",Check[[#This Row],[מספר דירה]])</f>
        <v>V.GMC.S.2D.TS.Ap.189</v>
      </c>
      <c r="B191" s="13" t="str">
        <f>_xlfn.CONCAT(VLOOKUP(Check[[#This Row],[סטטוס]],Sold,2,FALSE),IF(Check[[#This Row],[סטטוס]]="פנויה",IF(N191="גמר מלא סטנדרט",".GMS",IF(N191="גמר מלא טיוב חומרים",".GMC",IF(N191="גמר מינימלי",".GM",IF(N191="דירת שיווק",".DS","")))),""),IF(M191="זומן לטרום",".ZLT",IF(M191="טרום מסירה",".TM",IF(M191="טרום מסירה מהנדס",".TMM",IF(M191="מסירת חזקה",".MH",IF(M191="מסירת חזקה מהנדס",".MHM",""))))),".",VLOOKUP(Check[[#This Row],[טיפוס]],Tipus[],5,FALSE),".",VLOOKUP(Check[[#This Row],[מגדל]],Tower,2,FALSE),".Ap.",Check[[#This Row],[מספר דירה]])</f>
        <v>V.GMC.S.2D.TS.Ap.189</v>
      </c>
      <c r="C191" s="3" t="s">
        <v>55</v>
      </c>
      <c r="D191" s="3">
        <v>23</v>
      </c>
      <c r="E191" s="4">
        <v>189</v>
      </c>
      <c r="F191" s="3">
        <v>2304</v>
      </c>
      <c r="G191" s="3" t="s">
        <v>10</v>
      </c>
      <c r="H191" s="3">
        <f>VLOOKUP(Check[[#This Row],[טיפוס]],Tipus[],2,FALSE)</f>
        <v>2</v>
      </c>
      <c r="I191" s="3" t="str">
        <f>VLOOKUP(Check[[#This Row],[טיפוס]],Tipus[],3,FALSE)</f>
        <v>סטנדרט</v>
      </c>
      <c r="J191" s="3" t="str">
        <f>VLOOKUP(Check[[#This Row],[טיפוס]],Tipus[],4,FALSE)</f>
        <v>C</v>
      </c>
      <c r="K191" s="3" t="str">
        <f>IF(Check[[#This Row],[סטטוס2]]="הולד","פנויה",Check[[#This Row],[סטטוס2]])</f>
        <v>פנויה</v>
      </c>
      <c r="L191" s="382" t="s">
        <v>108</v>
      </c>
      <c r="M191" s="382"/>
      <c r="N191" t="s">
        <v>1417</v>
      </c>
      <c r="O191" s="422" t="s">
        <v>1396</v>
      </c>
      <c r="P191" s="410" t="s">
        <v>1385</v>
      </c>
      <c r="Q191" s="410" t="s">
        <v>1393</v>
      </c>
      <c r="R191" s="383"/>
      <c r="S191" s="386"/>
      <c r="T191" s="398"/>
      <c r="U191" s="387"/>
      <c r="V191" s="387"/>
      <c r="W191" s="387"/>
    </row>
    <row r="192" spans="1:23" x14ac:dyDescent="0.2">
      <c r="A192" s="13" t="str">
        <f>_xlfn.CONCAT(VLOOKUP(Check[[#This Row],[סטטוס]],Sold,2,FALSE),IF(Check[[#This Row],[סטטוס]]="פנויה",IF(N192="גמר מלא סטנדרט",".GMS",IF(N192="גמר מלא טיוב חומרים",".GMC",IF(N192="גמר מינימלי",".GM",IF(N192="דירת שיווק",".DS","")))),""),".",VLOOKUP(Check[[#This Row],[טיפוס]],Tipus[],5,FALSE),".",VLOOKUP(Check[[#This Row],[מגדל]],Tower,2,FALSE),".Ap.",Check[[#This Row],[מספר דירה]])</f>
        <v>S.S.4C.TS.Ap.190</v>
      </c>
      <c r="B192" s="13" t="str">
        <f>_xlfn.CONCAT(VLOOKUP(Check[[#This Row],[סטטוס]],Sold,2,FALSE),IF(Check[[#This Row],[סטטוס]]="פנויה",IF(N192="גמר מלא סטנדרט",".GMS",IF(N192="גמר מלא טיוב חומרים",".GMC",IF(N192="גמר מינימלי",".GM",IF(N192="דירת שיווק",".DS","")))),""),IF(M192="זומן לטרום",".ZLT",IF(M192="טרום מסירה",".TM",IF(M192="טרום מסירה מהנדס",".TMM",IF(M192="מסירת חזקה",".MH",IF(M192="מסירת חזקה מהנדס",".MHM",""))))),".",VLOOKUP(Check[[#This Row],[טיפוס]],Tipus[],5,FALSE),".",VLOOKUP(Check[[#This Row],[מגדל]],Tower,2,FALSE),".Ap.",Check[[#This Row],[מספר דירה]])</f>
        <v>S.S.4C.TS.Ap.190</v>
      </c>
      <c r="C192" s="3" t="s">
        <v>55</v>
      </c>
      <c r="D192" s="3">
        <v>23</v>
      </c>
      <c r="E192" s="4">
        <v>190</v>
      </c>
      <c r="F192" s="3">
        <v>2305</v>
      </c>
      <c r="G192" s="3" t="s">
        <v>26</v>
      </c>
      <c r="H192" s="3">
        <f>VLOOKUP(Check[[#This Row],[טיפוס]],Tipus[],2,FALSE)</f>
        <v>4</v>
      </c>
      <c r="I192" s="3" t="str">
        <f>VLOOKUP(Check[[#This Row],[טיפוס]],Tipus[],3,FALSE)</f>
        <v>סטנדרט</v>
      </c>
      <c r="J192" s="3" t="str">
        <f>VLOOKUP(Check[[#This Row],[טיפוס]],Tipus[],4,FALSE)</f>
        <v>A</v>
      </c>
      <c r="K192" s="3" t="str">
        <f>IF(Check[[#This Row],[סטטוס2]]="הולד","פנויה",Check[[#This Row],[סטטוס2]])</f>
        <v>מכורה</v>
      </c>
      <c r="L192" s="382" t="s">
        <v>130</v>
      </c>
      <c r="M192" s="382"/>
      <c r="N192" s="383"/>
      <c r="O192" s="407"/>
      <c r="P192" s="411"/>
      <c r="Q192" s="411"/>
      <c r="R192" s="383"/>
      <c r="S192" s="384">
        <v>45435</v>
      </c>
      <c r="T192" s="384" t="s">
        <v>1215</v>
      </c>
      <c r="U192" s="385"/>
      <c r="V192" s="385"/>
      <c r="W192" s="387"/>
    </row>
    <row r="193" spans="1:23" x14ac:dyDescent="0.2">
      <c r="A193" s="13" t="str">
        <f>_xlfn.CONCAT(VLOOKUP(Check[[#This Row],[סטטוס]],Sold,2,FALSE),IF(Check[[#This Row],[סטטוס]]="פנויה",IF(N193="גמר מלא סטנדרט",".GMS",IF(N193="גמר מלא טיוב חומרים",".GMC",IF(N193="גמר מינימלי",".GM",IF(N193="דירת שיווק",".DS","")))),""),".",VLOOKUP(Check[[#This Row],[טיפוס]],Tipus[],5,FALSE),".",VLOOKUP(Check[[#This Row],[מגדל]],Tower,2,FALSE),".Ap.",Check[[#This Row],[מספר דירה]])</f>
        <v>S.S.5A.TS.Ap.191</v>
      </c>
      <c r="B193" s="13" t="str">
        <f>_xlfn.CONCAT(VLOOKUP(Check[[#This Row],[סטטוס]],Sold,2,FALSE),IF(Check[[#This Row],[סטטוס]]="פנויה",IF(N193="גמר מלא סטנדרט",".GMS",IF(N193="גמר מלא טיוב חומרים",".GMC",IF(N193="גמר מינימלי",".GM",IF(N193="דירת שיווק",".DS","")))),""),IF(M193="זומן לטרום",".ZLT",IF(M193="טרום מסירה",".TM",IF(M193="טרום מסירה מהנדס",".TMM",IF(M193="מסירת חזקה",".MH",IF(M193="מסירת חזקה מהנדס",".MHM",""))))),".",VLOOKUP(Check[[#This Row],[טיפוס]],Tipus[],5,FALSE),".",VLOOKUP(Check[[#This Row],[מגדל]],Tower,2,FALSE),".Ap.",Check[[#This Row],[מספר דירה]])</f>
        <v>S.S.5A.TS.Ap.191</v>
      </c>
      <c r="C193" s="3" t="s">
        <v>55</v>
      </c>
      <c r="D193" s="3">
        <v>23</v>
      </c>
      <c r="E193" s="4">
        <v>191</v>
      </c>
      <c r="F193" s="3">
        <v>2306</v>
      </c>
      <c r="G193" s="3" t="s">
        <v>25</v>
      </c>
      <c r="H193" s="3">
        <f>VLOOKUP(Check[[#This Row],[טיפוס]],Tipus[],2,FALSE)</f>
        <v>5</v>
      </c>
      <c r="I193" s="3" t="str">
        <f>VLOOKUP(Check[[#This Row],[טיפוס]],Tipus[],3,FALSE)</f>
        <v>סטנדרט</v>
      </c>
      <c r="J193" s="3" t="str">
        <f>VLOOKUP(Check[[#This Row],[טיפוס]],Tipus[],4,FALSE)</f>
        <v>J</v>
      </c>
      <c r="K193" s="3" t="str">
        <f>IF(Check[[#This Row],[סטטוס2]]="הולד","פנויה",Check[[#This Row],[סטטוס2]])</f>
        <v>מכורה</v>
      </c>
      <c r="L193" s="382" t="s">
        <v>130</v>
      </c>
      <c r="M193" s="382"/>
      <c r="N193" s="383"/>
      <c r="O193" s="407"/>
      <c r="P193" s="411"/>
      <c r="Q193" s="411"/>
      <c r="R193" s="383"/>
      <c r="S193" s="384">
        <v>45837</v>
      </c>
      <c r="T193" s="384" t="s">
        <v>1256</v>
      </c>
      <c r="U193" s="385" t="s">
        <v>1264</v>
      </c>
      <c r="V193" s="385" t="s">
        <v>1265</v>
      </c>
      <c r="W193" s="387"/>
    </row>
    <row r="194" spans="1:23" x14ac:dyDescent="0.2">
      <c r="A194" s="13" t="str">
        <f>_xlfn.CONCAT(VLOOKUP(Check[[#This Row],[סטטוס]],Sold,2,FALSE),IF(Check[[#This Row],[סטטוס]]="פנויה",IF(N194="גמר מלא סטנדרט",".GMS",IF(N194="גמר מלא טיוב חומרים",".GMC",IF(N194="גמר מינימלי",".GM",IF(N194="דירת שיווק",".DS","")))),""),".",VLOOKUP(Check[[#This Row],[טיפוס]],Tipus[],5,FALSE),".",VLOOKUP(Check[[#This Row],[מגדל]],Tower,2,FALSE),".Ap.",Check[[#This Row],[מספר דירה]])</f>
        <v>S.S.5B.TS.Ap.192</v>
      </c>
      <c r="B194" s="13" t="str">
        <f>_xlfn.CONCAT(VLOOKUP(Check[[#This Row],[סטטוס]],Sold,2,FALSE),IF(Check[[#This Row],[סטטוס]]="פנויה",IF(N194="גמר מלא סטנדרט",".GMS",IF(N194="גמר מלא טיוב חומרים",".GMC",IF(N194="גמר מינימלי",".GM",IF(N194="דירת שיווק",".DS","")))),""),IF(M194="זומן לטרום",".ZLT",IF(M194="טרום מסירה",".TM",IF(M194="טרום מסירה מהנדס",".TMM",IF(M194="מסירת חזקה",".MH",IF(M194="מסירת חזקה מהנדס",".MHM",""))))),".",VLOOKUP(Check[[#This Row],[טיפוס]],Tipus[],5,FALSE),".",VLOOKUP(Check[[#This Row],[מגדל]],Tower,2,FALSE),".Ap.",Check[[#This Row],[מספר דירה]])</f>
        <v>S.S.5B.TS.Ap.192</v>
      </c>
      <c r="C194" s="3" t="s">
        <v>55</v>
      </c>
      <c r="D194" s="3">
        <v>23</v>
      </c>
      <c r="E194" s="4">
        <v>192</v>
      </c>
      <c r="F194" s="3">
        <v>2307</v>
      </c>
      <c r="G194" s="3" t="s">
        <v>24</v>
      </c>
      <c r="H194" s="3">
        <f>VLOOKUP(Check[[#This Row],[טיפוס]],Tipus[],2,FALSE)</f>
        <v>5</v>
      </c>
      <c r="I194" s="3" t="str">
        <f>VLOOKUP(Check[[#This Row],[טיפוס]],Tipus[],3,FALSE)</f>
        <v>סטנדרט</v>
      </c>
      <c r="J194" s="3" t="str">
        <f>VLOOKUP(Check[[#This Row],[טיפוס]],Tipus[],4,FALSE)</f>
        <v>H</v>
      </c>
      <c r="K194" s="3" t="str">
        <f>IF(Check[[#This Row],[סטטוס2]]="הולד","פנויה",Check[[#This Row],[סטטוס2]])</f>
        <v>מכורה</v>
      </c>
      <c r="L194" s="382" t="s">
        <v>130</v>
      </c>
      <c r="M194" s="382"/>
      <c r="N194" s="383"/>
      <c r="O194" s="407" t="s">
        <v>1376</v>
      </c>
      <c r="P194" s="414"/>
      <c r="Q194" s="414"/>
      <c r="R194" s="383"/>
      <c r="S194" s="384">
        <v>46001</v>
      </c>
      <c r="T194" s="384" t="s">
        <v>1276</v>
      </c>
      <c r="U194" s="385" t="s">
        <v>1277</v>
      </c>
      <c r="V194" s="385" t="s">
        <v>1278</v>
      </c>
      <c r="W194" s="389" t="s">
        <v>1279</v>
      </c>
    </row>
    <row r="195" spans="1:23" x14ac:dyDescent="0.2">
      <c r="A195" s="13" t="str">
        <f>_xlfn.CONCAT(VLOOKUP(Check[[#This Row],[סטטוס]],Sold,2,FALSE),IF(Check[[#This Row],[סטטוס]]="פנויה",IF(N195="גמר מלא סטנדרט",".GMS",IF(N195="גמר מלא טיוב חומרים",".GMC",IF(N195="גמר מינימלי",".GM",IF(N195="דירת שיווק",".DS","")))),""),".",VLOOKUP(Check[[#This Row],[טיפוס]],Tipus[],5,FALSE),".",VLOOKUP(Check[[#This Row],[מגדל]],Tower,2,FALSE),".Ap.",Check[[#This Row],[מספר דירה]])</f>
        <v>S.S.3F.TS.Ap.193</v>
      </c>
      <c r="B195" s="13" t="str">
        <f>_xlfn.CONCAT(VLOOKUP(Check[[#This Row],[סטטוס]],Sold,2,FALSE),IF(Check[[#This Row],[סטטוס]]="פנויה",IF(N195="גמר מלא סטנדרט",".GMS",IF(N195="גמר מלא טיוב חומרים",".GMC",IF(N195="גמר מינימלי",".GM",IF(N195="דירת שיווק",".DS","")))),""),IF(M195="זומן לטרום",".ZLT",IF(M195="טרום מסירה",".TM",IF(M195="טרום מסירה מהנדס",".TMM",IF(M195="מסירת חזקה",".MH",IF(M195="מסירת חזקה מהנדס",".MHM",""))))),".",VLOOKUP(Check[[#This Row],[טיפוס]],Tipus[],5,FALSE),".",VLOOKUP(Check[[#This Row],[מגדל]],Tower,2,FALSE),".Ap.",Check[[#This Row],[מספר דירה]])</f>
        <v>S.S.3F.TS.Ap.193</v>
      </c>
      <c r="C195" s="3" t="s">
        <v>55</v>
      </c>
      <c r="D195" s="3">
        <v>24</v>
      </c>
      <c r="E195" s="4">
        <v>193</v>
      </c>
      <c r="F195" s="3">
        <v>2401</v>
      </c>
      <c r="G195" s="3" t="s">
        <v>23</v>
      </c>
      <c r="H195" s="3">
        <f>VLOOKUP(Check[[#This Row],[טיפוס]],Tipus[],2,FALSE)</f>
        <v>3</v>
      </c>
      <c r="I195" s="3" t="str">
        <f>VLOOKUP(Check[[#This Row],[טיפוס]],Tipus[],3,FALSE)</f>
        <v>סטנדרט</v>
      </c>
      <c r="J195" s="3" t="str">
        <f>VLOOKUP(Check[[#This Row],[טיפוס]],Tipus[],4,FALSE)</f>
        <v>G</v>
      </c>
      <c r="K195" s="3" t="str">
        <f>IF(Check[[#This Row],[סטטוס2]]="הולד","פנויה",Check[[#This Row],[סטטוס2]])</f>
        <v>מכורה</v>
      </c>
      <c r="L195" s="382" t="s">
        <v>130</v>
      </c>
      <c r="M195" s="382"/>
      <c r="N195" s="383"/>
      <c r="O195" s="407"/>
      <c r="P195" s="411"/>
      <c r="Q195" s="411"/>
      <c r="R195" s="383"/>
      <c r="S195" s="386">
        <v>44600</v>
      </c>
      <c r="T195" s="386" t="s">
        <v>1137</v>
      </c>
      <c r="U195" s="385" t="s">
        <v>1004</v>
      </c>
      <c r="V195" s="387"/>
      <c r="W195" s="387"/>
    </row>
    <row r="196" spans="1:23" x14ac:dyDescent="0.2">
      <c r="A196" s="13" t="str">
        <f>_xlfn.CONCAT(VLOOKUP(Check[[#This Row],[סטטוס]],Sold,2,FALSE),IF(Check[[#This Row],[סטטוס]]="פנויה",IF(N196="גמר מלא סטנדרט",".GMS",IF(N196="גמר מלא טיוב חומרים",".GMC",IF(N196="גמר מינימלי",".GM",IF(N196="דירת שיווק",".DS","")))),""),".",VLOOKUP(Check[[#This Row],[טיפוס]],Tipus[],5,FALSE),".",VLOOKUP(Check[[#This Row],[מגדל]],Tower,2,FALSE),".Ap.",Check[[#This Row],[מספר דירה]])</f>
        <v>S.S.3G.TS.Ap.194</v>
      </c>
      <c r="B196" s="13" t="str">
        <f>_xlfn.CONCAT(VLOOKUP(Check[[#This Row],[סטטוס]],Sold,2,FALSE),IF(Check[[#This Row],[סטטוס]]="פנויה",IF(N196="גמר מלא סטנדרט",".GMS",IF(N196="גמר מלא טיוב חומרים",".GMC",IF(N196="גמר מינימלי",".GM",IF(N196="דירת שיווק",".DS","")))),""),IF(M196="זומן לטרום",".ZLT",IF(M196="טרום מסירה",".TM",IF(M196="טרום מסירה מהנדס",".TMM",IF(M196="מסירת חזקה",".MH",IF(M196="מסירת חזקה מהנדס",".MHM",""))))),".",VLOOKUP(Check[[#This Row],[טיפוס]],Tipus[],5,FALSE),".",VLOOKUP(Check[[#This Row],[מגדל]],Tower,2,FALSE),".Ap.",Check[[#This Row],[מספר דירה]])</f>
        <v>S.S.3G.TS.Ap.194</v>
      </c>
      <c r="C196" s="3" t="s">
        <v>55</v>
      </c>
      <c r="D196" s="3">
        <v>24</v>
      </c>
      <c r="E196" s="4">
        <v>194</v>
      </c>
      <c r="F196" s="3">
        <v>2402</v>
      </c>
      <c r="G196" s="3" t="s">
        <v>22</v>
      </c>
      <c r="H196" s="3">
        <f>VLOOKUP(Check[[#This Row],[טיפוס]],Tipus[],2,FALSE)</f>
        <v>3</v>
      </c>
      <c r="I196" s="3" t="str">
        <f>VLOOKUP(Check[[#This Row],[טיפוס]],Tipus[],3,FALSE)</f>
        <v>סטנדרט</v>
      </c>
      <c r="J196" s="3" t="str">
        <f>VLOOKUP(Check[[#This Row],[טיפוס]],Tipus[],4,FALSE)</f>
        <v>E</v>
      </c>
      <c r="K196" s="3" t="str">
        <f>IF(Check[[#This Row],[סטטוס2]]="הולד","פנויה",Check[[#This Row],[סטטוס2]])</f>
        <v>מכורה</v>
      </c>
      <c r="L196" s="382" t="s">
        <v>130</v>
      </c>
      <c r="M196" s="382"/>
      <c r="N196" s="383"/>
      <c r="O196" s="407"/>
      <c r="P196" s="411" t="s">
        <v>1381</v>
      </c>
      <c r="Q196" s="411"/>
      <c r="R196" s="383"/>
      <c r="S196" s="386">
        <v>44532</v>
      </c>
      <c r="T196" s="386" t="s">
        <v>1306</v>
      </c>
      <c r="U196" s="385" t="s">
        <v>1005</v>
      </c>
      <c r="V196" s="387"/>
      <c r="W196" s="387"/>
    </row>
    <row r="197" spans="1:23" x14ac:dyDescent="0.2">
      <c r="A197" s="13" t="str">
        <f>_xlfn.CONCAT(VLOOKUP(Check[[#This Row],[סטטוס]],Sold,2,FALSE),IF(Check[[#This Row],[סטטוס]]="פנויה",IF(N197="גמר מלא סטנדרט",".GMS",IF(N197="גמר מלא טיוב חומרים",".GMC",IF(N197="גמר מינימלי",".GM",IF(N197="דירת שיווק",".DS","")))),""),".",VLOOKUP(Check[[#This Row],[טיפוס]],Tipus[],5,FALSE),".",VLOOKUP(Check[[#This Row],[מגדל]],Tower,2,FALSE),".Ap.",Check[[#This Row],[מספר דירה]])</f>
        <v>S.S.3A.TS.Ap.195</v>
      </c>
      <c r="B197" s="13" t="str">
        <f>_xlfn.CONCAT(VLOOKUP(Check[[#This Row],[סטטוס]],Sold,2,FALSE),IF(Check[[#This Row],[סטטוס]]="פנויה",IF(N197="גמר מלא סטנדרט",".GMS",IF(N197="גמר מלא טיוב חומרים",".GMC",IF(N197="גמר מינימלי",".GM",IF(N197="דירת שיווק",".DS","")))),""),IF(M197="זומן לטרום",".ZLT",IF(M197="טרום מסירה",".TM",IF(M197="טרום מסירה מהנדס",".TMM",IF(M197="מסירת חזקה",".MH",IF(M197="מסירת חזקה מהנדס",".MHM",""))))),".",VLOOKUP(Check[[#This Row],[טיפוס]],Tipus[],5,FALSE),".",VLOOKUP(Check[[#This Row],[מגדל]],Tower,2,FALSE),".Ap.",Check[[#This Row],[מספר דירה]])</f>
        <v>S.S.3A.TS.Ap.195</v>
      </c>
      <c r="C197" s="3" t="s">
        <v>55</v>
      </c>
      <c r="D197" s="3">
        <v>24</v>
      </c>
      <c r="E197" s="4">
        <v>195</v>
      </c>
      <c r="F197" s="3">
        <v>2403</v>
      </c>
      <c r="G197" s="3" t="s">
        <v>9</v>
      </c>
      <c r="H197" s="3">
        <f>VLOOKUP(Check[[#This Row],[טיפוס]],Tipus[],2,FALSE)</f>
        <v>3</v>
      </c>
      <c r="I197" s="3" t="str">
        <f>VLOOKUP(Check[[#This Row],[טיפוס]],Tipus[],3,FALSE)</f>
        <v>סטנדרט</v>
      </c>
      <c r="J197" s="3" t="str">
        <f>VLOOKUP(Check[[#This Row],[טיפוס]],Tipus[],4,FALSE)</f>
        <v>D</v>
      </c>
      <c r="K197" s="3" t="str">
        <f>IF(Check[[#This Row],[סטטוס2]]="הולד","פנויה",Check[[#This Row],[סטטוס2]])</f>
        <v>מכורה</v>
      </c>
      <c r="L197" s="382" t="s">
        <v>130</v>
      </c>
      <c r="M197" s="382"/>
      <c r="N197" s="383"/>
      <c r="O197" s="407"/>
      <c r="P197" s="411"/>
      <c r="Q197" s="411"/>
      <c r="R197" s="383"/>
      <c r="S197" s="384">
        <v>46017</v>
      </c>
      <c r="T197" s="384" t="s">
        <v>1280</v>
      </c>
      <c r="U197" s="385" t="s">
        <v>1281</v>
      </c>
      <c r="V197" s="385"/>
      <c r="W197" s="387"/>
    </row>
    <row r="198" spans="1:23" x14ac:dyDescent="0.2">
      <c r="A198" s="13" t="str">
        <f>_xlfn.CONCAT(VLOOKUP(Check[[#This Row],[סטטוס]],Sold,2,FALSE),IF(Check[[#This Row],[סטטוס]]="פנויה",IF(N198="גמר מלא סטנדרט",".GMS",IF(N198="גמר מלא טיוב חומרים",".GMC",IF(N198="גמר מינימלי",".GM",IF(N198="דירת שיווק",".DS","")))),""),".",VLOOKUP(Check[[#This Row],[טיפוס]],Tipus[],5,FALSE),".",VLOOKUP(Check[[#This Row],[מגדל]],Tower,2,FALSE),".Ap.",Check[[#This Row],[מספר דירה]])</f>
        <v>S.S.2D.TS.Ap.196</v>
      </c>
      <c r="B198" s="13" t="str">
        <f>_xlfn.CONCAT(VLOOKUP(Check[[#This Row],[סטטוס]],Sold,2,FALSE),IF(Check[[#This Row],[סטטוס]]="פנויה",IF(N198="גמר מלא סטנדרט",".GMS",IF(N198="גמר מלא טיוב חומרים",".GMC",IF(N198="גמר מינימלי",".GM",IF(N198="דירת שיווק",".DS","")))),""),IF(M198="זומן לטרום",".ZLT",IF(M198="טרום מסירה",".TM",IF(M198="טרום מסירה מהנדס",".TMM",IF(M198="מסירת חזקה",".MH",IF(M198="מסירת חזקה מהנדס",".MHM",""))))),".",VLOOKUP(Check[[#This Row],[טיפוס]],Tipus[],5,FALSE),".",VLOOKUP(Check[[#This Row],[מגדל]],Tower,2,FALSE),".Ap.",Check[[#This Row],[מספר דירה]])</f>
        <v>S.S.2D.TS.Ap.196</v>
      </c>
      <c r="C198" s="3" t="s">
        <v>55</v>
      </c>
      <c r="D198" s="3">
        <v>24</v>
      </c>
      <c r="E198" s="4">
        <v>196</v>
      </c>
      <c r="F198" s="3">
        <v>2404</v>
      </c>
      <c r="G198" s="3" t="s">
        <v>10</v>
      </c>
      <c r="H198" s="3">
        <f>VLOOKUP(Check[[#This Row],[טיפוס]],Tipus[],2,FALSE)</f>
        <v>2</v>
      </c>
      <c r="I198" s="3" t="str">
        <f>VLOOKUP(Check[[#This Row],[טיפוס]],Tipus[],3,FALSE)</f>
        <v>סטנדרט</v>
      </c>
      <c r="J198" s="3" t="str">
        <f>VLOOKUP(Check[[#This Row],[טיפוס]],Tipus[],4,FALSE)</f>
        <v>C</v>
      </c>
      <c r="K198" s="3" t="str">
        <f>IF(Check[[#This Row],[סטטוס2]]="הולד","פנויה",Check[[#This Row],[סטטוס2]])</f>
        <v>מכורה</v>
      </c>
      <c r="L198" s="382" t="s">
        <v>130</v>
      </c>
      <c r="M198" s="382"/>
      <c r="N198" s="383"/>
      <c r="O198" s="383"/>
      <c r="P198" s="411"/>
      <c r="Q198" s="411"/>
      <c r="R198" s="383"/>
      <c r="S198" s="386">
        <v>44762</v>
      </c>
      <c r="T198" s="386" t="s">
        <v>1071</v>
      </c>
      <c r="U198" s="387"/>
      <c r="V198" s="387"/>
      <c r="W198" s="387"/>
    </row>
    <row r="199" spans="1:23" x14ac:dyDescent="0.2">
      <c r="A199" s="13" t="str">
        <f>_xlfn.CONCAT(VLOOKUP(Check[[#This Row],[סטטוס]],Sold,2,FALSE),IF(Check[[#This Row],[סטטוס]]="פנויה",IF(N199="גמר מלא סטנדרט",".GMS",IF(N199="גמר מלא טיוב חומרים",".GMC",IF(N199="גמר מינימלי",".GM",IF(N199="דירת שיווק",".DS","")))),""),".",VLOOKUP(Check[[#This Row],[טיפוס]],Tipus[],5,FALSE),".",VLOOKUP(Check[[#This Row],[מגדל]],Tower,2,FALSE),".Ap.",Check[[#This Row],[מספר דירה]])</f>
        <v>S.S.4C.TS.Ap.197</v>
      </c>
      <c r="B199" s="13" t="str">
        <f>_xlfn.CONCAT(VLOOKUP(Check[[#This Row],[סטטוס]],Sold,2,FALSE),IF(Check[[#This Row],[סטטוס]]="פנויה",IF(N199="גמר מלא סטנדרט",".GMS",IF(N199="גמר מלא טיוב חומרים",".GMC",IF(N199="גמר מינימלי",".GM",IF(N199="דירת שיווק",".DS","")))),""),IF(M199="זומן לטרום",".ZLT",IF(M199="טרום מסירה",".TM",IF(M199="טרום מסירה מהנדס",".TMM",IF(M199="מסירת חזקה",".MH",IF(M199="מסירת חזקה מהנדס",".MHM",""))))),".",VLOOKUP(Check[[#This Row],[טיפוס]],Tipus[],5,FALSE),".",VLOOKUP(Check[[#This Row],[מגדל]],Tower,2,FALSE),".Ap.",Check[[#This Row],[מספר דירה]])</f>
        <v>S.S.4C.TS.Ap.197</v>
      </c>
      <c r="C199" s="3" t="s">
        <v>55</v>
      </c>
      <c r="D199" s="3">
        <v>24</v>
      </c>
      <c r="E199" s="4">
        <v>197</v>
      </c>
      <c r="F199" s="3">
        <v>2405</v>
      </c>
      <c r="G199" s="3" t="s">
        <v>26</v>
      </c>
      <c r="H199" s="3">
        <f>VLOOKUP(Check[[#This Row],[טיפוס]],Tipus[],2,FALSE)</f>
        <v>4</v>
      </c>
      <c r="I199" s="3" t="str">
        <f>VLOOKUP(Check[[#This Row],[טיפוס]],Tipus[],3,FALSE)</f>
        <v>סטנדרט</v>
      </c>
      <c r="J199" s="3" t="str">
        <f>VLOOKUP(Check[[#This Row],[טיפוס]],Tipus[],4,FALSE)</f>
        <v>A</v>
      </c>
      <c r="K199" s="3" t="str">
        <f>IF(Check[[#This Row],[סטטוס2]]="הולד","פנויה",Check[[#This Row],[סטטוס2]])</f>
        <v>מכורה</v>
      </c>
      <c r="L199" s="382" t="s">
        <v>130</v>
      </c>
      <c r="M199" s="382"/>
      <c r="N199" s="383"/>
      <c r="O199" s="383"/>
      <c r="P199" s="411"/>
      <c r="Q199" s="411"/>
      <c r="R199" s="383"/>
      <c r="S199" s="386">
        <v>44440</v>
      </c>
      <c r="T199" s="386" t="s">
        <v>1071</v>
      </c>
      <c r="U199" s="385" t="s">
        <v>1006</v>
      </c>
      <c r="V199" s="385" t="s">
        <v>1007</v>
      </c>
      <c r="W199" s="387"/>
    </row>
    <row r="200" spans="1:23" x14ac:dyDescent="0.2">
      <c r="A200" s="13" t="str">
        <f>_xlfn.CONCAT(VLOOKUP(Check[[#This Row],[סטטוס]],Sold,2,FALSE),IF(Check[[#This Row],[סטטוס]]="פנויה",IF(N200="גמר מלא סטנדרט",".GMS",IF(N200="גמר מלא טיוב חומרים",".GMC",IF(N200="גמר מינימלי",".GM",IF(N200="דירת שיווק",".DS","")))),""),".",VLOOKUP(Check[[#This Row],[טיפוס]],Tipus[],5,FALSE),".",VLOOKUP(Check[[#This Row],[מגדל]],Tower,2,FALSE),".Ap.",Check[[#This Row],[מספר דירה]])</f>
        <v>S.S.5A.TS.Ap.198</v>
      </c>
      <c r="B200" s="13" t="str">
        <f>_xlfn.CONCAT(VLOOKUP(Check[[#This Row],[סטטוס]],Sold,2,FALSE),IF(Check[[#This Row],[סטטוס]]="פנויה",IF(N200="גמר מלא סטנדרט",".GMS",IF(N200="גמר מלא טיוב חומרים",".GMC",IF(N200="גמר מינימלי",".GM",IF(N200="דירת שיווק",".DS","")))),""),IF(M200="זומן לטרום",".ZLT",IF(M200="טרום מסירה",".TM",IF(M200="טרום מסירה מהנדס",".TMM",IF(M200="מסירת חזקה",".MH",IF(M200="מסירת חזקה מהנדס",".MHM",""))))),".",VLOOKUP(Check[[#This Row],[טיפוס]],Tipus[],5,FALSE),".",VLOOKUP(Check[[#This Row],[מגדל]],Tower,2,FALSE),".Ap.",Check[[#This Row],[מספר דירה]])</f>
        <v>S.S.5A.TS.Ap.198</v>
      </c>
      <c r="C200" s="3" t="s">
        <v>55</v>
      </c>
      <c r="D200" s="3">
        <v>24</v>
      </c>
      <c r="E200" s="4">
        <v>198</v>
      </c>
      <c r="F200" s="3">
        <v>2406</v>
      </c>
      <c r="G200" s="3" t="s">
        <v>25</v>
      </c>
      <c r="H200" s="3">
        <f>VLOOKUP(Check[[#This Row],[טיפוס]],Tipus[],2,FALSE)</f>
        <v>5</v>
      </c>
      <c r="I200" s="3" t="str">
        <f>VLOOKUP(Check[[#This Row],[טיפוס]],Tipus[],3,FALSE)</f>
        <v>סטנדרט</v>
      </c>
      <c r="J200" s="3" t="str">
        <f>VLOOKUP(Check[[#This Row],[טיפוס]],Tipus[],4,FALSE)</f>
        <v>J</v>
      </c>
      <c r="K200" s="3" t="str">
        <f>IF(Check[[#This Row],[סטטוס2]]="הולד","פנויה",Check[[#This Row],[סטטוס2]])</f>
        <v>מכורה</v>
      </c>
      <c r="L200" s="382" t="s">
        <v>130</v>
      </c>
      <c r="M200" s="382"/>
      <c r="N200" s="383"/>
      <c r="O200" s="383"/>
      <c r="P200" s="411"/>
      <c r="Q200" s="411"/>
      <c r="R200" s="383"/>
      <c r="S200" s="386">
        <v>44440</v>
      </c>
      <c r="T200" s="386" t="s">
        <v>1071</v>
      </c>
      <c r="U200" s="385" t="s">
        <v>1008</v>
      </c>
      <c r="V200" s="385" t="s">
        <v>1009</v>
      </c>
      <c r="W200" s="387"/>
    </row>
    <row r="201" spans="1:23" ht="141.75" x14ac:dyDescent="0.2">
      <c r="A201" s="13" t="str">
        <f>_xlfn.CONCAT(VLOOKUP(Check[[#This Row],[סטטוס]],Sold,2,FALSE),IF(Check[[#This Row],[סטטוס]]="פנויה",IF(N201="גמר מלא סטנדרט",".GMS",IF(N201="גמר מלא טיוב חומרים",".GMC",IF(N201="גמר מינימלי",".GM",IF(N201="דירת שיווק",".DS","")))),""),".",VLOOKUP(Check[[#This Row],[טיפוס]],Tipus[],5,FALSE),".",VLOOKUP(Check[[#This Row],[מגדל]],Tower,2,FALSE),".Ap.",Check[[#This Row],[מספר דירה]])</f>
        <v>V.GMC.S.5B.TS.Ap.199</v>
      </c>
      <c r="B201" s="13" t="str">
        <f>_xlfn.CONCAT(VLOOKUP(Check[[#This Row],[סטטוס]],Sold,2,FALSE),IF(Check[[#This Row],[סטטוס]]="פנויה",IF(N201="גמר מלא סטנדרט",".GMS",IF(N201="גמר מלא טיוב חומרים",".GMC",IF(N201="גמר מינימלי",".GM",IF(N201="דירת שיווק",".DS","")))),""),IF(M201="זומן לטרום",".ZLT",IF(M201="טרום מסירה",".TM",IF(M201="טרום מסירה מהנדס",".TMM",IF(M201="מסירת חזקה",".MH",IF(M201="מסירת חזקה מהנדס",".MHM",""))))),".",VLOOKUP(Check[[#This Row],[טיפוס]],Tipus[],5,FALSE),".",VLOOKUP(Check[[#This Row],[מגדל]],Tower,2,FALSE),".Ap.",Check[[#This Row],[מספר דירה]])</f>
        <v>V.GMC.S.5B.TS.Ap.199</v>
      </c>
      <c r="C201" s="3" t="s">
        <v>55</v>
      </c>
      <c r="D201" s="3">
        <v>24</v>
      </c>
      <c r="E201" s="4">
        <v>199</v>
      </c>
      <c r="F201" s="3">
        <v>2407</v>
      </c>
      <c r="G201" s="3" t="s">
        <v>24</v>
      </c>
      <c r="H201" s="3">
        <f>VLOOKUP(Check[[#This Row],[טיפוס]],Tipus[],2,FALSE)</f>
        <v>5</v>
      </c>
      <c r="I201" s="3" t="str">
        <f>VLOOKUP(Check[[#This Row],[טיפוס]],Tipus[],3,FALSE)</f>
        <v>סטנדרט</v>
      </c>
      <c r="J201" s="3" t="str">
        <f>VLOOKUP(Check[[#This Row],[טיפוס]],Tipus[],4,FALSE)</f>
        <v>H</v>
      </c>
      <c r="K201" s="3" t="str">
        <f>IF(Check[[#This Row],[סטטוס2]]="הולד","פנויה",Check[[#This Row],[סטטוס2]])</f>
        <v>פנויה</v>
      </c>
      <c r="L201" s="382" t="s">
        <v>108</v>
      </c>
      <c r="M201" s="382"/>
      <c r="N201" t="s">
        <v>1417</v>
      </c>
      <c r="O201" s="404" t="s">
        <v>1398</v>
      </c>
      <c r="P201" s="415" t="s">
        <v>1386</v>
      </c>
      <c r="Q201" s="423" t="s">
        <v>1397</v>
      </c>
      <c r="R201" s="399"/>
      <c r="S201" s="384"/>
      <c r="T201" s="398"/>
      <c r="U201" s="385"/>
      <c r="V201" s="385"/>
      <c r="W201" s="387"/>
    </row>
    <row r="202" spans="1:23" x14ac:dyDescent="0.2">
      <c r="A202" s="13" t="str">
        <f>_xlfn.CONCAT(VLOOKUP(Check[[#This Row],[סטטוס]],Sold,2,FALSE),IF(Check[[#This Row],[סטטוס]]="פנויה",IF(N202="גמר מלא סטנדרט",".GMS",IF(N202="גמר מלא טיוב חומרים",".GMC",IF(N202="גמר מינימלי",".GM",IF(N202="דירת שיווק",".DS","")))),""),".",VLOOKUP(Check[[#This Row],[טיפוס]],Tipus[],5,FALSE),".",VLOOKUP(Check[[#This Row],[מגדל]],Tower,2,FALSE),".Ap.",Check[[#This Row],[מספר דירה]])</f>
        <v>S.S.3F.TS.Ap.200</v>
      </c>
      <c r="B202" s="13" t="str">
        <f>_xlfn.CONCAT(VLOOKUP(Check[[#This Row],[סטטוס]],Sold,2,FALSE),IF(Check[[#This Row],[סטטוס]]="פנויה",IF(N202="גמר מלא סטנדרט",".GMS",IF(N202="גמר מלא טיוב חומרים",".GMC",IF(N202="גמר מינימלי",".GM",IF(N202="דירת שיווק",".DS","")))),""),IF(M202="זומן לטרום",".ZLT",IF(M202="טרום מסירה",".TM",IF(M202="טרום מסירה מהנדס",".TMM",IF(M202="מסירת חזקה",".MH",IF(M202="מסירת חזקה מהנדס",".MHM",""))))),".",VLOOKUP(Check[[#This Row],[טיפוס]],Tipus[],5,FALSE),".",VLOOKUP(Check[[#This Row],[מגדל]],Tower,2,FALSE),".Ap.",Check[[#This Row],[מספר דירה]])</f>
        <v>S.S.3F.TS.Ap.200</v>
      </c>
      <c r="C202" s="3" t="s">
        <v>55</v>
      </c>
      <c r="D202" s="3">
        <v>25</v>
      </c>
      <c r="E202" s="4">
        <v>200</v>
      </c>
      <c r="F202" s="3">
        <v>2501</v>
      </c>
      <c r="G202" s="3" t="s">
        <v>23</v>
      </c>
      <c r="H202" s="3">
        <f>VLOOKUP(Check[[#This Row],[טיפוס]],Tipus[],2,FALSE)</f>
        <v>3</v>
      </c>
      <c r="I202" s="3" t="str">
        <f>VLOOKUP(Check[[#This Row],[טיפוס]],Tipus[],3,FALSE)</f>
        <v>סטנדרט</v>
      </c>
      <c r="J202" s="3" t="str">
        <f>VLOOKUP(Check[[#This Row],[טיפוס]],Tipus[],4,FALSE)</f>
        <v>G</v>
      </c>
      <c r="K202" s="3" t="str">
        <f>IF(Check[[#This Row],[סטטוס2]]="הולד","פנויה",Check[[#This Row],[סטטוס2]])</f>
        <v>מכורה</v>
      </c>
      <c r="L202" s="382" t="s">
        <v>130</v>
      </c>
      <c r="M202" s="382"/>
      <c r="N202" s="383"/>
      <c r="O202" s="383"/>
      <c r="P202" s="411"/>
      <c r="Q202" s="411"/>
      <c r="R202" s="383"/>
      <c r="S202" s="384">
        <v>45935</v>
      </c>
      <c r="T202" s="384" t="s">
        <v>1307</v>
      </c>
      <c r="U202" s="385" t="s">
        <v>1275</v>
      </c>
      <c r="V202" s="385"/>
      <c r="W202" s="387"/>
    </row>
    <row r="203" spans="1:23" x14ac:dyDescent="0.2">
      <c r="A203" s="13" t="str">
        <f>_xlfn.CONCAT(VLOOKUP(Check[[#This Row],[סטטוס]],Sold,2,FALSE),IF(Check[[#This Row],[סטטוס]]="פנויה",IF(N203="גמר מלא סטנדרט",".GMS",IF(N203="גמר מלא טיוב חומרים",".GMC",IF(N203="גמר מינימלי",".GM",IF(N203="דירת שיווק",".DS","")))),""),".",VLOOKUP(Check[[#This Row],[טיפוס]],Tipus[],5,FALSE),".",VLOOKUP(Check[[#This Row],[מגדל]],Tower,2,FALSE),".Ap.",Check[[#This Row],[מספר דירה]])</f>
        <v>V.GMS.S.3G.TS.Ap.201</v>
      </c>
      <c r="B203" s="13" t="str">
        <f>_xlfn.CONCAT(VLOOKUP(Check[[#This Row],[סטטוס]],Sold,2,FALSE),IF(Check[[#This Row],[סטטוס]]="פנויה",IF(N203="גמר מלא סטנדרט",".GMS",IF(N203="גמר מלא טיוב חומרים",".GMC",IF(N203="גמר מינימלי",".GM",IF(N203="דירת שיווק",".DS","")))),""),IF(M203="זומן לטרום",".ZLT",IF(M203="טרום מסירה",".TM",IF(M203="טרום מסירה מהנדס",".TMM",IF(M203="מסירת חזקה",".MH",IF(M203="מסירת חזקה מהנדס",".MHM",""))))),".",VLOOKUP(Check[[#This Row],[טיפוס]],Tipus[],5,FALSE),".",VLOOKUP(Check[[#This Row],[מגדל]],Tower,2,FALSE),".Ap.",Check[[#This Row],[מספר דירה]])</f>
        <v>V.GMS.S.3G.TS.Ap.201</v>
      </c>
      <c r="C203" s="3" t="s">
        <v>55</v>
      </c>
      <c r="D203" s="3">
        <v>25</v>
      </c>
      <c r="E203" s="4">
        <v>201</v>
      </c>
      <c r="F203" s="3">
        <v>2502</v>
      </c>
      <c r="G203" s="3" t="s">
        <v>22</v>
      </c>
      <c r="H203" s="3">
        <f>VLOOKUP(Check[[#This Row],[טיפוס]],Tipus[],2,FALSE)</f>
        <v>3</v>
      </c>
      <c r="I203" s="3" t="str">
        <f>VLOOKUP(Check[[#This Row],[טיפוס]],Tipus[],3,FALSE)</f>
        <v>סטנדרט</v>
      </c>
      <c r="J203" s="3" t="str">
        <f>VLOOKUP(Check[[#This Row],[טיפוס]],Tipus[],4,FALSE)</f>
        <v>E</v>
      </c>
      <c r="K203" s="3" t="str">
        <f>IF(Check[[#This Row],[סטטוס2]]="הולד","פנויה",Check[[#This Row],[סטטוס2]])</f>
        <v>פנויה</v>
      </c>
      <c r="L203" s="382" t="s">
        <v>108</v>
      </c>
      <c r="M203" s="382"/>
      <c r="N203" t="s">
        <v>1367</v>
      </c>
      <c r="O203" s="383" t="s">
        <v>1390</v>
      </c>
      <c r="P203" s="410" t="s">
        <v>1389</v>
      </c>
      <c r="Q203" s="410"/>
      <c r="R203" s="383"/>
      <c r="S203" s="386"/>
      <c r="T203" s="386" t="s">
        <v>214</v>
      </c>
      <c r="U203" s="385" t="s">
        <v>1010</v>
      </c>
      <c r="V203" s="387"/>
      <c r="W203" s="387"/>
    </row>
    <row r="204" spans="1:23" x14ac:dyDescent="0.2">
      <c r="A204" s="13" t="str">
        <f>_xlfn.CONCAT(VLOOKUP(Check[[#This Row],[סטטוס]],Sold,2,FALSE),IF(Check[[#This Row],[סטטוס]]="פנויה",IF(N204="גמר מלא סטנדרט",".GMS",IF(N204="גמר מלא טיוב חומרים",".GMC",IF(N204="גמר מינימלי",".GM",IF(N204="דירת שיווק",".DS","")))),""),".",VLOOKUP(Check[[#This Row],[טיפוס]],Tipus[],5,FALSE),".",VLOOKUP(Check[[#This Row],[מגדל]],Tower,2,FALSE),".Ap.",Check[[#This Row],[מספר דירה]])</f>
        <v>V.GMS.S.3A.TS.Ap.202</v>
      </c>
      <c r="B204" s="13" t="str">
        <f>_xlfn.CONCAT(VLOOKUP(Check[[#This Row],[סטטוס]],Sold,2,FALSE),IF(Check[[#This Row],[סטטוס]]="פנויה",IF(N204="גמר מלא סטנדרט",".GMS",IF(N204="גמר מלא טיוב חומרים",".GMC",IF(N204="גמר מינימלי",".GM",IF(N204="דירת שיווק",".DS","")))),""),IF(M204="זומן לטרום",".ZLT",IF(M204="טרום מסירה",".TM",IF(M204="טרום מסירה מהנדס",".TMM",IF(M204="מסירת חזקה",".MH",IF(M204="מסירת חזקה מהנדס",".MHM",""))))),".",VLOOKUP(Check[[#This Row],[טיפוס]],Tipus[],5,FALSE),".",VLOOKUP(Check[[#This Row],[מגדל]],Tower,2,FALSE),".Ap.",Check[[#This Row],[מספר דירה]])</f>
        <v>V.GMS.S.3A.TS.Ap.202</v>
      </c>
      <c r="C204" s="3" t="s">
        <v>55</v>
      </c>
      <c r="D204" s="3">
        <v>25</v>
      </c>
      <c r="E204" s="4">
        <v>202</v>
      </c>
      <c r="F204" s="3">
        <v>2503</v>
      </c>
      <c r="G204" s="3" t="s">
        <v>9</v>
      </c>
      <c r="H204" s="3">
        <f>VLOOKUP(Check[[#This Row],[טיפוס]],Tipus[],2,FALSE)</f>
        <v>3</v>
      </c>
      <c r="I204" s="3" t="str">
        <f>VLOOKUP(Check[[#This Row],[טיפוס]],Tipus[],3,FALSE)</f>
        <v>סטנדרט</v>
      </c>
      <c r="J204" s="3" t="str">
        <f>VLOOKUP(Check[[#This Row],[טיפוס]],Tipus[],4,FALSE)</f>
        <v>D</v>
      </c>
      <c r="K204" s="3" t="str">
        <f>IF(Check[[#This Row],[סטטוס2]]="הולד","פנויה",Check[[#This Row],[סטטוס2]])</f>
        <v>פנויה</v>
      </c>
      <c r="L204" s="382" t="s">
        <v>108</v>
      </c>
      <c r="M204" s="382"/>
      <c r="N204" t="s">
        <v>1367</v>
      </c>
      <c r="O204" s="383" t="s">
        <v>1390</v>
      </c>
      <c r="P204" s="410" t="s">
        <v>1389</v>
      </c>
      <c r="Q204" s="410"/>
      <c r="R204" s="383"/>
      <c r="S204" s="384"/>
      <c r="T204" s="384" t="s">
        <v>214</v>
      </c>
      <c r="U204" s="385"/>
      <c r="V204" s="385"/>
      <c r="W204" s="387"/>
    </row>
    <row r="205" spans="1:23" x14ac:dyDescent="0.2">
      <c r="A205" s="13" t="str">
        <f>_xlfn.CONCAT(VLOOKUP(Check[[#This Row],[סטטוס]],Sold,2,FALSE),IF(Check[[#This Row],[סטטוס]]="פנויה",IF(N205="גמר מלא סטנדרט",".GMS",IF(N205="גמר מלא טיוב חומרים",".GMC",IF(N205="גמר מינימלי",".GM",IF(N205="דירת שיווק",".DS","")))),""),".",VLOOKUP(Check[[#This Row],[טיפוס]],Tipus[],5,FALSE),".",VLOOKUP(Check[[#This Row],[מגדל]],Tower,2,FALSE),".Ap.",Check[[#This Row],[מספר דירה]])</f>
        <v>S.S.2D.TS.Ap.203</v>
      </c>
      <c r="B205" s="13" t="str">
        <f>_xlfn.CONCAT(VLOOKUP(Check[[#This Row],[סטטוס]],Sold,2,FALSE),IF(Check[[#This Row],[סטטוס]]="פנויה",IF(N205="גמר מלא סטנדרט",".GMS",IF(N205="גמר מלא טיוב חומרים",".GMC",IF(N205="גמר מינימלי",".GM",IF(N205="דירת שיווק",".DS","")))),""),IF(M205="זומן לטרום",".ZLT",IF(M205="טרום מסירה",".TM",IF(M205="טרום מסירה מהנדס",".TMM",IF(M205="מסירת חזקה",".MH",IF(M205="מסירת חזקה מהנדס",".MHM",""))))),".",VLOOKUP(Check[[#This Row],[טיפוס]],Tipus[],5,FALSE),".",VLOOKUP(Check[[#This Row],[מגדל]],Tower,2,FALSE),".Ap.",Check[[#This Row],[מספר דירה]])</f>
        <v>S.S.2D.TS.Ap.203</v>
      </c>
      <c r="C205" s="3" t="s">
        <v>55</v>
      </c>
      <c r="D205" s="3">
        <v>25</v>
      </c>
      <c r="E205" s="4">
        <v>203</v>
      </c>
      <c r="F205" s="3">
        <v>2504</v>
      </c>
      <c r="G205" s="3" t="s">
        <v>10</v>
      </c>
      <c r="H205" s="3">
        <f>VLOOKUP(Check[[#This Row],[טיפוס]],Tipus[],2,FALSE)</f>
        <v>2</v>
      </c>
      <c r="I205" s="3" t="str">
        <f>VLOOKUP(Check[[#This Row],[טיפוס]],Tipus[],3,FALSE)</f>
        <v>סטנדרט</v>
      </c>
      <c r="J205" s="3" t="str">
        <f>VLOOKUP(Check[[#This Row],[טיפוס]],Tipus[],4,FALSE)</f>
        <v>C</v>
      </c>
      <c r="K205" s="3" t="str">
        <f>IF(Check[[#This Row],[סטטוס2]]="הולד","פנויה",Check[[#This Row],[סטטוס2]])</f>
        <v>מכורה</v>
      </c>
      <c r="L205" s="382" t="s">
        <v>130</v>
      </c>
      <c r="M205" s="382"/>
      <c r="N205" s="383"/>
      <c r="O205" s="383"/>
      <c r="P205" s="411"/>
      <c r="Q205" s="411"/>
      <c r="R205" s="383"/>
      <c r="S205" s="386">
        <v>44762</v>
      </c>
      <c r="T205" s="386" t="s">
        <v>1071</v>
      </c>
      <c r="U205" s="387"/>
      <c r="V205" s="387"/>
      <c r="W205" s="387"/>
    </row>
    <row r="206" spans="1:23" x14ac:dyDescent="0.2">
      <c r="A206" s="13" t="str">
        <f>_xlfn.CONCAT(VLOOKUP(Check[[#This Row],[סטטוס]],Sold,2,FALSE),IF(Check[[#This Row],[סטטוס]]="פנויה",IF(N206="גמר מלא סטנדרט",".GMS",IF(N206="גמר מלא טיוב חומרים",".GMC",IF(N206="גמר מינימלי",".GM",IF(N206="דירת שיווק",".DS","")))),""),".",VLOOKUP(Check[[#This Row],[טיפוס]],Tipus[],5,FALSE),".",VLOOKUP(Check[[#This Row],[מגדל]],Tower,2,FALSE),".Ap.",Check[[#This Row],[מספר דירה]])</f>
        <v>S.S.4C.TS.Ap.204</v>
      </c>
      <c r="B206" s="13" t="str">
        <f>_xlfn.CONCAT(VLOOKUP(Check[[#This Row],[סטטוס]],Sold,2,FALSE),IF(Check[[#This Row],[סטטוס]]="פנויה",IF(N206="גמר מלא סטנדרט",".GMS",IF(N206="גמר מלא טיוב חומרים",".GMC",IF(N206="גמר מינימלי",".GM",IF(N206="דירת שיווק",".DS","")))),""),IF(M206="זומן לטרום",".ZLT",IF(M206="טרום מסירה",".TM",IF(M206="טרום מסירה מהנדס",".TMM",IF(M206="מסירת חזקה",".MH",IF(M206="מסירת חזקה מהנדס",".MHM",""))))),".",VLOOKUP(Check[[#This Row],[טיפוס]],Tipus[],5,FALSE),".",VLOOKUP(Check[[#This Row],[מגדל]],Tower,2,FALSE),".Ap.",Check[[#This Row],[מספר דירה]])</f>
        <v>S.S.4C.TS.Ap.204</v>
      </c>
      <c r="C206" s="3" t="s">
        <v>55</v>
      </c>
      <c r="D206" s="3">
        <v>25</v>
      </c>
      <c r="E206" s="4">
        <v>204</v>
      </c>
      <c r="F206" s="3">
        <v>2505</v>
      </c>
      <c r="G206" s="3" t="s">
        <v>26</v>
      </c>
      <c r="H206" s="3">
        <f>VLOOKUP(Check[[#This Row],[טיפוס]],Tipus[],2,FALSE)</f>
        <v>4</v>
      </c>
      <c r="I206" s="3" t="str">
        <f>VLOOKUP(Check[[#This Row],[טיפוס]],Tipus[],3,FALSE)</f>
        <v>סטנדרט</v>
      </c>
      <c r="J206" s="3" t="str">
        <f>VLOOKUP(Check[[#This Row],[טיפוס]],Tipus[],4,FALSE)</f>
        <v>A</v>
      </c>
      <c r="K206" s="3" t="str">
        <f>IF(Check[[#This Row],[סטטוס2]]="הולד","פנויה",Check[[#This Row],[סטטוס2]])</f>
        <v>מכורה</v>
      </c>
      <c r="L206" s="382" t="s">
        <v>130</v>
      </c>
      <c r="M206" s="382"/>
      <c r="N206" s="383"/>
      <c r="O206" s="383"/>
      <c r="P206" s="411"/>
      <c r="Q206" s="411"/>
      <c r="R206" s="383"/>
      <c r="S206" s="386">
        <v>44440</v>
      </c>
      <c r="T206" s="386" t="s">
        <v>1071</v>
      </c>
      <c r="U206" s="385" t="s">
        <v>1011</v>
      </c>
      <c r="V206" s="385" t="s">
        <v>1012</v>
      </c>
      <c r="W206" s="387"/>
    </row>
    <row r="207" spans="1:23" x14ac:dyDescent="0.2">
      <c r="A207" s="13" t="str">
        <f>_xlfn.CONCAT(VLOOKUP(Check[[#This Row],[סטטוס]],Sold,2,FALSE),IF(Check[[#This Row],[סטטוס]]="פנויה",IF(N207="גמר מלא סטנדרט",".GMS",IF(N207="גמר מלא טיוב חומרים",".GMC",IF(N207="גמר מינימלי",".GM",IF(N207="דירת שיווק",".DS","")))),""),".",VLOOKUP(Check[[#This Row],[טיפוס]],Tipus[],5,FALSE),".",VLOOKUP(Check[[#This Row],[מגדל]],Tower,2,FALSE),".Ap.",Check[[#This Row],[מספר דירה]])</f>
        <v>O.S.5A.TS.Ap.205</v>
      </c>
      <c r="B207" s="13" t="str">
        <f>_xlfn.CONCAT(VLOOKUP(Check[[#This Row],[סטטוס]],Sold,2,FALSE),IF(Check[[#This Row],[סטטוס]]="פנויה",IF(N207="גמר מלא סטנדרט",".GMS",IF(N207="גמר מלא טיוב חומרים",".GMC",IF(N207="גמר מינימלי",".GM",IF(N207="דירת שיווק",".DS","")))),""),IF(M207="זומן לטרום",".ZLT",IF(M207="טרום מסירה",".TM",IF(M207="טרום מסירה מהנדס",".TMM",IF(M207="מסירת חזקה",".MH",IF(M207="מסירת חזקה מהנדס",".MHM",""))))),".",VLOOKUP(Check[[#This Row],[טיפוס]],Tipus[],5,FALSE),".",VLOOKUP(Check[[#This Row],[מגדל]],Tower,2,FALSE),".Ap.",Check[[#This Row],[מספר דירה]])</f>
        <v>O.S.5A.TS.Ap.205</v>
      </c>
      <c r="C207" s="3" t="s">
        <v>55</v>
      </c>
      <c r="D207" s="3">
        <v>25</v>
      </c>
      <c r="E207" s="4">
        <v>205</v>
      </c>
      <c r="F207" s="3">
        <v>2506</v>
      </c>
      <c r="G207" s="3" t="s">
        <v>25</v>
      </c>
      <c r="H207" s="3">
        <f>VLOOKUP(Check[[#This Row],[טיפוס]],Tipus[],2,FALSE)</f>
        <v>5</v>
      </c>
      <c r="I207" s="3" t="str">
        <f>VLOOKUP(Check[[#This Row],[טיפוס]],Tipus[],3,FALSE)</f>
        <v>סטנדרט</v>
      </c>
      <c r="J207" s="3" t="str">
        <f>VLOOKUP(Check[[#This Row],[טיפוס]],Tipus[],4,FALSE)</f>
        <v>J</v>
      </c>
      <c r="K207" s="3" t="str">
        <f>IF(Check[[#This Row],[סטטוס2]]="הולד","פנויה",Check[[#This Row],[סטטוס2]])</f>
        <v>בעלים</v>
      </c>
      <c r="L207" s="382" t="s">
        <v>91</v>
      </c>
      <c r="M207" s="382"/>
      <c r="N207" s="383"/>
      <c r="O207" s="383"/>
      <c r="P207" s="411"/>
      <c r="Q207" s="411"/>
      <c r="R207" s="383"/>
      <c r="S207" s="384">
        <v>44040</v>
      </c>
      <c r="T207" s="384" t="s">
        <v>447</v>
      </c>
      <c r="U207" s="385" t="s">
        <v>448</v>
      </c>
      <c r="V207" s="385" t="s">
        <v>449</v>
      </c>
      <c r="W207" s="385" t="s">
        <v>338</v>
      </c>
    </row>
    <row r="208" spans="1:23" ht="141.75" x14ac:dyDescent="0.2">
      <c r="A208" s="13" t="str">
        <f>_xlfn.CONCAT(VLOOKUP(Check[[#This Row],[סטטוס]],Sold,2,FALSE),IF(Check[[#This Row],[סטטוס]]="פנויה",IF(N208="גמר מלא סטנדרט",".GMS",IF(N208="גמר מלא טיוב חומרים",".GMC",IF(N208="גמר מינימלי",".GM",IF(N208="דירת שיווק",".DS","")))),""),".",VLOOKUP(Check[[#This Row],[טיפוס]],Tipus[],5,FALSE),".",VLOOKUP(Check[[#This Row],[מגדל]],Tower,2,FALSE),".Ap.",Check[[#This Row],[מספר דירה]])</f>
        <v>V.GMC.S.5B.TS.Ap.206</v>
      </c>
      <c r="B208" s="13" t="str">
        <f>_xlfn.CONCAT(VLOOKUP(Check[[#This Row],[סטטוס]],Sold,2,FALSE),IF(Check[[#This Row],[סטטוס]]="פנויה",IF(N208="גמר מלא סטנדרט",".GMS",IF(N208="גמר מלא טיוב חומרים",".GMC",IF(N208="גמר מינימלי",".GM",IF(N208="דירת שיווק",".DS","")))),""),IF(M208="זומן לטרום",".ZLT",IF(M208="טרום מסירה",".TM",IF(M208="טרום מסירה מהנדס",".TMM",IF(M208="מסירת חזקה",".MH",IF(M208="מסירת חזקה מהנדס",".MHM",""))))),".",VLOOKUP(Check[[#This Row],[טיפוס]],Tipus[],5,FALSE),".",VLOOKUP(Check[[#This Row],[מגדל]],Tower,2,FALSE),".Ap.",Check[[#This Row],[מספר דירה]])</f>
        <v>V.GMC.S.5B.TS.Ap.206</v>
      </c>
      <c r="C208" s="3" t="s">
        <v>55</v>
      </c>
      <c r="D208" s="3">
        <v>25</v>
      </c>
      <c r="E208" s="4">
        <v>206</v>
      </c>
      <c r="F208" s="3">
        <v>2507</v>
      </c>
      <c r="G208" s="3" t="s">
        <v>24</v>
      </c>
      <c r="H208" s="3">
        <f>VLOOKUP(Check[[#This Row],[טיפוס]],Tipus[],2,FALSE)</f>
        <v>5</v>
      </c>
      <c r="I208" s="3" t="str">
        <f>VLOOKUP(Check[[#This Row],[טיפוס]],Tipus[],3,FALSE)</f>
        <v>סטנדרט</v>
      </c>
      <c r="J208" s="3" t="str">
        <f>VLOOKUP(Check[[#This Row],[טיפוס]],Tipus[],4,FALSE)</f>
        <v>H</v>
      </c>
      <c r="K208" s="3" t="str">
        <f>IF(Check[[#This Row],[סטטוס2]]="הולד","פנויה",Check[[#This Row],[סטטוס2]])</f>
        <v>פנויה</v>
      </c>
      <c r="L208" s="382" t="s">
        <v>108</v>
      </c>
      <c r="M208" s="382"/>
      <c r="N208" t="s">
        <v>1417</v>
      </c>
      <c r="O208" s="404" t="s">
        <v>1398</v>
      </c>
      <c r="P208" s="415" t="s">
        <v>1386</v>
      </c>
      <c r="Q208" s="423" t="s">
        <v>1397</v>
      </c>
      <c r="R208" s="399"/>
      <c r="S208" s="384"/>
      <c r="T208" s="398"/>
      <c r="U208" s="385"/>
      <c r="V208" s="385"/>
      <c r="W208" s="387"/>
    </row>
    <row r="209" spans="1:23" x14ac:dyDescent="0.2">
      <c r="A209" s="13" t="str">
        <f>_xlfn.CONCAT(VLOOKUP(Check[[#This Row],[סטטוס]],Sold,2,FALSE),IF(Check[[#This Row],[סטטוס]]="פנויה",IF(N209="גמר מלא סטנדרט",".GMS",IF(N209="גמר מלא טיוב חומרים",".GMC",IF(N209="גמר מינימלי",".GM",IF(N209="דירת שיווק",".DS","")))),""),".",VLOOKUP(Check[[#This Row],[טיפוס]],Tipus[],5,FALSE),".",VLOOKUP(Check[[#This Row],[מגדל]],Tower,2,FALSE),".Ap.",Check[[#This Row],[מספר דירה]])</f>
        <v>S.S.3F.TS.Ap.207</v>
      </c>
      <c r="B209" s="13" t="str">
        <f>_xlfn.CONCAT(VLOOKUP(Check[[#This Row],[סטטוס]],Sold,2,FALSE),IF(Check[[#This Row],[סטטוס]]="פנויה",IF(N209="גמר מלא סטנדרט",".GMS",IF(N209="גמר מלא טיוב חומרים",".GMC",IF(N209="גמר מינימלי",".GM",IF(N209="דירת שיווק",".DS","")))),""),IF(M209="זומן לטרום",".ZLT",IF(M209="טרום מסירה",".TM",IF(M209="טרום מסירה מהנדס",".TMM",IF(M209="מסירת חזקה",".MH",IF(M209="מסירת חזקה מהנדס",".MHM",""))))),".",VLOOKUP(Check[[#This Row],[טיפוס]],Tipus[],5,FALSE),".",VLOOKUP(Check[[#This Row],[מגדל]],Tower,2,FALSE),".Ap.",Check[[#This Row],[מספר דירה]])</f>
        <v>S.S.3F.TS.Ap.207</v>
      </c>
      <c r="C209" s="3" t="s">
        <v>55</v>
      </c>
      <c r="D209" s="3">
        <v>26</v>
      </c>
      <c r="E209" s="4">
        <v>207</v>
      </c>
      <c r="F209" s="3">
        <v>2601</v>
      </c>
      <c r="G209" s="3" t="s">
        <v>23</v>
      </c>
      <c r="H209" s="3">
        <f>VLOOKUP(Check[[#This Row],[טיפוס]],Tipus[],2,FALSE)</f>
        <v>3</v>
      </c>
      <c r="I209" s="3" t="str">
        <f>VLOOKUP(Check[[#This Row],[טיפוס]],Tipus[],3,FALSE)</f>
        <v>סטנדרט</v>
      </c>
      <c r="J209" s="3" t="str">
        <f>VLOOKUP(Check[[#This Row],[טיפוס]],Tipus[],4,FALSE)</f>
        <v>G</v>
      </c>
      <c r="K209" s="3" t="str">
        <f>IF(Check[[#This Row],[סטטוס2]]="הולד","פנויה",Check[[#This Row],[סטטוס2]])</f>
        <v>מכורה</v>
      </c>
      <c r="L209" s="382" t="s">
        <v>130</v>
      </c>
      <c r="M209" s="382"/>
      <c r="N209" s="383"/>
      <c r="O209" s="383"/>
      <c r="P209" s="411"/>
      <c r="Q209" s="411"/>
      <c r="R209" s="383"/>
      <c r="S209" s="386">
        <v>44787</v>
      </c>
      <c r="T209" s="386" t="s">
        <v>1308</v>
      </c>
      <c r="U209" s="385" t="s">
        <v>1013</v>
      </c>
      <c r="V209" s="387"/>
      <c r="W209" s="387"/>
    </row>
    <row r="210" spans="1:23" x14ac:dyDescent="0.2">
      <c r="A210" s="13" t="str">
        <f>_xlfn.CONCAT(VLOOKUP(Check[[#This Row],[סטטוס]],Sold,2,FALSE),IF(Check[[#This Row],[סטטוס]]="פנויה",IF(N210="גמר מלא סטנדרט",".GMS",IF(N210="גמר מלא טיוב חומרים",".GMC",IF(N210="גמר מינימלי",".GM",IF(N210="דירת שיווק",".DS","")))),""),".",VLOOKUP(Check[[#This Row],[טיפוס]],Tipus[],5,FALSE),".",VLOOKUP(Check[[#This Row],[מגדל]],Tower,2,FALSE),".Ap.",Check[[#This Row],[מספר דירה]])</f>
        <v>V.GMS.S.3G.TS.Ap.208</v>
      </c>
      <c r="B210" s="13" t="str">
        <f>_xlfn.CONCAT(VLOOKUP(Check[[#This Row],[סטטוס]],Sold,2,FALSE),IF(Check[[#This Row],[סטטוס]]="פנויה",IF(N210="גמר מלא סטנדרט",".GMS",IF(N210="גמר מלא טיוב חומרים",".GMC",IF(N210="גמר מינימלי",".GM",IF(N210="דירת שיווק",".DS","")))),""),IF(M210="זומן לטרום",".ZLT",IF(M210="טרום מסירה",".TM",IF(M210="טרום מסירה מהנדס",".TMM",IF(M210="מסירת חזקה",".MH",IF(M210="מסירת חזקה מהנדס",".MHM",""))))),".",VLOOKUP(Check[[#This Row],[טיפוס]],Tipus[],5,FALSE),".",VLOOKUP(Check[[#This Row],[מגדל]],Tower,2,FALSE),".Ap.",Check[[#This Row],[מספר דירה]])</f>
        <v>V.GMS.S.3G.TS.Ap.208</v>
      </c>
      <c r="C210" s="3" t="s">
        <v>55</v>
      </c>
      <c r="D210" s="3">
        <v>26</v>
      </c>
      <c r="E210" s="4">
        <v>208</v>
      </c>
      <c r="F210" s="3">
        <v>2602</v>
      </c>
      <c r="G210" s="3" t="s">
        <v>22</v>
      </c>
      <c r="H210" s="3">
        <f>VLOOKUP(Check[[#This Row],[טיפוס]],Tipus[],2,FALSE)</f>
        <v>3</v>
      </c>
      <c r="I210" s="3" t="str">
        <f>VLOOKUP(Check[[#This Row],[טיפוס]],Tipus[],3,FALSE)</f>
        <v>סטנדרט</v>
      </c>
      <c r="J210" s="3" t="str">
        <f>VLOOKUP(Check[[#This Row],[טיפוס]],Tipus[],4,FALSE)</f>
        <v>E</v>
      </c>
      <c r="K210" s="3" t="str">
        <f>IF(Check[[#This Row],[סטטוס2]]="הולד","פנויה",Check[[#This Row],[סטטוס2]])</f>
        <v>פנויה</v>
      </c>
      <c r="L210" s="382" t="s">
        <v>108</v>
      </c>
      <c r="M210" s="382"/>
      <c r="N210" t="s">
        <v>1367</v>
      </c>
      <c r="O210" s="383" t="s">
        <v>1390</v>
      </c>
      <c r="P210" s="410" t="s">
        <v>1389</v>
      </c>
      <c r="Q210" s="410"/>
      <c r="R210" s="383"/>
      <c r="S210" s="384"/>
      <c r="T210" s="384" t="s">
        <v>214</v>
      </c>
      <c r="U210" s="385"/>
      <c r="V210" s="385"/>
      <c r="W210" s="387"/>
    </row>
    <row r="211" spans="1:23" x14ac:dyDescent="0.2">
      <c r="A211" s="13" t="str">
        <f>_xlfn.CONCAT(VLOOKUP(Check[[#This Row],[סטטוס]],Sold,2,FALSE),IF(Check[[#This Row],[סטטוס]]="פנויה",IF(N211="גמר מלא סטנדרט",".GMS",IF(N211="גמר מלא טיוב חומרים",".GMC",IF(N211="גמר מינימלי",".GM",IF(N211="דירת שיווק",".DS","")))),""),".",VLOOKUP(Check[[#This Row],[טיפוס]],Tipus[],5,FALSE),".",VLOOKUP(Check[[#This Row],[מגדל]],Tower,2,FALSE),".Ap.",Check[[#This Row],[מספר דירה]])</f>
        <v>S.S.3A.TS.Ap.209</v>
      </c>
      <c r="B211" s="13" t="str">
        <f>_xlfn.CONCAT(VLOOKUP(Check[[#This Row],[סטטוס]],Sold,2,FALSE),IF(Check[[#This Row],[סטטוס]]="פנויה",IF(N211="גמר מלא סטנדרט",".GMS",IF(N211="גמר מלא טיוב חומרים",".GMC",IF(N211="גמר מינימלי",".GM",IF(N211="דירת שיווק",".DS","")))),""),IF(M211="זומן לטרום",".ZLT",IF(M211="טרום מסירה",".TM",IF(M211="טרום מסירה מהנדס",".TMM",IF(M211="מסירת חזקה",".MH",IF(M211="מסירת חזקה מהנדס",".MHM",""))))),".",VLOOKUP(Check[[#This Row],[טיפוס]],Tipus[],5,FALSE),".",VLOOKUP(Check[[#This Row],[מגדל]],Tower,2,FALSE),".Ap.",Check[[#This Row],[מספר דירה]])</f>
        <v>S.S.3A.TS.Ap.209</v>
      </c>
      <c r="C211" s="3" t="s">
        <v>55</v>
      </c>
      <c r="D211" s="3">
        <v>26</v>
      </c>
      <c r="E211" s="4">
        <v>209</v>
      </c>
      <c r="F211" s="3">
        <v>2603</v>
      </c>
      <c r="G211" s="3" t="s">
        <v>9</v>
      </c>
      <c r="H211" s="3">
        <f>VLOOKUP(Check[[#This Row],[טיפוס]],Tipus[],2,FALSE)</f>
        <v>3</v>
      </c>
      <c r="I211" s="3" t="str">
        <f>VLOOKUP(Check[[#This Row],[טיפוס]],Tipus[],3,FALSE)</f>
        <v>סטנדרט</v>
      </c>
      <c r="J211" s="3" t="str">
        <f>VLOOKUP(Check[[#This Row],[טיפוס]],Tipus[],4,FALSE)</f>
        <v>D</v>
      </c>
      <c r="K211" s="3" t="str">
        <f>IF(Check[[#This Row],[סטטוס2]]="הולד","פנויה",Check[[#This Row],[סטטוס2]])</f>
        <v>מכורה</v>
      </c>
      <c r="L211" s="382" t="s">
        <v>130</v>
      </c>
      <c r="M211" s="382"/>
      <c r="N211" s="383"/>
      <c r="O211" s="383"/>
      <c r="P211" s="411"/>
      <c r="Q211" s="411"/>
      <c r="R211" s="383"/>
      <c r="S211" s="386">
        <v>44440</v>
      </c>
      <c r="T211" s="386" t="s">
        <v>1071</v>
      </c>
      <c r="U211" s="385" t="s">
        <v>1014</v>
      </c>
      <c r="V211" s="387"/>
      <c r="W211" s="387"/>
    </row>
    <row r="212" spans="1:23" x14ac:dyDescent="0.2">
      <c r="A212" s="13" t="str">
        <f>_xlfn.CONCAT(VLOOKUP(Check[[#This Row],[סטטוס]],Sold,2,FALSE),IF(Check[[#This Row],[סטטוס]]="פנויה",IF(N212="גמר מלא סטנדרט",".GMS",IF(N212="גמר מלא טיוב חומרים",".GMC",IF(N212="גמר מינימלי",".GM",IF(N212="דירת שיווק",".DS","")))),""),".",VLOOKUP(Check[[#This Row],[טיפוס]],Tipus[],5,FALSE),".",VLOOKUP(Check[[#This Row],[מגדל]],Tower,2,FALSE),".Ap.",Check[[#This Row],[מספר דירה]])</f>
        <v>S.S.2D.TS.Ap.210</v>
      </c>
      <c r="B212" s="13" t="str">
        <f>_xlfn.CONCAT(VLOOKUP(Check[[#This Row],[סטטוס]],Sold,2,FALSE),IF(Check[[#This Row],[סטטוס]]="פנויה",IF(N212="גמר מלא סטנדרט",".GMS",IF(N212="גמר מלא טיוב חומרים",".GMC",IF(N212="גמר מינימלי",".GM",IF(N212="דירת שיווק",".DS","")))),""),IF(M212="זומן לטרום",".ZLT",IF(M212="טרום מסירה",".TM",IF(M212="טרום מסירה מהנדס",".TMM",IF(M212="מסירת חזקה",".MH",IF(M212="מסירת חזקה מהנדס",".MHM",""))))),".",VLOOKUP(Check[[#This Row],[טיפוס]],Tipus[],5,FALSE),".",VLOOKUP(Check[[#This Row],[מגדל]],Tower,2,FALSE),".Ap.",Check[[#This Row],[מספר דירה]])</f>
        <v>S.S.2D.TS.Ap.210</v>
      </c>
      <c r="C212" s="3" t="s">
        <v>55</v>
      </c>
      <c r="D212" s="3">
        <v>26</v>
      </c>
      <c r="E212" s="4">
        <v>210</v>
      </c>
      <c r="F212" s="3">
        <v>2604</v>
      </c>
      <c r="G212" s="3" t="s">
        <v>10</v>
      </c>
      <c r="H212" s="3">
        <f>VLOOKUP(Check[[#This Row],[טיפוס]],Tipus[],2,FALSE)</f>
        <v>2</v>
      </c>
      <c r="I212" s="3" t="str">
        <f>VLOOKUP(Check[[#This Row],[טיפוס]],Tipus[],3,FALSE)</f>
        <v>סטנדרט</v>
      </c>
      <c r="J212" s="3" t="str">
        <f>VLOOKUP(Check[[#This Row],[טיפוס]],Tipus[],4,FALSE)</f>
        <v>C</v>
      </c>
      <c r="K212" s="3" t="str">
        <f>IF(Check[[#This Row],[סטטוס2]]="הולד","פנויה",Check[[#This Row],[סטטוס2]])</f>
        <v>מכורה</v>
      </c>
      <c r="L212" s="382" t="s">
        <v>130</v>
      </c>
      <c r="M212" s="382"/>
      <c r="N212" s="383"/>
      <c r="O212" s="383"/>
      <c r="P212" s="411"/>
      <c r="Q212" s="411"/>
      <c r="R212" s="383"/>
      <c r="S212" s="386">
        <v>44762</v>
      </c>
      <c r="T212" s="386" t="s">
        <v>1071</v>
      </c>
      <c r="U212" s="387"/>
      <c r="V212" s="387"/>
      <c r="W212" s="387"/>
    </row>
    <row r="213" spans="1:23" x14ac:dyDescent="0.2">
      <c r="A213" s="13" t="str">
        <f>_xlfn.CONCAT(VLOOKUP(Check[[#This Row],[סטטוס]],Sold,2,FALSE),IF(Check[[#This Row],[סטטוס]]="פנויה",IF(N213="גמר מלא סטנדרט",".GMS",IF(N213="גמר מלא טיוב חומרים",".GMC",IF(N213="גמר מינימלי",".GM",IF(N213="דירת שיווק",".DS","")))),""),".",VLOOKUP(Check[[#This Row],[טיפוס]],Tipus[],5,FALSE),".",VLOOKUP(Check[[#This Row],[מגדל]],Tower,2,FALSE),".Ap.",Check[[#This Row],[מספר דירה]])</f>
        <v>S.S.4C.TS.Ap.211</v>
      </c>
      <c r="B213" s="13" t="str">
        <f>_xlfn.CONCAT(VLOOKUP(Check[[#This Row],[סטטוס]],Sold,2,FALSE),IF(Check[[#This Row],[סטטוס]]="פנויה",IF(N213="גמר מלא סטנדרט",".GMS",IF(N213="גמר מלא טיוב חומרים",".GMC",IF(N213="גמר מינימלי",".GM",IF(N213="דירת שיווק",".DS","")))),""),IF(M213="זומן לטרום",".ZLT",IF(M213="טרום מסירה",".TM",IF(M213="טרום מסירה מהנדס",".TMM",IF(M213="מסירת חזקה",".MH",IF(M213="מסירת חזקה מהנדס",".MHM",""))))),".",VLOOKUP(Check[[#This Row],[טיפוס]],Tipus[],5,FALSE),".",VLOOKUP(Check[[#This Row],[מגדל]],Tower,2,FALSE),".Ap.",Check[[#This Row],[מספר דירה]])</f>
        <v>S.S.4C.TS.Ap.211</v>
      </c>
      <c r="C213" s="3" t="s">
        <v>55</v>
      </c>
      <c r="D213" s="3">
        <v>26</v>
      </c>
      <c r="E213" s="4">
        <v>211</v>
      </c>
      <c r="F213" s="3">
        <v>2605</v>
      </c>
      <c r="G213" s="3" t="s">
        <v>26</v>
      </c>
      <c r="H213" s="3">
        <f>VLOOKUP(Check[[#This Row],[טיפוס]],Tipus[],2,FALSE)</f>
        <v>4</v>
      </c>
      <c r="I213" s="3" t="str">
        <f>VLOOKUP(Check[[#This Row],[טיפוס]],Tipus[],3,FALSE)</f>
        <v>סטנדרט</v>
      </c>
      <c r="J213" s="3" t="str">
        <f>VLOOKUP(Check[[#This Row],[טיפוס]],Tipus[],4,FALSE)</f>
        <v>A</v>
      </c>
      <c r="K213" s="3" t="str">
        <f>IF(Check[[#This Row],[סטטוס2]]="הולד","פנויה",Check[[#This Row],[סטטוס2]])</f>
        <v>מכורה</v>
      </c>
      <c r="L213" s="382" t="s">
        <v>130</v>
      </c>
      <c r="M213" s="382"/>
      <c r="N213" s="383"/>
      <c r="O213" s="383"/>
      <c r="P213" s="411"/>
      <c r="Q213" s="411"/>
      <c r="R213" s="383"/>
      <c r="S213" s="386">
        <v>44440</v>
      </c>
      <c r="T213" s="386" t="s">
        <v>1071</v>
      </c>
      <c r="U213" s="385" t="s">
        <v>1015</v>
      </c>
      <c r="V213" s="385" t="s">
        <v>1016</v>
      </c>
      <c r="W213" s="387"/>
    </row>
    <row r="214" spans="1:23" x14ac:dyDescent="0.2">
      <c r="A214" s="13" t="str">
        <f>_xlfn.CONCAT(VLOOKUP(Check[[#This Row],[סטטוס]],Sold,2,FALSE),IF(Check[[#This Row],[סטטוס]]="פנויה",IF(N214="גמר מלא סטנדרט",".GMS",IF(N214="גמר מלא טיוב חומרים",".GMC",IF(N214="גמר מינימלי",".GM",IF(N214="דירת שיווק",".DS","")))),""),".",VLOOKUP(Check[[#This Row],[טיפוס]],Tipus[],5,FALSE),".",VLOOKUP(Check[[#This Row],[מגדל]],Tower,2,FALSE),".Ap.",Check[[#This Row],[מספר דירה]])</f>
        <v>O.S.5A.TS.Ap.212</v>
      </c>
      <c r="B214" s="13" t="str">
        <f>_xlfn.CONCAT(VLOOKUP(Check[[#This Row],[סטטוס]],Sold,2,FALSE),IF(Check[[#This Row],[סטטוס]]="פנויה",IF(N214="גמר מלא סטנדרט",".GMS",IF(N214="גמר מלא טיוב חומרים",".GMC",IF(N214="גמר מינימלי",".GM",IF(N214="דירת שיווק",".DS","")))),""),IF(M214="זומן לטרום",".ZLT",IF(M214="טרום מסירה",".TM",IF(M214="טרום מסירה מהנדס",".TMM",IF(M214="מסירת חזקה",".MH",IF(M214="מסירת חזקה מהנדס",".MHM",""))))),".",VLOOKUP(Check[[#This Row],[טיפוס]],Tipus[],5,FALSE),".",VLOOKUP(Check[[#This Row],[מגדל]],Tower,2,FALSE),".Ap.",Check[[#This Row],[מספר דירה]])</f>
        <v>O.S.5A.TS.Ap.212</v>
      </c>
      <c r="C214" s="3" t="s">
        <v>55</v>
      </c>
      <c r="D214" s="3">
        <v>26</v>
      </c>
      <c r="E214" s="4">
        <v>212</v>
      </c>
      <c r="F214" s="3">
        <v>2606</v>
      </c>
      <c r="G214" s="3" t="s">
        <v>25</v>
      </c>
      <c r="H214" s="3">
        <f>VLOOKUP(Check[[#This Row],[טיפוס]],Tipus[],2,FALSE)</f>
        <v>5</v>
      </c>
      <c r="I214" s="3" t="str">
        <f>VLOOKUP(Check[[#This Row],[טיפוס]],Tipus[],3,FALSE)</f>
        <v>סטנדרט</v>
      </c>
      <c r="J214" s="3" t="str">
        <f>VLOOKUP(Check[[#This Row],[טיפוס]],Tipus[],4,FALSE)</f>
        <v>J</v>
      </c>
      <c r="K214" s="3" t="str">
        <f>IF(Check[[#This Row],[סטטוס2]]="הולד","פנויה",Check[[#This Row],[סטטוס2]])</f>
        <v>בעלים</v>
      </c>
      <c r="L214" s="382" t="s">
        <v>91</v>
      </c>
      <c r="M214" s="382"/>
      <c r="N214" s="383"/>
      <c r="O214" s="383"/>
      <c r="P214" s="411"/>
      <c r="Q214" s="411"/>
      <c r="R214" s="383"/>
      <c r="S214" s="384">
        <v>44040</v>
      </c>
      <c r="T214" s="384" t="s">
        <v>223</v>
      </c>
      <c r="U214" s="385" t="s">
        <v>450</v>
      </c>
      <c r="V214" s="385" t="s">
        <v>451</v>
      </c>
      <c r="W214" s="385" t="s">
        <v>214</v>
      </c>
    </row>
    <row r="215" spans="1:23" x14ac:dyDescent="0.2">
      <c r="A215" s="13" t="str">
        <f>_xlfn.CONCAT(VLOOKUP(Check[[#This Row],[סטטוס]],Sold,2,FALSE),IF(Check[[#This Row],[סטטוס]]="פנויה",IF(N215="גמר מלא סטנדרט",".GMS",IF(N215="גמר מלא טיוב חומרים",".GMC",IF(N215="גמר מינימלי",".GM",IF(N215="דירת שיווק",".DS","")))),""),".",VLOOKUP(Check[[#This Row],[טיפוס]],Tipus[],5,FALSE),".",VLOOKUP(Check[[#This Row],[מגדל]],Tower,2,FALSE),".Ap.",Check[[#This Row],[מספר דירה]])</f>
        <v>O.S.5B.TS.Ap.213</v>
      </c>
      <c r="B215" s="13" t="str">
        <f>_xlfn.CONCAT(VLOOKUP(Check[[#This Row],[סטטוס]],Sold,2,FALSE),IF(Check[[#This Row],[סטטוס]]="פנויה",IF(N215="גמר מלא סטנדרט",".GMS",IF(N215="גמר מלא טיוב חומרים",".GMC",IF(N215="גמר מינימלי",".GM",IF(N215="דירת שיווק",".DS","")))),""),IF(M215="זומן לטרום",".ZLT",IF(M215="טרום מסירה",".TM",IF(M215="טרום מסירה מהנדס",".TMM",IF(M215="מסירת חזקה",".MH",IF(M215="מסירת חזקה מהנדס",".MHM",""))))),".",VLOOKUP(Check[[#This Row],[טיפוס]],Tipus[],5,FALSE),".",VLOOKUP(Check[[#This Row],[מגדל]],Tower,2,FALSE),".Ap.",Check[[#This Row],[מספר דירה]])</f>
        <v>O.S.5B.TS.Ap.213</v>
      </c>
      <c r="C215" s="3" t="s">
        <v>55</v>
      </c>
      <c r="D215" s="3">
        <v>26</v>
      </c>
      <c r="E215" s="4">
        <v>213</v>
      </c>
      <c r="F215" s="3">
        <v>2607</v>
      </c>
      <c r="G215" s="3" t="s">
        <v>24</v>
      </c>
      <c r="H215" s="3">
        <f>VLOOKUP(Check[[#This Row],[טיפוס]],Tipus[],2,FALSE)</f>
        <v>5</v>
      </c>
      <c r="I215" s="3" t="str">
        <f>VLOOKUP(Check[[#This Row],[טיפוס]],Tipus[],3,FALSE)</f>
        <v>סטנדרט</v>
      </c>
      <c r="J215" s="3" t="str">
        <f>VLOOKUP(Check[[#This Row],[טיפוס]],Tipus[],4,FALSE)</f>
        <v>H</v>
      </c>
      <c r="K215" s="3" t="str">
        <f>IF(Check[[#This Row],[סטטוס2]]="הולד","פנויה",Check[[#This Row],[סטטוס2]])</f>
        <v>בעלים</v>
      </c>
      <c r="L215" s="382" t="s">
        <v>91</v>
      </c>
      <c r="M215" s="382"/>
      <c r="N215" s="383"/>
      <c r="O215" s="383"/>
      <c r="P215" s="411"/>
      <c r="Q215" s="411"/>
      <c r="R215" s="383"/>
      <c r="S215" s="384">
        <v>44040</v>
      </c>
      <c r="T215" s="384" t="s">
        <v>1222</v>
      </c>
      <c r="U215" s="385"/>
      <c r="V215" s="385"/>
      <c r="W215" s="387"/>
    </row>
    <row r="216" spans="1:23" x14ac:dyDescent="0.2">
      <c r="A216" s="13" t="str">
        <f>_xlfn.CONCAT(VLOOKUP(Check[[#This Row],[סטטוס]],Sold,2,FALSE),IF(Check[[#This Row],[סטטוס]]="פנויה",IF(N216="גמר מלא סטנדרט",".GMS",IF(N216="גמר מלא טיוב חומרים",".GMC",IF(N216="גמר מינימלי",".GM",IF(N216="דירת שיווק",".DS","")))),""),".",VLOOKUP(Check[[#This Row],[טיפוס]],Tipus[],5,FALSE),".",VLOOKUP(Check[[#This Row],[מגדל]],Tower,2,FALSE),".Ap.",Check[[#This Row],[מספר דירה]])</f>
        <v>S.S.3F.TS.Ap.214</v>
      </c>
      <c r="B216" s="13" t="str">
        <f>_xlfn.CONCAT(VLOOKUP(Check[[#This Row],[סטטוס]],Sold,2,FALSE),IF(Check[[#This Row],[סטטוס]]="פנויה",IF(N216="גמר מלא סטנדרט",".GMS",IF(N216="גמר מלא טיוב חומרים",".GMC",IF(N216="גמר מינימלי",".GM",IF(N216="דירת שיווק",".DS","")))),""),IF(M216="זומן לטרום",".ZLT",IF(M216="טרום מסירה",".TM",IF(M216="טרום מסירה מהנדס",".TMM",IF(M216="מסירת חזקה",".MH",IF(M216="מסירת חזקה מהנדס",".MHM",""))))),".",VLOOKUP(Check[[#This Row],[טיפוס]],Tipus[],5,FALSE),".",VLOOKUP(Check[[#This Row],[מגדל]],Tower,2,FALSE),".Ap.",Check[[#This Row],[מספר דירה]])</f>
        <v>S.S.3F.TS.Ap.214</v>
      </c>
      <c r="C216" s="3" t="s">
        <v>55</v>
      </c>
      <c r="D216" s="3">
        <v>27</v>
      </c>
      <c r="E216" s="4">
        <v>214</v>
      </c>
      <c r="F216" s="3">
        <v>2701</v>
      </c>
      <c r="G216" s="3" t="s">
        <v>23</v>
      </c>
      <c r="H216" s="3">
        <f>VLOOKUP(Check[[#This Row],[טיפוס]],Tipus[],2,FALSE)</f>
        <v>3</v>
      </c>
      <c r="I216" s="3" t="str">
        <f>VLOOKUP(Check[[#This Row],[טיפוס]],Tipus[],3,FALSE)</f>
        <v>סטנדרט</v>
      </c>
      <c r="J216" s="3" t="str">
        <f>VLOOKUP(Check[[#This Row],[טיפוס]],Tipus[],4,FALSE)</f>
        <v>G</v>
      </c>
      <c r="K216" s="3" t="str">
        <f>IF(Check[[#This Row],[סטטוס2]]="הולד","פנויה",Check[[#This Row],[סטטוס2]])</f>
        <v>מכורה</v>
      </c>
      <c r="L216" s="382" t="s">
        <v>130</v>
      </c>
      <c r="M216" s="382"/>
      <c r="N216" s="383"/>
      <c r="O216" s="383"/>
      <c r="P216" s="411"/>
      <c r="Q216" s="411"/>
      <c r="R216" s="383"/>
      <c r="S216" s="386">
        <v>44592</v>
      </c>
      <c r="T216" s="386" t="s">
        <v>1138</v>
      </c>
      <c r="U216" s="385" t="s">
        <v>1017</v>
      </c>
      <c r="V216" s="387"/>
      <c r="W216" s="387"/>
    </row>
    <row r="217" spans="1:23" x14ac:dyDescent="0.2">
      <c r="A217" s="13" t="str">
        <f>_xlfn.CONCAT(VLOOKUP(Check[[#This Row],[סטטוס]],Sold,2,FALSE),IF(Check[[#This Row],[סטטוס]]="פנויה",IF(N217="גמר מלא סטנדרט",".GMS",IF(N217="גמר מלא טיוב חומרים",".GMC",IF(N217="גמר מינימלי",".GM",IF(N217="דירת שיווק",".DS","")))),""),".",VLOOKUP(Check[[#This Row],[טיפוס]],Tipus[],5,FALSE),".",VLOOKUP(Check[[#This Row],[מגדל]],Tower,2,FALSE),".Ap.",Check[[#This Row],[מספר דירה]])</f>
        <v>V.GMS.S.3G.TS.Ap.215</v>
      </c>
      <c r="B217" s="13" t="str">
        <f>_xlfn.CONCAT(VLOOKUP(Check[[#This Row],[סטטוס]],Sold,2,FALSE),IF(Check[[#This Row],[סטטוס]]="פנויה",IF(N217="גמר מלא סטנדרט",".GMS",IF(N217="גמר מלא טיוב חומרים",".GMC",IF(N217="גמר מינימלי",".GM",IF(N217="דירת שיווק",".DS","")))),""),IF(M217="זומן לטרום",".ZLT",IF(M217="טרום מסירה",".TM",IF(M217="טרום מסירה מהנדס",".TMM",IF(M217="מסירת חזקה",".MH",IF(M217="מסירת חזקה מהנדס",".MHM",""))))),".",VLOOKUP(Check[[#This Row],[טיפוס]],Tipus[],5,FALSE),".",VLOOKUP(Check[[#This Row],[מגדל]],Tower,2,FALSE),".Ap.",Check[[#This Row],[מספר דירה]])</f>
        <v>V.GMS.S.3G.TS.Ap.215</v>
      </c>
      <c r="C217" s="3" t="s">
        <v>55</v>
      </c>
      <c r="D217" s="3">
        <v>27</v>
      </c>
      <c r="E217" s="4">
        <v>215</v>
      </c>
      <c r="F217" s="3">
        <v>2702</v>
      </c>
      <c r="G217" s="3" t="s">
        <v>22</v>
      </c>
      <c r="H217" s="3">
        <f>VLOOKUP(Check[[#This Row],[טיפוס]],Tipus[],2,FALSE)</f>
        <v>3</v>
      </c>
      <c r="I217" s="3" t="str">
        <f>VLOOKUP(Check[[#This Row],[טיפוס]],Tipus[],3,FALSE)</f>
        <v>סטנדרט</v>
      </c>
      <c r="J217" s="3" t="str">
        <f>VLOOKUP(Check[[#This Row],[טיפוס]],Tipus[],4,FALSE)</f>
        <v>E</v>
      </c>
      <c r="K217" s="3" t="str">
        <f>IF(Check[[#This Row],[סטטוס2]]="הולד","פנויה",Check[[#This Row],[סטטוס2]])</f>
        <v>פנויה</v>
      </c>
      <c r="L217" s="382" t="s">
        <v>108</v>
      </c>
      <c r="M217" s="382"/>
      <c r="N217" t="s">
        <v>1367</v>
      </c>
      <c r="O217" s="383" t="s">
        <v>1390</v>
      </c>
      <c r="P217" s="410" t="s">
        <v>1389</v>
      </c>
      <c r="Q217" s="410"/>
      <c r="R217" s="383"/>
      <c r="S217" s="384"/>
      <c r="T217" s="384" t="s">
        <v>214</v>
      </c>
      <c r="U217" s="385"/>
      <c r="V217" s="385"/>
      <c r="W217" s="387"/>
    </row>
    <row r="218" spans="1:23" x14ac:dyDescent="0.2">
      <c r="A218" s="13" t="str">
        <f>_xlfn.CONCAT(VLOOKUP(Check[[#This Row],[סטטוס]],Sold,2,FALSE),IF(Check[[#This Row],[סטטוס]]="פנויה",IF(N218="גמר מלא סטנדרט",".GMS",IF(N218="גמר מלא טיוב חומרים",".GMC",IF(N218="גמר מינימלי",".GM",IF(N218="דירת שיווק",".DS","")))),""),".",VLOOKUP(Check[[#This Row],[טיפוס]],Tipus[],5,FALSE),".",VLOOKUP(Check[[#This Row],[מגדל]],Tower,2,FALSE),".Ap.",Check[[#This Row],[מספר דירה]])</f>
        <v>V.GMS.S.3A.TS.Ap.216</v>
      </c>
      <c r="B218" s="13" t="str">
        <f>_xlfn.CONCAT(VLOOKUP(Check[[#This Row],[סטטוס]],Sold,2,FALSE),IF(Check[[#This Row],[סטטוס]]="פנויה",IF(N218="גמר מלא סטנדרט",".GMS",IF(N218="גמר מלא טיוב חומרים",".GMC",IF(N218="גמר מינימלי",".GM",IF(N218="דירת שיווק",".DS","")))),""),IF(M218="זומן לטרום",".ZLT",IF(M218="טרום מסירה",".TM",IF(M218="טרום מסירה מהנדס",".TMM",IF(M218="מסירת חזקה",".MH",IF(M218="מסירת חזקה מהנדס",".MHM",""))))),".",VLOOKUP(Check[[#This Row],[טיפוס]],Tipus[],5,FALSE),".",VLOOKUP(Check[[#This Row],[מגדל]],Tower,2,FALSE),".Ap.",Check[[#This Row],[מספר דירה]])</f>
        <v>V.GMS.S.3A.TS.Ap.216</v>
      </c>
      <c r="C218" s="3" t="s">
        <v>55</v>
      </c>
      <c r="D218" s="3">
        <v>27</v>
      </c>
      <c r="E218" s="4">
        <v>216</v>
      </c>
      <c r="F218" s="3">
        <v>2703</v>
      </c>
      <c r="G218" s="3" t="s">
        <v>9</v>
      </c>
      <c r="H218" s="3">
        <f>VLOOKUP(Check[[#This Row],[טיפוס]],Tipus[],2,FALSE)</f>
        <v>3</v>
      </c>
      <c r="I218" s="3" t="str">
        <f>VLOOKUP(Check[[#This Row],[טיפוס]],Tipus[],3,FALSE)</f>
        <v>סטנדרט</v>
      </c>
      <c r="J218" s="3" t="str">
        <f>VLOOKUP(Check[[#This Row],[טיפוס]],Tipus[],4,FALSE)</f>
        <v>D</v>
      </c>
      <c r="K218" s="3" t="str">
        <f>IF(Check[[#This Row],[סטטוס2]]="הולד","פנויה",Check[[#This Row],[סטטוס2]])</f>
        <v>פנויה</v>
      </c>
      <c r="L218" s="382" t="s">
        <v>108</v>
      </c>
      <c r="M218" s="382"/>
      <c r="N218" t="s">
        <v>1367</v>
      </c>
      <c r="O218" s="383" t="s">
        <v>1390</v>
      </c>
      <c r="P218" s="410" t="s">
        <v>1389</v>
      </c>
      <c r="Q218" s="410"/>
      <c r="R218" s="383"/>
      <c r="S218" s="384"/>
      <c r="T218" s="384" t="s">
        <v>214</v>
      </c>
      <c r="U218" s="385"/>
      <c r="V218" s="385"/>
      <c r="W218" s="387"/>
    </row>
    <row r="219" spans="1:23" x14ac:dyDescent="0.2">
      <c r="A219" s="13" t="str">
        <f>_xlfn.CONCAT(VLOOKUP(Check[[#This Row],[סטטוס]],Sold,2,FALSE),IF(Check[[#This Row],[סטטוס]]="פנויה",IF(N219="גמר מלא סטנדרט",".GMS",IF(N219="גמר מלא טיוב חומרים",".GMC",IF(N219="גמר מינימלי",".GM",IF(N219="דירת שיווק",".DS","")))),""),".",VLOOKUP(Check[[#This Row],[טיפוס]],Tipus[],5,FALSE),".",VLOOKUP(Check[[#This Row],[מגדל]],Tower,2,FALSE),".Ap.",Check[[#This Row],[מספר דירה]])</f>
        <v>S.S.2D.TS.Ap.217</v>
      </c>
      <c r="B219" s="13" t="str">
        <f>_xlfn.CONCAT(VLOOKUP(Check[[#This Row],[סטטוס]],Sold,2,FALSE),IF(Check[[#This Row],[סטטוס]]="פנויה",IF(N219="גמר מלא סטנדרט",".GMS",IF(N219="גמר מלא טיוב חומרים",".GMC",IF(N219="גמר מינימלי",".GM",IF(N219="דירת שיווק",".DS","")))),""),IF(M219="זומן לטרום",".ZLT",IF(M219="טרום מסירה",".TM",IF(M219="טרום מסירה מהנדס",".TMM",IF(M219="מסירת חזקה",".MH",IF(M219="מסירת חזקה מהנדס",".MHM",""))))),".",VLOOKUP(Check[[#This Row],[טיפוס]],Tipus[],5,FALSE),".",VLOOKUP(Check[[#This Row],[מגדל]],Tower,2,FALSE),".Ap.",Check[[#This Row],[מספר דירה]])</f>
        <v>S.S.2D.TS.Ap.217</v>
      </c>
      <c r="C219" s="3" t="s">
        <v>55</v>
      </c>
      <c r="D219" s="3">
        <v>27</v>
      </c>
      <c r="E219" s="4">
        <v>217</v>
      </c>
      <c r="F219" s="3">
        <v>2704</v>
      </c>
      <c r="G219" s="3" t="s">
        <v>10</v>
      </c>
      <c r="H219" s="3">
        <f>VLOOKUP(Check[[#This Row],[טיפוס]],Tipus[],2,FALSE)</f>
        <v>2</v>
      </c>
      <c r="I219" s="3" t="str">
        <f>VLOOKUP(Check[[#This Row],[טיפוס]],Tipus[],3,FALSE)</f>
        <v>סטנדרט</v>
      </c>
      <c r="J219" s="3" t="str">
        <f>VLOOKUP(Check[[#This Row],[טיפוס]],Tipus[],4,FALSE)</f>
        <v>C</v>
      </c>
      <c r="K219" s="3" t="str">
        <f>IF(Check[[#This Row],[סטטוס2]]="הולד","פנויה",Check[[#This Row],[סטטוס2]])</f>
        <v>מכורה</v>
      </c>
      <c r="L219" s="382" t="s">
        <v>130</v>
      </c>
      <c r="M219" s="382"/>
      <c r="N219" s="383"/>
      <c r="O219" s="383"/>
      <c r="P219" s="411"/>
      <c r="Q219" s="411"/>
      <c r="R219" s="383"/>
      <c r="S219" s="386">
        <v>44748</v>
      </c>
      <c r="T219" s="386" t="s">
        <v>1139</v>
      </c>
      <c r="U219" s="387"/>
      <c r="V219" s="387"/>
      <c r="W219" s="387"/>
    </row>
    <row r="220" spans="1:23" x14ac:dyDescent="0.2">
      <c r="A220" s="13" t="str">
        <f>_xlfn.CONCAT(VLOOKUP(Check[[#This Row],[סטטוס]],Sold,2,FALSE),IF(Check[[#This Row],[סטטוס]]="פנויה",IF(N220="גמר מלא סטנדרט",".GMS",IF(N220="גמר מלא טיוב חומרים",".GMC",IF(N220="גמר מינימלי",".GM",IF(N220="דירת שיווק",".DS","")))),""),".",VLOOKUP(Check[[#This Row],[טיפוס]],Tipus[],5,FALSE),".",VLOOKUP(Check[[#This Row],[מגדל]],Tower,2,FALSE),".Ap.",Check[[#This Row],[מספר דירה]])</f>
        <v>O.S.4C.TS.Ap.218</v>
      </c>
      <c r="B220" s="13" t="str">
        <f>_xlfn.CONCAT(VLOOKUP(Check[[#This Row],[סטטוס]],Sold,2,FALSE),IF(Check[[#This Row],[סטטוס]]="פנויה",IF(N220="גמר מלא סטנדרט",".GMS",IF(N220="גמר מלא טיוב חומרים",".GMC",IF(N220="גמר מינימלי",".GM",IF(N220="דירת שיווק",".DS","")))),""),IF(M220="זומן לטרום",".ZLT",IF(M220="טרום מסירה",".TM",IF(M220="טרום מסירה מהנדס",".TMM",IF(M220="מסירת חזקה",".MH",IF(M220="מסירת חזקה מהנדס",".MHM",""))))),".",VLOOKUP(Check[[#This Row],[טיפוס]],Tipus[],5,FALSE),".",VLOOKUP(Check[[#This Row],[מגדל]],Tower,2,FALSE),".Ap.",Check[[#This Row],[מספר דירה]])</f>
        <v>O.S.4C.TS.Ap.218</v>
      </c>
      <c r="C220" s="3" t="s">
        <v>55</v>
      </c>
      <c r="D220" s="3">
        <v>27</v>
      </c>
      <c r="E220" s="4">
        <v>218</v>
      </c>
      <c r="F220" s="3">
        <v>2705</v>
      </c>
      <c r="G220" s="3" t="s">
        <v>26</v>
      </c>
      <c r="H220" s="3">
        <f>VLOOKUP(Check[[#This Row],[טיפוס]],Tipus[],2,FALSE)</f>
        <v>4</v>
      </c>
      <c r="I220" s="3" t="str">
        <f>VLOOKUP(Check[[#This Row],[טיפוס]],Tipus[],3,FALSE)</f>
        <v>סטנדרט</v>
      </c>
      <c r="J220" s="3" t="str">
        <f>VLOOKUP(Check[[#This Row],[טיפוס]],Tipus[],4,FALSE)</f>
        <v>A</v>
      </c>
      <c r="K220" s="3" t="str">
        <f>IF(Check[[#This Row],[סטטוס2]]="הולד","פנויה",Check[[#This Row],[סטטוס2]])</f>
        <v>בעלים</v>
      </c>
      <c r="L220" s="382" t="s">
        <v>91</v>
      </c>
      <c r="M220" s="382"/>
      <c r="N220" s="383"/>
      <c r="O220" s="383"/>
      <c r="P220" s="411"/>
      <c r="Q220" s="411"/>
      <c r="R220" s="383"/>
      <c r="S220" s="384">
        <v>44040</v>
      </c>
      <c r="T220" s="384" t="s">
        <v>452</v>
      </c>
      <c r="U220" s="385" t="s">
        <v>453</v>
      </c>
      <c r="V220" s="385" t="s">
        <v>454</v>
      </c>
      <c r="W220" s="385" t="s">
        <v>284</v>
      </c>
    </row>
    <row r="221" spans="1:23" x14ac:dyDescent="0.2">
      <c r="A221" s="13" t="str">
        <f>_xlfn.CONCAT(VLOOKUP(Check[[#This Row],[סטטוס]],Sold,2,FALSE),IF(Check[[#This Row],[סטטוס]]="פנויה",IF(N221="גמר מלא סטנדרט",".GMS",IF(N221="גמר מלא טיוב חומרים",".GMC",IF(N221="גמר מינימלי",".GM",IF(N221="דירת שיווק",".DS","")))),""),".",VLOOKUP(Check[[#This Row],[טיפוס]],Tipus[],5,FALSE),".",VLOOKUP(Check[[#This Row],[מגדל]],Tower,2,FALSE),".Ap.",Check[[#This Row],[מספר דירה]])</f>
        <v>O.S.5A.TS.Ap.219</v>
      </c>
      <c r="B221" s="13" t="str">
        <f>_xlfn.CONCAT(VLOOKUP(Check[[#This Row],[סטטוס]],Sold,2,FALSE),IF(Check[[#This Row],[סטטוס]]="פנויה",IF(N221="גמר מלא סטנדרט",".GMS",IF(N221="גמר מלא טיוב חומרים",".GMC",IF(N221="גמר מינימלי",".GM",IF(N221="דירת שיווק",".DS","")))),""),IF(M221="זומן לטרום",".ZLT",IF(M221="טרום מסירה",".TM",IF(M221="טרום מסירה מהנדס",".TMM",IF(M221="מסירת חזקה",".MH",IF(M221="מסירת חזקה מהנדס",".MHM",""))))),".",VLOOKUP(Check[[#This Row],[טיפוס]],Tipus[],5,FALSE),".",VLOOKUP(Check[[#This Row],[מגדל]],Tower,2,FALSE),".Ap.",Check[[#This Row],[מספר דירה]])</f>
        <v>O.S.5A.TS.Ap.219</v>
      </c>
      <c r="C221" s="3" t="s">
        <v>55</v>
      </c>
      <c r="D221" s="3">
        <v>27</v>
      </c>
      <c r="E221" s="4">
        <v>219</v>
      </c>
      <c r="F221" s="3">
        <v>2706</v>
      </c>
      <c r="G221" s="3" t="s">
        <v>25</v>
      </c>
      <c r="H221" s="3">
        <f>VLOOKUP(Check[[#This Row],[טיפוס]],Tipus[],2,FALSE)</f>
        <v>5</v>
      </c>
      <c r="I221" s="3" t="str">
        <f>VLOOKUP(Check[[#This Row],[טיפוס]],Tipus[],3,FALSE)</f>
        <v>סטנדרט</v>
      </c>
      <c r="J221" s="3" t="str">
        <f>VLOOKUP(Check[[#This Row],[טיפוס]],Tipus[],4,FALSE)</f>
        <v>J</v>
      </c>
      <c r="K221" s="3" t="str">
        <f>IF(Check[[#This Row],[סטטוס2]]="הולד","פנויה",Check[[#This Row],[סטטוס2]])</f>
        <v>בעלים</v>
      </c>
      <c r="L221" s="382" t="s">
        <v>91</v>
      </c>
      <c r="M221" s="382"/>
      <c r="N221" s="383"/>
      <c r="O221" s="383"/>
      <c r="P221" s="411"/>
      <c r="Q221" s="411"/>
      <c r="R221" s="383"/>
      <c r="S221" s="384">
        <v>44040</v>
      </c>
      <c r="T221" s="384" t="s">
        <v>455</v>
      </c>
      <c r="U221" s="385" t="s">
        <v>456</v>
      </c>
      <c r="V221" s="385" t="s">
        <v>457</v>
      </c>
      <c r="W221" s="385" t="s">
        <v>458</v>
      </c>
    </row>
    <row r="222" spans="1:23" ht="141.75" x14ac:dyDescent="0.2">
      <c r="A222" s="13" t="str">
        <f>_xlfn.CONCAT(VLOOKUP(Check[[#This Row],[סטטוס]],Sold,2,FALSE),IF(Check[[#This Row],[סטטוס]]="פנויה",IF(N222="גמר מלא סטנדרט",".GMS",IF(N222="גמר מלא טיוב חומרים",".GMC",IF(N222="גמר מינימלי",".GM",IF(N222="דירת שיווק",".DS","")))),""),".",VLOOKUP(Check[[#This Row],[טיפוס]],Tipus[],5,FALSE),".",VLOOKUP(Check[[#This Row],[מגדל]],Tower,2,FALSE),".Ap.",Check[[#This Row],[מספר דירה]])</f>
        <v>V.GMC.S.5B.TS.Ap.220</v>
      </c>
      <c r="B222" s="13" t="str">
        <f>_xlfn.CONCAT(VLOOKUP(Check[[#This Row],[סטטוס]],Sold,2,FALSE),IF(Check[[#This Row],[סטטוס]]="פנויה",IF(N222="גמר מלא סטנדרט",".GMS",IF(N222="גמר מלא טיוב חומרים",".GMC",IF(N222="גמר מינימלי",".GM",IF(N222="דירת שיווק",".DS","")))),""),IF(M222="זומן לטרום",".ZLT",IF(M222="טרום מסירה",".TM",IF(M222="טרום מסירה מהנדס",".TMM",IF(M222="מסירת חזקה",".MH",IF(M222="מסירת חזקה מהנדס",".MHM",""))))),".",VLOOKUP(Check[[#This Row],[טיפוס]],Tipus[],5,FALSE),".",VLOOKUP(Check[[#This Row],[מגדל]],Tower,2,FALSE),".Ap.",Check[[#This Row],[מספר דירה]])</f>
        <v>V.GMC.S.5B.TS.Ap.220</v>
      </c>
      <c r="C222" s="3" t="s">
        <v>55</v>
      </c>
      <c r="D222" s="3">
        <v>27</v>
      </c>
      <c r="E222" s="4">
        <v>220</v>
      </c>
      <c r="F222" s="3">
        <v>2707</v>
      </c>
      <c r="G222" s="3" t="s">
        <v>24</v>
      </c>
      <c r="H222" s="3">
        <f>VLOOKUP(Check[[#This Row],[טיפוס]],Tipus[],2,FALSE)</f>
        <v>5</v>
      </c>
      <c r="I222" s="3" t="str">
        <f>VLOOKUP(Check[[#This Row],[טיפוס]],Tipus[],3,FALSE)</f>
        <v>סטנדרט</v>
      </c>
      <c r="J222" s="3" t="str">
        <f>VLOOKUP(Check[[#This Row],[טיפוס]],Tipus[],4,FALSE)</f>
        <v>H</v>
      </c>
      <c r="K222" s="3" t="str">
        <f>IF(Check[[#This Row],[סטטוס2]]="הולד","פנויה",Check[[#This Row],[סטטוס2]])</f>
        <v>פנויה</v>
      </c>
      <c r="L222" s="382" t="s">
        <v>108</v>
      </c>
      <c r="M222" s="382"/>
      <c r="N222" t="s">
        <v>1417</v>
      </c>
      <c r="O222" s="404" t="s">
        <v>1398</v>
      </c>
      <c r="P222" s="415" t="s">
        <v>1386</v>
      </c>
      <c r="Q222" s="423" t="s">
        <v>1397</v>
      </c>
      <c r="R222" s="399"/>
      <c r="S222" s="384"/>
      <c r="T222" s="398"/>
      <c r="U222" s="385"/>
      <c r="V222" s="385"/>
      <c r="W222" s="387"/>
    </row>
    <row r="223" spans="1:23" x14ac:dyDescent="0.2">
      <c r="A223" s="13" t="str">
        <f>_xlfn.CONCAT(VLOOKUP(Check[[#This Row],[סטטוס]],Sold,2,FALSE),IF(Check[[#This Row],[סטטוס]]="פנויה",IF(N223="גמר מלא סטנדרט",".GMS",IF(N223="גמר מלא טיוב חומרים",".GMC",IF(N223="גמר מינימלי",".GM",IF(N223="דירת שיווק",".DS","")))),""),".",VLOOKUP(Check[[#This Row],[טיפוס]],Tipus[],5,FALSE),".",VLOOKUP(Check[[#This Row],[מגדל]],Tower,2,FALSE),".Ap.",Check[[#This Row],[מספר דירה]])</f>
        <v>S.S.3F.TS.Ap.221</v>
      </c>
      <c r="B223" s="13" t="str">
        <f>_xlfn.CONCAT(VLOOKUP(Check[[#This Row],[סטטוס]],Sold,2,FALSE),IF(Check[[#This Row],[סטטוס]]="פנויה",IF(N223="גמר מלא סטנדרט",".GMS",IF(N223="גמר מלא טיוב חומרים",".GMC",IF(N223="גמר מינימלי",".GM",IF(N223="דירת שיווק",".DS","")))),""),IF(M223="זומן לטרום",".ZLT",IF(M223="טרום מסירה",".TM",IF(M223="טרום מסירה מהנדס",".TMM",IF(M223="מסירת חזקה",".MH",IF(M223="מסירת חזקה מהנדס",".MHM",""))))),".",VLOOKUP(Check[[#This Row],[טיפוס]],Tipus[],5,FALSE),".",VLOOKUP(Check[[#This Row],[מגדל]],Tower,2,FALSE),".Ap.",Check[[#This Row],[מספר דירה]])</f>
        <v>S.S.3F.TS.Ap.221</v>
      </c>
      <c r="C223" s="3" t="s">
        <v>55</v>
      </c>
      <c r="D223" s="3">
        <v>28</v>
      </c>
      <c r="E223" s="4">
        <v>221</v>
      </c>
      <c r="F223" s="3">
        <v>2801</v>
      </c>
      <c r="G223" s="3" t="s">
        <v>23</v>
      </c>
      <c r="H223" s="3">
        <f>VLOOKUP(Check[[#This Row],[טיפוס]],Tipus[],2,FALSE)</f>
        <v>3</v>
      </c>
      <c r="I223" s="3" t="str">
        <f>VLOOKUP(Check[[#This Row],[טיפוס]],Tipus[],3,FALSE)</f>
        <v>סטנדרט</v>
      </c>
      <c r="J223" s="3" t="str">
        <f>VLOOKUP(Check[[#This Row],[טיפוס]],Tipus[],4,FALSE)</f>
        <v>G</v>
      </c>
      <c r="K223" s="3" t="str">
        <f>IF(Check[[#This Row],[סטטוס2]]="הולד","פנויה",Check[[#This Row],[סטטוס2]])</f>
        <v>מכורה</v>
      </c>
      <c r="L223" s="382" t="s">
        <v>130</v>
      </c>
      <c r="M223" s="382"/>
      <c r="N223" s="383"/>
      <c r="O223" s="383"/>
      <c r="P223" s="411"/>
      <c r="Q223" s="411"/>
      <c r="R223" s="383"/>
      <c r="S223" s="386">
        <v>44922</v>
      </c>
      <c r="T223" s="386" t="s">
        <v>1309</v>
      </c>
      <c r="U223" s="385" t="s">
        <v>1018</v>
      </c>
      <c r="V223" s="387"/>
      <c r="W223" s="387"/>
    </row>
    <row r="224" spans="1:23" x14ac:dyDescent="0.2">
      <c r="A224" s="13" t="str">
        <f>_xlfn.CONCAT(VLOOKUP(Check[[#This Row],[סטטוס]],Sold,2,FALSE),IF(Check[[#This Row],[סטטוס]]="פנויה",IF(N224="גמר מלא סטנדרט",".GMS",IF(N224="גמר מלא טיוב חומרים",".GMC",IF(N224="גמר מינימלי",".GM",IF(N224="דירת שיווק",".DS","")))),""),".",VLOOKUP(Check[[#This Row],[טיפוס]],Tipus[],5,FALSE),".",VLOOKUP(Check[[#This Row],[מגדל]],Tower,2,FALSE),".Ap.",Check[[#This Row],[מספר דירה]])</f>
        <v>V.GMS.S.3G.TS.Ap.222</v>
      </c>
      <c r="B224" s="13" t="str">
        <f>_xlfn.CONCAT(VLOOKUP(Check[[#This Row],[סטטוס]],Sold,2,FALSE),IF(Check[[#This Row],[סטטוס]]="פנויה",IF(N224="גמר מלא סטנדרט",".GMS",IF(N224="גמר מלא טיוב חומרים",".GMC",IF(N224="גמר מינימלי",".GM",IF(N224="דירת שיווק",".DS","")))),""),IF(M224="זומן לטרום",".ZLT",IF(M224="טרום מסירה",".TM",IF(M224="טרום מסירה מהנדס",".TMM",IF(M224="מסירת חזקה",".MH",IF(M224="מסירת חזקה מהנדס",".MHM",""))))),".",VLOOKUP(Check[[#This Row],[טיפוס]],Tipus[],5,FALSE),".",VLOOKUP(Check[[#This Row],[מגדל]],Tower,2,FALSE),".Ap.",Check[[#This Row],[מספר דירה]])</f>
        <v>V.GMS.S.3G.TS.Ap.222</v>
      </c>
      <c r="C224" s="3" t="s">
        <v>55</v>
      </c>
      <c r="D224" s="3">
        <v>28</v>
      </c>
      <c r="E224" s="4">
        <v>222</v>
      </c>
      <c r="F224" s="3">
        <v>2802</v>
      </c>
      <c r="G224" s="3" t="s">
        <v>22</v>
      </c>
      <c r="H224" s="3">
        <f>VLOOKUP(Check[[#This Row],[טיפוס]],Tipus[],2,FALSE)</f>
        <v>3</v>
      </c>
      <c r="I224" s="3" t="str">
        <f>VLOOKUP(Check[[#This Row],[טיפוס]],Tipus[],3,FALSE)</f>
        <v>סטנדרט</v>
      </c>
      <c r="J224" s="3" t="str">
        <f>VLOOKUP(Check[[#This Row],[טיפוס]],Tipus[],4,FALSE)</f>
        <v>E</v>
      </c>
      <c r="K224" s="3" t="str">
        <f>IF(Check[[#This Row],[סטטוס2]]="הולד","פנויה",Check[[#This Row],[סטטוס2]])</f>
        <v>פנויה</v>
      </c>
      <c r="L224" s="382" t="s">
        <v>108</v>
      </c>
      <c r="M224" s="382"/>
      <c r="N224" t="s">
        <v>1367</v>
      </c>
      <c r="O224" s="383" t="s">
        <v>1390</v>
      </c>
      <c r="P224" s="410" t="s">
        <v>1389</v>
      </c>
      <c r="Q224" s="410"/>
      <c r="R224" s="383"/>
      <c r="S224" s="384"/>
      <c r="T224" s="384" t="s">
        <v>214</v>
      </c>
      <c r="U224" s="385"/>
      <c r="V224" s="385"/>
      <c r="W224" s="387"/>
    </row>
    <row r="225" spans="1:23" x14ac:dyDescent="0.2">
      <c r="A225" s="13" t="str">
        <f>_xlfn.CONCAT(VLOOKUP(Check[[#This Row],[סטטוס]],Sold,2,FALSE),IF(Check[[#This Row],[סטטוס]]="פנויה",IF(N225="גמר מלא סטנדרט",".GMS",IF(N225="גמר מלא טיוב חומרים",".GMC",IF(N225="גמר מינימלי",".GM",IF(N225="דירת שיווק",".DS","")))),""),".",VLOOKUP(Check[[#This Row],[טיפוס]],Tipus[],5,FALSE),".",VLOOKUP(Check[[#This Row],[מגדל]],Tower,2,FALSE),".Ap.",Check[[#This Row],[מספר דירה]])</f>
        <v>V.GMS.S.3A.TS.Ap.223</v>
      </c>
      <c r="B225" s="13" t="str">
        <f>_xlfn.CONCAT(VLOOKUP(Check[[#This Row],[סטטוס]],Sold,2,FALSE),IF(Check[[#This Row],[סטטוס]]="פנויה",IF(N225="גמר מלא סטנדרט",".GMS",IF(N225="גמר מלא טיוב חומרים",".GMC",IF(N225="גמר מינימלי",".GM",IF(N225="דירת שיווק",".DS","")))),""),IF(M225="זומן לטרום",".ZLT",IF(M225="טרום מסירה",".TM",IF(M225="טרום מסירה מהנדס",".TMM",IF(M225="מסירת חזקה",".MH",IF(M225="מסירת חזקה מהנדס",".MHM",""))))),".",VLOOKUP(Check[[#This Row],[טיפוס]],Tipus[],5,FALSE),".",VLOOKUP(Check[[#This Row],[מגדל]],Tower,2,FALSE),".Ap.",Check[[#This Row],[מספר דירה]])</f>
        <v>V.GMS.S.3A.TS.Ap.223</v>
      </c>
      <c r="C225" s="3" t="s">
        <v>55</v>
      </c>
      <c r="D225" s="3">
        <v>28</v>
      </c>
      <c r="E225" s="4">
        <v>223</v>
      </c>
      <c r="F225" s="3">
        <v>2803</v>
      </c>
      <c r="G225" s="3" t="s">
        <v>9</v>
      </c>
      <c r="H225" s="3">
        <f>VLOOKUP(Check[[#This Row],[טיפוס]],Tipus[],2,FALSE)</f>
        <v>3</v>
      </c>
      <c r="I225" s="3" t="str">
        <f>VLOOKUP(Check[[#This Row],[טיפוס]],Tipus[],3,FALSE)</f>
        <v>סטנדרט</v>
      </c>
      <c r="J225" s="3" t="str">
        <f>VLOOKUP(Check[[#This Row],[טיפוס]],Tipus[],4,FALSE)</f>
        <v>D</v>
      </c>
      <c r="K225" s="3" t="str">
        <f>IF(Check[[#This Row],[סטטוס2]]="הולד","פנויה",Check[[#This Row],[סטטוס2]])</f>
        <v>פנויה</v>
      </c>
      <c r="L225" s="382" t="s">
        <v>108</v>
      </c>
      <c r="M225" s="382"/>
      <c r="N225" t="s">
        <v>1367</v>
      </c>
      <c r="O225" s="383" t="s">
        <v>1390</v>
      </c>
      <c r="P225" s="410" t="s">
        <v>1389</v>
      </c>
      <c r="Q225" s="410"/>
      <c r="R225" s="383"/>
      <c r="S225" s="384"/>
      <c r="T225" s="384" t="s">
        <v>214</v>
      </c>
      <c r="U225" s="385"/>
      <c r="V225" s="385"/>
      <c r="W225" s="387"/>
    </row>
    <row r="226" spans="1:23" x14ac:dyDescent="0.2">
      <c r="A226" s="13" t="str">
        <f>_xlfn.CONCAT(VLOOKUP(Check[[#This Row],[סטטוס]],Sold,2,FALSE),IF(Check[[#This Row],[סטטוס]]="פנויה",IF(N226="גמר מלא סטנדרט",".GMS",IF(N226="גמר מלא טיוב חומרים",".GMC",IF(N226="גמר מינימלי",".GM",IF(N226="דירת שיווק",".DS","")))),""),".",VLOOKUP(Check[[#This Row],[טיפוס]],Tipus[],5,FALSE),".",VLOOKUP(Check[[#This Row],[מגדל]],Tower,2,FALSE),".Ap.",Check[[#This Row],[מספר דירה]])</f>
        <v>S.S.2D.TS.Ap.224</v>
      </c>
      <c r="B226" s="13" t="str">
        <f>_xlfn.CONCAT(VLOOKUP(Check[[#This Row],[סטטוס]],Sold,2,FALSE),IF(Check[[#This Row],[סטטוס]]="פנויה",IF(N226="גמר מלא סטנדרט",".GMS",IF(N226="גמר מלא טיוב חומרים",".GMC",IF(N226="גמר מינימלי",".GM",IF(N226="דירת שיווק",".DS","")))),""),IF(M226="זומן לטרום",".ZLT",IF(M226="טרום מסירה",".TM",IF(M226="טרום מסירה מהנדס",".TMM",IF(M226="מסירת חזקה",".MH",IF(M226="מסירת חזקה מהנדס",".MHM",""))))),".",VLOOKUP(Check[[#This Row],[טיפוס]],Tipus[],5,FALSE),".",VLOOKUP(Check[[#This Row],[מגדל]],Tower,2,FALSE),".Ap.",Check[[#This Row],[מספר דירה]])</f>
        <v>S.S.2D.TS.Ap.224</v>
      </c>
      <c r="C226" s="3" t="s">
        <v>55</v>
      </c>
      <c r="D226" s="3">
        <v>28</v>
      </c>
      <c r="E226" s="4">
        <v>224</v>
      </c>
      <c r="F226" s="3">
        <v>2804</v>
      </c>
      <c r="G226" s="3" t="s">
        <v>10</v>
      </c>
      <c r="H226" s="3">
        <f>VLOOKUP(Check[[#This Row],[טיפוס]],Tipus[],2,FALSE)</f>
        <v>2</v>
      </c>
      <c r="I226" s="3" t="str">
        <f>VLOOKUP(Check[[#This Row],[טיפוס]],Tipus[],3,FALSE)</f>
        <v>סטנדרט</v>
      </c>
      <c r="J226" s="3" t="str">
        <f>VLOOKUP(Check[[#This Row],[טיפוס]],Tipus[],4,FALSE)</f>
        <v>C</v>
      </c>
      <c r="K226" s="3" t="str">
        <f>IF(Check[[#This Row],[סטטוס2]]="הולד","פנויה",Check[[#This Row],[סטטוס2]])</f>
        <v>מכורה</v>
      </c>
      <c r="L226" s="382" t="s">
        <v>130</v>
      </c>
      <c r="M226" s="382"/>
      <c r="N226" s="383"/>
      <c r="O226" s="383"/>
      <c r="P226" s="411"/>
      <c r="Q226" s="411"/>
      <c r="R226" s="383"/>
      <c r="S226" s="386">
        <v>44997</v>
      </c>
      <c r="T226" s="386" t="s">
        <v>1310</v>
      </c>
      <c r="U226" s="387"/>
      <c r="V226" s="387"/>
      <c r="W226" s="387"/>
    </row>
    <row r="227" spans="1:23" x14ac:dyDescent="0.2">
      <c r="A227" s="13" t="str">
        <f>_xlfn.CONCAT(VLOOKUP(Check[[#This Row],[סטטוס]],Sold,2,FALSE),IF(Check[[#This Row],[סטטוס]]="פנויה",IF(N227="גמר מלא סטנדרט",".GMS",IF(N227="גמר מלא טיוב חומרים",".GMC",IF(N227="גמר מינימלי",".GM",IF(N227="דירת שיווק",".DS","")))),""),".",VLOOKUP(Check[[#This Row],[טיפוס]],Tipus[],5,FALSE),".",VLOOKUP(Check[[#This Row],[מגדל]],Tower,2,FALSE),".Ap.",Check[[#This Row],[מספר דירה]])</f>
        <v>O.S.4C.TS.Ap.225</v>
      </c>
      <c r="B227" s="13" t="str">
        <f>_xlfn.CONCAT(VLOOKUP(Check[[#This Row],[סטטוס]],Sold,2,FALSE),IF(Check[[#This Row],[סטטוס]]="פנויה",IF(N227="גמר מלא סטנדרט",".GMS",IF(N227="גמר מלא טיוב חומרים",".GMC",IF(N227="גמר מינימלי",".GM",IF(N227="דירת שיווק",".DS","")))),""),IF(M227="זומן לטרום",".ZLT",IF(M227="טרום מסירה",".TM",IF(M227="טרום מסירה מהנדס",".TMM",IF(M227="מסירת חזקה",".MH",IF(M227="מסירת חזקה מהנדס",".MHM",""))))),".",VLOOKUP(Check[[#This Row],[טיפוס]],Tipus[],5,FALSE),".",VLOOKUP(Check[[#This Row],[מגדל]],Tower,2,FALSE),".Ap.",Check[[#This Row],[מספר דירה]])</f>
        <v>O.S.4C.TS.Ap.225</v>
      </c>
      <c r="C227" s="3" t="s">
        <v>55</v>
      </c>
      <c r="D227" s="3">
        <v>28</v>
      </c>
      <c r="E227" s="4">
        <v>225</v>
      </c>
      <c r="F227" s="3">
        <v>2805</v>
      </c>
      <c r="G227" s="3" t="s">
        <v>26</v>
      </c>
      <c r="H227" s="3">
        <f>VLOOKUP(Check[[#This Row],[טיפוס]],Tipus[],2,FALSE)</f>
        <v>4</v>
      </c>
      <c r="I227" s="3" t="str">
        <f>VLOOKUP(Check[[#This Row],[טיפוס]],Tipus[],3,FALSE)</f>
        <v>סטנדרט</v>
      </c>
      <c r="J227" s="3" t="str">
        <f>VLOOKUP(Check[[#This Row],[טיפוס]],Tipus[],4,FALSE)</f>
        <v>A</v>
      </c>
      <c r="K227" s="3" t="str">
        <f>IF(Check[[#This Row],[סטטוס2]]="הולד","פנויה",Check[[#This Row],[סטטוס2]])</f>
        <v>בעלים</v>
      </c>
      <c r="L227" s="382" t="s">
        <v>91</v>
      </c>
      <c r="M227" s="382"/>
      <c r="N227" s="383"/>
      <c r="O227" s="383"/>
      <c r="P227" s="411"/>
      <c r="Q227" s="411"/>
      <c r="R227" s="383"/>
      <c r="S227" s="384">
        <v>44040</v>
      </c>
      <c r="T227" s="384" t="s">
        <v>459</v>
      </c>
      <c r="U227" s="385" t="s">
        <v>460</v>
      </c>
      <c r="V227" s="385" t="s">
        <v>461</v>
      </c>
      <c r="W227" s="385" t="s">
        <v>221</v>
      </c>
    </row>
    <row r="228" spans="1:23" x14ac:dyDescent="0.2">
      <c r="A228" s="13" t="str">
        <f>_xlfn.CONCAT(VLOOKUP(Check[[#This Row],[סטטוס]],Sold,2,FALSE),IF(Check[[#This Row],[סטטוס]]="פנויה",IF(N228="גמר מלא סטנדרט",".GMS",IF(N228="גמר מלא טיוב חומרים",".GMC",IF(N228="גמר מינימלי",".GM",IF(N228="דירת שיווק",".DS","")))),""),".",VLOOKUP(Check[[#This Row],[טיפוס]],Tipus[],5,FALSE),".",VLOOKUP(Check[[#This Row],[מגדל]],Tower,2,FALSE),".Ap.",Check[[#This Row],[מספר דירה]])</f>
        <v>O.S.5A.TS.Ap.226</v>
      </c>
      <c r="B228" s="13" t="str">
        <f>_xlfn.CONCAT(VLOOKUP(Check[[#This Row],[סטטוס]],Sold,2,FALSE),IF(Check[[#This Row],[סטטוס]]="פנויה",IF(N228="גמר מלא סטנדרט",".GMS",IF(N228="גמר מלא טיוב חומרים",".GMC",IF(N228="גמר מינימלי",".GM",IF(N228="דירת שיווק",".DS","")))),""),IF(M228="זומן לטרום",".ZLT",IF(M228="טרום מסירה",".TM",IF(M228="טרום מסירה מהנדס",".TMM",IF(M228="מסירת חזקה",".MH",IF(M228="מסירת חזקה מהנדס",".MHM",""))))),".",VLOOKUP(Check[[#This Row],[טיפוס]],Tipus[],5,FALSE),".",VLOOKUP(Check[[#This Row],[מגדל]],Tower,2,FALSE),".Ap.",Check[[#This Row],[מספר דירה]])</f>
        <v>O.S.5A.TS.Ap.226</v>
      </c>
      <c r="C228" s="3" t="s">
        <v>55</v>
      </c>
      <c r="D228" s="3">
        <v>28</v>
      </c>
      <c r="E228" s="4">
        <v>226</v>
      </c>
      <c r="F228" s="3">
        <v>2806</v>
      </c>
      <c r="G228" s="3" t="s">
        <v>25</v>
      </c>
      <c r="H228" s="3">
        <f>VLOOKUP(Check[[#This Row],[טיפוס]],Tipus[],2,FALSE)</f>
        <v>5</v>
      </c>
      <c r="I228" s="3" t="str">
        <f>VLOOKUP(Check[[#This Row],[טיפוס]],Tipus[],3,FALSE)</f>
        <v>סטנדרט</v>
      </c>
      <c r="J228" s="3" t="str">
        <f>VLOOKUP(Check[[#This Row],[טיפוס]],Tipus[],4,FALSE)</f>
        <v>J</v>
      </c>
      <c r="K228" s="3" t="str">
        <f>IF(Check[[#This Row],[סטטוס2]]="הולד","פנויה",Check[[#This Row],[סטטוס2]])</f>
        <v>בעלים</v>
      </c>
      <c r="L228" s="382" t="s">
        <v>91</v>
      </c>
      <c r="M228" s="382"/>
      <c r="N228" s="383"/>
      <c r="O228" s="383"/>
      <c r="P228" s="411"/>
      <c r="Q228" s="411"/>
      <c r="R228" s="383"/>
      <c r="S228" s="384">
        <v>44040</v>
      </c>
      <c r="T228" s="384" t="s">
        <v>1311</v>
      </c>
      <c r="U228" s="385" t="s">
        <v>462</v>
      </c>
      <c r="V228" s="385" t="s">
        <v>463</v>
      </c>
      <c r="W228" s="385" t="s">
        <v>464</v>
      </c>
    </row>
    <row r="229" spans="1:23" ht="141.75" x14ac:dyDescent="0.2">
      <c r="A229" s="13" t="str">
        <f>_xlfn.CONCAT(VLOOKUP(Check[[#This Row],[סטטוס]],Sold,2,FALSE),IF(Check[[#This Row],[סטטוס]]="פנויה",IF(N229="גמר מלא סטנדרט",".GMS",IF(N229="גמר מלא טיוב חומרים",".GMC",IF(N229="גמר מינימלי",".GM",IF(N229="דירת שיווק",".DS","")))),""),".",VLOOKUP(Check[[#This Row],[טיפוס]],Tipus[],5,FALSE),".",VLOOKUP(Check[[#This Row],[מגדל]],Tower,2,FALSE),".Ap.",Check[[#This Row],[מספר דירה]])</f>
        <v>V.GMC.S.5B.TS.Ap.227</v>
      </c>
      <c r="B229" s="13" t="str">
        <f>_xlfn.CONCAT(VLOOKUP(Check[[#This Row],[סטטוס]],Sold,2,FALSE),IF(Check[[#This Row],[סטטוס]]="פנויה",IF(N229="גמר מלא סטנדרט",".GMS",IF(N229="גמר מלא טיוב חומרים",".GMC",IF(N229="גמר מינימלי",".GM",IF(N229="דירת שיווק",".DS","")))),""),IF(M229="זומן לטרום",".ZLT",IF(M229="טרום מסירה",".TM",IF(M229="טרום מסירה מהנדס",".TMM",IF(M229="מסירת חזקה",".MH",IF(M229="מסירת חזקה מהנדס",".MHM",""))))),".",VLOOKUP(Check[[#This Row],[טיפוס]],Tipus[],5,FALSE),".",VLOOKUP(Check[[#This Row],[מגדל]],Tower,2,FALSE),".Ap.",Check[[#This Row],[מספר דירה]])</f>
        <v>V.GMC.S.5B.TS.Ap.227</v>
      </c>
      <c r="C229" s="3" t="s">
        <v>55</v>
      </c>
      <c r="D229" s="3">
        <v>28</v>
      </c>
      <c r="E229" s="4">
        <v>227</v>
      </c>
      <c r="F229" s="3">
        <v>2807</v>
      </c>
      <c r="G229" s="3" t="s">
        <v>24</v>
      </c>
      <c r="H229" s="3">
        <f>VLOOKUP(Check[[#This Row],[טיפוס]],Tipus[],2,FALSE)</f>
        <v>5</v>
      </c>
      <c r="I229" s="3" t="str">
        <f>VLOOKUP(Check[[#This Row],[טיפוס]],Tipus[],3,FALSE)</f>
        <v>סטנדרט</v>
      </c>
      <c r="J229" s="3" t="str">
        <f>VLOOKUP(Check[[#This Row],[טיפוס]],Tipus[],4,FALSE)</f>
        <v>H</v>
      </c>
      <c r="K229" s="3" t="str">
        <f>IF(Check[[#This Row],[סטטוס2]]="הולד","פנויה",Check[[#This Row],[סטטוס2]])</f>
        <v>פנויה</v>
      </c>
      <c r="L229" s="382" t="s">
        <v>108</v>
      </c>
      <c r="M229" s="382"/>
      <c r="N229" t="s">
        <v>1417</v>
      </c>
      <c r="O229" s="404" t="s">
        <v>1398</v>
      </c>
      <c r="P229" s="415" t="s">
        <v>1386</v>
      </c>
      <c r="Q229" s="423" t="s">
        <v>1397</v>
      </c>
      <c r="R229" s="399"/>
      <c r="S229" s="384"/>
      <c r="T229" s="398"/>
      <c r="U229" s="385"/>
      <c r="V229" s="385"/>
      <c r="W229" s="387"/>
    </row>
    <row r="230" spans="1:23" x14ac:dyDescent="0.2">
      <c r="A230" s="13" t="str">
        <f>_xlfn.CONCAT(VLOOKUP(Check[[#This Row],[סטטוס]],Sold,2,FALSE),IF(Check[[#This Row],[סטטוס]]="פנויה",IF(N230="גמר מלא סטנדרט",".GMS",IF(N230="גמר מלא טיוב חומרים",".GMC",IF(N230="גמר מינימלי",".GM",IF(N230="דירת שיווק",".DS","")))),""),".",VLOOKUP(Check[[#This Row],[טיפוס]],Tipus[],5,FALSE),".",VLOOKUP(Check[[#This Row],[מגדל]],Tower,2,FALSE),".Ap.",Check[[#This Row],[מספר דירה]])</f>
        <v>S.S.3F.TS.Ap.228</v>
      </c>
      <c r="B230" s="13" t="str">
        <f>_xlfn.CONCAT(VLOOKUP(Check[[#This Row],[סטטוס]],Sold,2,FALSE),IF(Check[[#This Row],[סטטוס]]="פנויה",IF(N230="גמר מלא סטנדרט",".GMS",IF(N230="גמר מלא טיוב חומרים",".GMC",IF(N230="גמר מינימלי",".GM",IF(N230="דירת שיווק",".DS","")))),""),IF(M230="זומן לטרום",".ZLT",IF(M230="טרום מסירה",".TM",IF(M230="טרום מסירה מהנדס",".TMM",IF(M230="מסירת חזקה",".MH",IF(M230="מסירת חזקה מהנדס",".MHM",""))))),".",VLOOKUP(Check[[#This Row],[טיפוס]],Tipus[],5,FALSE),".",VLOOKUP(Check[[#This Row],[מגדל]],Tower,2,FALSE),".Ap.",Check[[#This Row],[מספר דירה]])</f>
        <v>S.S.3F.TS.Ap.228</v>
      </c>
      <c r="C230" s="3" t="s">
        <v>55</v>
      </c>
      <c r="D230" s="3">
        <v>29</v>
      </c>
      <c r="E230" s="4">
        <v>228</v>
      </c>
      <c r="F230" s="3">
        <v>2901</v>
      </c>
      <c r="G230" s="3" t="s">
        <v>23</v>
      </c>
      <c r="H230" s="3">
        <f>VLOOKUP(Check[[#This Row],[טיפוס]],Tipus[],2,FALSE)</f>
        <v>3</v>
      </c>
      <c r="I230" s="3" t="str">
        <f>VLOOKUP(Check[[#This Row],[טיפוס]],Tipus[],3,FALSE)</f>
        <v>סטנדרט</v>
      </c>
      <c r="J230" s="3" t="str">
        <f>VLOOKUP(Check[[#This Row],[טיפוס]],Tipus[],4,FALSE)</f>
        <v>G</v>
      </c>
      <c r="K230" s="3" t="str">
        <f>IF(Check[[#This Row],[סטטוס2]]="הולד","פנויה",Check[[#This Row],[סטטוס2]])</f>
        <v>מכורה</v>
      </c>
      <c r="L230" s="382" t="s">
        <v>130</v>
      </c>
      <c r="M230" s="382"/>
      <c r="N230" s="383"/>
      <c r="O230" s="383"/>
      <c r="P230" s="411"/>
      <c r="Q230" s="411"/>
      <c r="R230" s="383"/>
      <c r="S230" s="386">
        <v>44500</v>
      </c>
      <c r="T230" s="386" t="s">
        <v>1312</v>
      </c>
      <c r="U230" s="385" t="s">
        <v>1019</v>
      </c>
      <c r="V230" s="387"/>
      <c r="W230" s="387"/>
    </row>
    <row r="231" spans="1:23" x14ac:dyDescent="0.2">
      <c r="A231" s="13" t="str">
        <f>_xlfn.CONCAT(VLOOKUP(Check[[#This Row],[סטטוס]],Sold,2,FALSE),IF(Check[[#This Row],[סטטוס]]="פנויה",IF(N231="גמר מלא סטנדרט",".GMS",IF(N231="גמר מלא טיוב חומרים",".GMC",IF(N231="גמר מינימלי",".GM",IF(N231="דירת שיווק",".DS","")))),""),".",VLOOKUP(Check[[#This Row],[טיפוס]],Tipus[],5,FALSE),".",VLOOKUP(Check[[#This Row],[מגדל]],Tower,2,FALSE),".Ap.",Check[[#This Row],[מספר דירה]])</f>
        <v>V.GMS.S.3G.TS.Ap.229</v>
      </c>
      <c r="B231" s="13" t="str">
        <f>_xlfn.CONCAT(VLOOKUP(Check[[#This Row],[סטטוס]],Sold,2,FALSE),IF(Check[[#This Row],[סטטוס]]="פנויה",IF(N231="גמר מלא סטנדרט",".GMS",IF(N231="גמר מלא טיוב חומרים",".GMC",IF(N231="גמר מינימלי",".GM",IF(N231="דירת שיווק",".DS","")))),""),IF(M231="זומן לטרום",".ZLT",IF(M231="טרום מסירה",".TM",IF(M231="טרום מסירה מהנדס",".TMM",IF(M231="מסירת חזקה",".MH",IF(M231="מסירת חזקה מהנדס",".MHM",""))))),".",VLOOKUP(Check[[#This Row],[טיפוס]],Tipus[],5,FALSE),".",VLOOKUP(Check[[#This Row],[מגדל]],Tower,2,FALSE),".Ap.",Check[[#This Row],[מספר דירה]])</f>
        <v>V.GMS.S.3G.TS.Ap.229</v>
      </c>
      <c r="C231" s="3" t="s">
        <v>55</v>
      </c>
      <c r="D231" s="3">
        <v>29</v>
      </c>
      <c r="E231" s="4">
        <v>229</v>
      </c>
      <c r="F231" s="3">
        <v>2902</v>
      </c>
      <c r="G231" s="3" t="s">
        <v>22</v>
      </c>
      <c r="H231" s="3">
        <f>VLOOKUP(Check[[#This Row],[טיפוס]],Tipus[],2,FALSE)</f>
        <v>3</v>
      </c>
      <c r="I231" s="3" t="str">
        <f>VLOOKUP(Check[[#This Row],[טיפוס]],Tipus[],3,FALSE)</f>
        <v>סטנדרט</v>
      </c>
      <c r="J231" s="3" t="str">
        <f>VLOOKUP(Check[[#This Row],[טיפוס]],Tipus[],4,FALSE)</f>
        <v>E</v>
      </c>
      <c r="K231" s="3" t="str">
        <f>IF(Check[[#This Row],[סטטוס2]]="הולד","פנויה",Check[[#This Row],[סטטוס2]])</f>
        <v>פנויה</v>
      </c>
      <c r="L231" s="382" t="s">
        <v>108</v>
      </c>
      <c r="M231" s="382"/>
      <c r="N231" t="s">
        <v>1367</v>
      </c>
      <c r="O231" s="383"/>
      <c r="P231" s="410" t="s">
        <v>1389</v>
      </c>
      <c r="Q231" s="410"/>
      <c r="R231" s="383"/>
      <c r="S231" s="384"/>
      <c r="T231" s="384" t="s">
        <v>214</v>
      </c>
      <c r="U231" s="385"/>
      <c r="V231" s="385"/>
      <c r="W231" s="387"/>
    </row>
    <row r="232" spans="1:23" ht="94.5" x14ac:dyDescent="0.2">
      <c r="A232" s="13" t="str">
        <f>_xlfn.CONCAT(VLOOKUP(Check[[#This Row],[סטטוס]],Sold,2,FALSE),IF(Check[[#This Row],[סטטוס]]="פנויה",IF(N232="גמר מלא סטנדרט",".GMS",IF(N232="גמר מלא טיוב חומרים",".GMC",IF(N232="גמר מינימלי",".GM",IF(N232="דירת שיווק",".DS","")))),""),".",VLOOKUP(Check[[#This Row],[טיפוס]],Tipus[],5,FALSE),".",VLOOKUP(Check[[#This Row],[מגדל]],Tower,2,FALSE),".Ap.",Check[[#This Row],[מספר דירה]])</f>
        <v>V.GMC.S.3A.TS.Ap.230</v>
      </c>
      <c r="B232" s="13" t="str">
        <f>_xlfn.CONCAT(VLOOKUP(Check[[#This Row],[סטטוס]],Sold,2,FALSE),IF(Check[[#This Row],[סטטוס]]="פנויה",IF(N232="גמר מלא סטנדרט",".GMS",IF(N232="גמר מלא טיוב חומרים",".GMC",IF(N232="גמר מינימלי",".GM",IF(N232="דירת שיווק",".DS","")))),""),IF(M232="זומן לטרום",".ZLT",IF(M232="טרום מסירה",".TM",IF(M232="טרום מסירה מהנדס",".TMM",IF(M232="מסירת חזקה",".MH",IF(M232="מסירת חזקה מהנדס",".MHM",""))))),".",VLOOKUP(Check[[#This Row],[טיפוס]],Tipus[],5,FALSE),".",VLOOKUP(Check[[#This Row],[מגדל]],Tower,2,FALSE),".Ap.",Check[[#This Row],[מספר דירה]])</f>
        <v>V.GMC.S.3A.TS.Ap.230</v>
      </c>
      <c r="C232" s="3" t="s">
        <v>55</v>
      </c>
      <c r="D232" s="3">
        <v>29</v>
      </c>
      <c r="E232" s="4">
        <v>230</v>
      </c>
      <c r="F232" s="3">
        <v>2903</v>
      </c>
      <c r="G232" s="3" t="s">
        <v>9</v>
      </c>
      <c r="H232" s="3">
        <f>VLOOKUP(Check[[#This Row],[טיפוס]],Tipus[],2,FALSE)</f>
        <v>3</v>
      </c>
      <c r="I232" s="3" t="str">
        <f>VLOOKUP(Check[[#This Row],[טיפוס]],Tipus[],3,FALSE)</f>
        <v>סטנדרט</v>
      </c>
      <c r="J232" s="3" t="str">
        <f>VLOOKUP(Check[[#This Row],[טיפוס]],Tipus[],4,FALSE)</f>
        <v>D</v>
      </c>
      <c r="K232" s="3" t="str">
        <f>IF(Check[[#This Row],[סטטוס2]]="הולד","פנויה",Check[[#This Row],[סטטוס2]])</f>
        <v>פנויה</v>
      </c>
      <c r="L232" s="382" t="s">
        <v>108</v>
      </c>
      <c r="M232" s="382"/>
      <c r="N232" t="s">
        <v>1417</v>
      </c>
      <c r="O232" s="424" t="s">
        <v>1399</v>
      </c>
      <c r="P232" s="410" t="s">
        <v>1385</v>
      </c>
      <c r="Q232" s="410" t="s">
        <v>1393</v>
      </c>
      <c r="R232" s="383"/>
      <c r="S232" s="384"/>
      <c r="T232" s="384" t="s">
        <v>214</v>
      </c>
      <c r="U232" s="385"/>
      <c r="V232" s="385"/>
      <c r="W232" s="387"/>
    </row>
    <row r="233" spans="1:23" ht="78.75" x14ac:dyDescent="0.2">
      <c r="A233" s="13" t="str">
        <f>_xlfn.CONCAT(VLOOKUP(Check[[#This Row],[סטטוס]],Sold,2,FALSE),IF(Check[[#This Row],[סטטוס]]="פנויה",IF(N233="גמר מלא סטנדרט",".GMS",IF(N233="גמר מלא טיוב חומרים",".GMC",IF(N233="גמר מינימלי",".GM",IF(N233="דירת שיווק",".DS","")))),""),".",VLOOKUP(Check[[#This Row],[טיפוס]],Tipus[],5,FALSE),".",VLOOKUP(Check[[#This Row],[מגדל]],Tower,2,FALSE),".Ap.",Check[[#This Row],[מספר דירה]])</f>
        <v>S.S.2D.TS.Ap.231</v>
      </c>
      <c r="B233" s="13" t="str">
        <f>_xlfn.CONCAT(VLOOKUP(Check[[#This Row],[סטטוס]],Sold,2,FALSE),IF(Check[[#This Row],[סטטוס]]="פנויה",IF(N233="גמר מלא סטנדרט",".GMS",IF(N233="גמר מלא טיוב חומרים",".GMC",IF(N233="גמר מינימלי",".GM",IF(N233="דירת שיווק",".DS","")))),""),IF(M233="זומן לטרום",".ZLT",IF(M233="טרום מסירה",".TM",IF(M233="טרום מסירה מהנדס",".TMM",IF(M233="מסירת חזקה",".MH",IF(M233="מסירת חזקה מהנדס",".MHM",""))))),".",VLOOKUP(Check[[#This Row],[טיפוס]],Tipus[],5,FALSE),".",VLOOKUP(Check[[#This Row],[מגדל]],Tower,2,FALSE),".Ap.",Check[[#This Row],[מספר דירה]])</f>
        <v>S.S.2D.TS.Ap.231</v>
      </c>
      <c r="C233" s="3" t="s">
        <v>55</v>
      </c>
      <c r="D233" s="3">
        <v>29</v>
      </c>
      <c r="E233" s="4">
        <v>231</v>
      </c>
      <c r="F233" s="3">
        <v>2904</v>
      </c>
      <c r="G233" s="3" t="s">
        <v>10</v>
      </c>
      <c r="H233" s="3">
        <f>VLOOKUP(Check[[#This Row],[טיפוס]],Tipus[],2,FALSE)</f>
        <v>2</v>
      </c>
      <c r="I233" s="3" t="str">
        <f>VLOOKUP(Check[[#This Row],[טיפוס]],Tipus[],3,FALSE)</f>
        <v>סטנדרט</v>
      </c>
      <c r="J233" s="3" t="str">
        <f>VLOOKUP(Check[[#This Row],[טיפוס]],Tipus[],4,FALSE)</f>
        <v>C</v>
      </c>
      <c r="K233" s="3" t="str">
        <f>IF(Check[[#This Row],[סטטוס2]]="הולד","פנויה",Check[[#This Row],[סטטוס2]])</f>
        <v>מכורה</v>
      </c>
      <c r="L233" s="382" t="s">
        <v>130</v>
      </c>
      <c r="M233" s="382"/>
      <c r="N233" t="s">
        <v>1367</v>
      </c>
      <c r="O233" s="424" t="s">
        <v>1400</v>
      </c>
      <c r="P233" s="410" t="s">
        <v>1385</v>
      </c>
      <c r="Q233" s="410" t="s">
        <v>1401</v>
      </c>
      <c r="R233" s="383"/>
      <c r="S233" s="425">
        <v>46072</v>
      </c>
      <c r="T233" s="386" t="s">
        <v>214</v>
      </c>
      <c r="U233" s="387"/>
      <c r="V233" s="387"/>
      <c r="W233" s="387"/>
    </row>
    <row r="234" spans="1:23" x14ac:dyDescent="0.2">
      <c r="A234" s="13" t="str">
        <f>_xlfn.CONCAT(VLOOKUP(Check[[#This Row],[סטטוס]],Sold,2,FALSE),IF(Check[[#This Row],[סטטוס]]="פנויה",IF(N234="גמר מלא סטנדרט",".GMS",IF(N234="גמר מלא טיוב חומרים",".GMC",IF(N234="גמר מינימלי",".GM",IF(N234="דירת שיווק",".DS","")))),""),".",VLOOKUP(Check[[#This Row],[טיפוס]],Tipus[],5,FALSE),".",VLOOKUP(Check[[#This Row],[מגדל]],Tower,2,FALSE),".Ap.",Check[[#This Row],[מספר דירה]])</f>
        <v>O.S.4C.TS.Ap.232</v>
      </c>
      <c r="B234" s="13" t="str">
        <f>_xlfn.CONCAT(VLOOKUP(Check[[#This Row],[סטטוס]],Sold,2,FALSE),IF(Check[[#This Row],[סטטוס]]="פנויה",IF(N234="גמר מלא סטנדרט",".GMS",IF(N234="גמר מלא טיוב חומרים",".GMC",IF(N234="גמר מינימלי",".GM",IF(N234="דירת שיווק",".DS","")))),""),IF(M234="זומן לטרום",".ZLT",IF(M234="טרום מסירה",".TM",IF(M234="טרום מסירה מהנדס",".TMM",IF(M234="מסירת חזקה",".MH",IF(M234="מסירת חזקה מהנדס",".MHM",""))))),".",VLOOKUP(Check[[#This Row],[טיפוס]],Tipus[],5,FALSE),".",VLOOKUP(Check[[#This Row],[מגדל]],Tower,2,FALSE),".Ap.",Check[[#This Row],[מספר דירה]])</f>
        <v>O.S.4C.TS.Ap.232</v>
      </c>
      <c r="C234" s="3" t="s">
        <v>55</v>
      </c>
      <c r="D234" s="3">
        <v>29</v>
      </c>
      <c r="E234" s="4">
        <v>232</v>
      </c>
      <c r="F234" s="3">
        <v>2905</v>
      </c>
      <c r="G234" s="3" t="s">
        <v>26</v>
      </c>
      <c r="H234" s="3">
        <f>VLOOKUP(Check[[#This Row],[טיפוס]],Tipus[],2,FALSE)</f>
        <v>4</v>
      </c>
      <c r="I234" s="3" t="str">
        <f>VLOOKUP(Check[[#This Row],[טיפוס]],Tipus[],3,FALSE)</f>
        <v>סטנדרט</v>
      </c>
      <c r="J234" s="3" t="str">
        <f>VLOOKUP(Check[[#This Row],[טיפוס]],Tipus[],4,FALSE)</f>
        <v>A</v>
      </c>
      <c r="K234" s="3" t="str">
        <f>IF(Check[[#This Row],[סטטוס2]]="הולד","פנויה",Check[[#This Row],[סטטוס2]])</f>
        <v>בעלים</v>
      </c>
      <c r="L234" s="382" t="s">
        <v>91</v>
      </c>
      <c r="M234" s="382"/>
      <c r="N234" s="383"/>
      <c r="O234" s="383"/>
      <c r="P234" s="411"/>
      <c r="Q234" s="411"/>
      <c r="R234" s="383"/>
      <c r="S234" s="384">
        <v>44040</v>
      </c>
      <c r="T234" s="384" t="s">
        <v>465</v>
      </c>
      <c r="U234" s="385" t="s">
        <v>466</v>
      </c>
      <c r="V234" s="385" t="s">
        <v>467</v>
      </c>
      <c r="W234" s="385" t="s">
        <v>333</v>
      </c>
    </row>
    <row r="235" spans="1:23" x14ac:dyDescent="0.2">
      <c r="A235" s="13" t="str">
        <f>_xlfn.CONCAT(VLOOKUP(Check[[#This Row],[סטטוס]],Sold,2,FALSE),IF(Check[[#This Row],[סטטוס]]="פנויה",IF(N235="גמר מלא סטנדרט",".GMS",IF(N235="גמר מלא טיוב חומרים",".GMC",IF(N235="גמר מינימלי",".GM",IF(N235="דירת שיווק",".DS","")))),""),".",VLOOKUP(Check[[#This Row],[טיפוס]],Tipus[],5,FALSE),".",VLOOKUP(Check[[#This Row],[מגדל]],Tower,2,FALSE),".Ap.",Check[[#This Row],[מספר דירה]])</f>
        <v>O.S.5A.TS.Ap.233</v>
      </c>
      <c r="B235" s="13" t="str">
        <f>_xlfn.CONCAT(VLOOKUP(Check[[#This Row],[סטטוס]],Sold,2,FALSE),IF(Check[[#This Row],[סטטוס]]="פנויה",IF(N235="גמר מלא סטנדרט",".GMS",IF(N235="גמר מלא טיוב חומרים",".GMC",IF(N235="גמר מינימלי",".GM",IF(N235="דירת שיווק",".DS","")))),""),IF(M235="זומן לטרום",".ZLT",IF(M235="טרום מסירה",".TM",IF(M235="טרום מסירה מהנדס",".TMM",IF(M235="מסירת חזקה",".MH",IF(M235="מסירת חזקה מהנדס",".MHM",""))))),".",VLOOKUP(Check[[#This Row],[טיפוס]],Tipus[],5,FALSE),".",VLOOKUP(Check[[#This Row],[מגדל]],Tower,2,FALSE),".Ap.",Check[[#This Row],[מספר דירה]])</f>
        <v>O.S.5A.TS.Ap.233</v>
      </c>
      <c r="C235" s="3" t="s">
        <v>55</v>
      </c>
      <c r="D235" s="3">
        <v>29</v>
      </c>
      <c r="E235" s="4">
        <v>233</v>
      </c>
      <c r="F235" s="3">
        <v>2906</v>
      </c>
      <c r="G235" s="3" t="s">
        <v>25</v>
      </c>
      <c r="H235" s="3">
        <f>VLOOKUP(Check[[#This Row],[טיפוס]],Tipus[],2,FALSE)</f>
        <v>5</v>
      </c>
      <c r="I235" s="3" t="str">
        <f>VLOOKUP(Check[[#This Row],[טיפוס]],Tipus[],3,FALSE)</f>
        <v>סטנדרט</v>
      </c>
      <c r="J235" s="3" t="str">
        <f>VLOOKUP(Check[[#This Row],[טיפוס]],Tipus[],4,FALSE)</f>
        <v>J</v>
      </c>
      <c r="K235" s="3" t="str">
        <f>IF(Check[[#This Row],[סטטוס2]]="הולד","פנויה",Check[[#This Row],[סטטוס2]])</f>
        <v>בעלים</v>
      </c>
      <c r="L235" s="382" t="s">
        <v>91</v>
      </c>
      <c r="M235" s="382"/>
      <c r="N235" s="383"/>
      <c r="O235" s="383"/>
      <c r="P235" s="411"/>
      <c r="Q235" s="411"/>
      <c r="R235" s="383"/>
      <c r="S235" s="384">
        <v>44040</v>
      </c>
      <c r="T235" s="384" t="s">
        <v>468</v>
      </c>
      <c r="U235" s="385" t="s">
        <v>469</v>
      </c>
      <c r="V235" s="385" t="s">
        <v>470</v>
      </c>
      <c r="W235" s="385" t="s">
        <v>214</v>
      </c>
    </row>
    <row r="236" spans="1:23" ht="141.75" x14ac:dyDescent="0.2">
      <c r="A236" s="13" t="str">
        <f>_xlfn.CONCAT(VLOOKUP(Check[[#This Row],[סטטוס]],Sold,2,FALSE),IF(Check[[#This Row],[סטטוס]]="פנויה",IF(N236="גמר מלא סטנדרט",".GMS",IF(N236="גמר מלא טיוב חומרים",".GMC",IF(N236="גמר מינימלי",".GM",IF(N236="דירת שיווק",".DS","")))),""),".",VLOOKUP(Check[[#This Row],[טיפוס]],Tipus[],5,FALSE),".",VLOOKUP(Check[[#This Row],[מגדל]],Tower,2,FALSE),".Ap.",Check[[#This Row],[מספר דירה]])</f>
        <v>V.GMC.S.5B.TS.Ap.234</v>
      </c>
      <c r="B236" s="13" t="str">
        <f>_xlfn.CONCAT(VLOOKUP(Check[[#This Row],[סטטוס]],Sold,2,FALSE),IF(Check[[#This Row],[סטטוס]]="פנויה",IF(N236="גמר מלא סטנדרט",".GMS",IF(N236="גמר מלא טיוב חומרים",".GMC",IF(N236="גמר מינימלי",".GM",IF(N236="דירת שיווק",".DS","")))),""),IF(M236="זומן לטרום",".ZLT",IF(M236="טרום מסירה",".TM",IF(M236="טרום מסירה מהנדס",".TMM",IF(M236="מסירת חזקה",".MH",IF(M236="מסירת חזקה מהנדס",".MHM",""))))),".",VLOOKUP(Check[[#This Row],[טיפוס]],Tipus[],5,FALSE),".",VLOOKUP(Check[[#This Row],[מגדל]],Tower,2,FALSE),".Ap.",Check[[#This Row],[מספר דירה]])</f>
        <v>V.GMC.S.5B.TS.Ap.234</v>
      </c>
      <c r="C236" s="3" t="s">
        <v>55</v>
      </c>
      <c r="D236" s="3">
        <v>29</v>
      </c>
      <c r="E236" s="4">
        <v>234</v>
      </c>
      <c r="F236" s="3">
        <v>2907</v>
      </c>
      <c r="G236" s="3" t="s">
        <v>24</v>
      </c>
      <c r="H236" s="3">
        <f>VLOOKUP(Check[[#This Row],[טיפוס]],Tipus[],2,FALSE)</f>
        <v>5</v>
      </c>
      <c r="I236" s="3" t="str">
        <f>VLOOKUP(Check[[#This Row],[טיפוס]],Tipus[],3,FALSE)</f>
        <v>סטנדרט</v>
      </c>
      <c r="J236" s="3" t="str">
        <f>VLOOKUP(Check[[#This Row],[טיפוס]],Tipus[],4,FALSE)</f>
        <v>H</v>
      </c>
      <c r="K236" s="3" t="str">
        <f>IF(Check[[#This Row],[סטטוס2]]="הולד","פנויה",Check[[#This Row],[סטטוס2]])</f>
        <v>פנויה</v>
      </c>
      <c r="L236" s="382" t="s">
        <v>108</v>
      </c>
      <c r="M236" s="382"/>
      <c r="N236" t="s">
        <v>1417</v>
      </c>
      <c r="O236" s="404" t="s">
        <v>1398</v>
      </c>
      <c r="P236" s="415" t="s">
        <v>1386</v>
      </c>
      <c r="Q236" s="423" t="s">
        <v>1397</v>
      </c>
      <c r="R236" s="399"/>
      <c r="S236" s="384"/>
      <c r="T236" s="398"/>
      <c r="U236" s="385"/>
      <c r="V236" s="385"/>
      <c r="W236" s="387"/>
    </row>
    <row r="237" spans="1:23" x14ac:dyDescent="0.2">
      <c r="A237" s="13" t="str">
        <f>_xlfn.CONCAT(VLOOKUP(Check[[#This Row],[סטטוס]],Sold,2,FALSE),IF(Check[[#This Row],[סטטוס]]="פנויה",IF(N237="גמר מלא סטנדרט",".GMS",IF(N237="גמר מלא טיוב חומרים",".GMC",IF(N237="גמר מינימלי",".GM",IF(N237="דירת שיווק",".DS","")))),""),".",VLOOKUP(Check[[#This Row],[טיפוס]],Tipus[],5,FALSE),".",VLOOKUP(Check[[#This Row],[מגדל]],Tower,2,FALSE),".Ap.",Check[[#This Row],[מספר דירה]])</f>
        <v>O.S.3F.TS.Ap.235</v>
      </c>
      <c r="B237" s="13" t="str">
        <f>_xlfn.CONCAT(VLOOKUP(Check[[#This Row],[סטטוס]],Sold,2,FALSE),IF(Check[[#This Row],[סטטוס]]="פנויה",IF(N237="גמר מלא סטנדרט",".GMS",IF(N237="גמר מלא טיוב חומרים",".GMC",IF(N237="גמר מינימלי",".GM",IF(N237="דירת שיווק",".DS","")))),""),IF(M237="זומן לטרום",".ZLT",IF(M237="טרום מסירה",".TM",IF(M237="טרום מסירה מהנדס",".TMM",IF(M237="מסירת חזקה",".MH",IF(M237="מסירת חזקה מהנדס",".MHM",""))))),".",VLOOKUP(Check[[#This Row],[טיפוס]],Tipus[],5,FALSE),".",VLOOKUP(Check[[#This Row],[מגדל]],Tower,2,FALSE),".Ap.",Check[[#This Row],[מספר דירה]])</f>
        <v>O.S.3F.TS.Ap.235</v>
      </c>
      <c r="C237" s="3" t="s">
        <v>55</v>
      </c>
      <c r="D237" s="3">
        <v>30</v>
      </c>
      <c r="E237" s="4">
        <v>235</v>
      </c>
      <c r="F237" s="3">
        <v>3001</v>
      </c>
      <c r="G237" s="3" t="s">
        <v>23</v>
      </c>
      <c r="H237" s="3">
        <f>VLOOKUP(Check[[#This Row],[טיפוס]],Tipus[],2,FALSE)</f>
        <v>3</v>
      </c>
      <c r="I237" s="3" t="str">
        <f>VLOOKUP(Check[[#This Row],[טיפוס]],Tipus[],3,FALSE)</f>
        <v>סטנדרט</v>
      </c>
      <c r="J237" s="3" t="str">
        <f>VLOOKUP(Check[[#This Row],[טיפוס]],Tipus[],4,FALSE)</f>
        <v>G</v>
      </c>
      <c r="K237" s="3" t="str">
        <f>IF(Check[[#This Row],[סטטוס2]]="הולד","פנויה",Check[[#This Row],[סטטוס2]])</f>
        <v>בעלים</v>
      </c>
      <c r="L237" s="382" t="s">
        <v>91</v>
      </c>
      <c r="M237" s="382"/>
      <c r="N237" s="383"/>
      <c r="O237" s="383"/>
      <c r="P237" s="411"/>
      <c r="Q237" s="411"/>
      <c r="R237" s="383"/>
      <c r="S237" s="384">
        <v>44040</v>
      </c>
      <c r="T237" s="384" t="s">
        <v>1313</v>
      </c>
      <c r="U237" s="385" t="s">
        <v>471</v>
      </c>
      <c r="V237" s="385" t="s">
        <v>214</v>
      </c>
      <c r="W237" s="385" t="s">
        <v>214</v>
      </c>
    </row>
    <row r="238" spans="1:23" x14ac:dyDescent="0.2">
      <c r="A238" s="13" t="str">
        <f>_xlfn.CONCAT(VLOOKUP(Check[[#This Row],[סטטוס]],Sold,2,FALSE),IF(Check[[#This Row],[סטטוס]]="פנויה",IF(N238="גמר מלא סטנדרט",".GMS",IF(N238="גמר מלא טיוב חומרים",".GMC",IF(N238="גמר מינימלי",".GM",IF(N238="דירת שיווק",".DS","")))),""),".",VLOOKUP(Check[[#This Row],[טיפוס]],Tipus[],5,FALSE),".",VLOOKUP(Check[[#This Row],[מגדל]],Tower,2,FALSE),".Ap.",Check[[#This Row],[מספר דירה]])</f>
        <v>V.GMS.S.3G.TS.Ap.236</v>
      </c>
      <c r="B238" s="13" t="str">
        <f>_xlfn.CONCAT(VLOOKUP(Check[[#This Row],[סטטוס]],Sold,2,FALSE),IF(Check[[#This Row],[סטטוס]]="פנויה",IF(N238="גמר מלא סטנדרט",".GMS",IF(N238="גמר מלא טיוב חומרים",".GMC",IF(N238="גמר מינימלי",".GM",IF(N238="דירת שיווק",".DS","")))),""),IF(M238="זומן לטרום",".ZLT",IF(M238="טרום מסירה",".TM",IF(M238="טרום מסירה מהנדס",".TMM",IF(M238="מסירת חזקה",".MH",IF(M238="מסירת חזקה מהנדס",".MHM",""))))),".",VLOOKUP(Check[[#This Row],[טיפוס]],Tipus[],5,FALSE),".",VLOOKUP(Check[[#This Row],[מגדל]],Tower,2,FALSE),".Ap.",Check[[#This Row],[מספר דירה]])</f>
        <v>V.GMS.S.3G.TS.Ap.236</v>
      </c>
      <c r="C238" s="3" t="s">
        <v>55</v>
      </c>
      <c r="D238" s="3">
        <v>30</v>
      </c>
      <c r="E238" s="4">
        <v>236</v>
      </c>
      <c r="F238" s="3">
        <v>3002</v>
      </c>
      <c r="G238" s="3" t="s">
        <v>22</v>
      </c>
      <c r="H238" s="3">
        <f>VLOOKUP(Check[[#This Row],[טיפוס]],Tipus[],2,FALSE)</f>
        <v>3</v>
      </c>
      <c r="I238" s="3" t="str">
        <f>VLOOKUP(Check[[#This Row],[טיפוס]],Tipus[],3,FALSE)</f>
        <v>סטנדרט</v>
      </c>
      <c r="J238" s="3" t="str">
        <f>VLOOKUP(Check[[#This Row],[טיפוס]],Tipus[],4,FALSE)</f>
        <v>E</v>
      </c>
      <c r="K238" s="3" t="str">
        <f>IF(Check[[#This Row],[סטטוס2]]="הולד","פנויה",Check[[#This Row],[סטטוס2]])</f>
        <v>פנויה</v>
      </c>
      <c r="L238" s="382" t="s">
        <v>108</v>
      </c>
      <c r="M238" s="382"/>
      <c r="N238" t="s">
        <v>1367</v>
      </c>
      <c r="O238" s="383" t="s">
        <v>1390</v>
      </c>
      <c r="P238" s="410" t="s">
        <v>1389</v>
      </c>
      <c r="Q238" s="410"/>
      <c r="R238" s="383"/>
      <c r="S238" s="384"/>
      <c r="T238" s="384" t="s">
        <v>214</v>
      </c>
      <c r="U238" s="385"/>
      <c r="V238" s="385"/>
      <c r="W238" s="387"/>
    </row>
    <row r="239" spans="1:23" x14ac:dyDescent="0.2">
      <c r="A239" s="13" t="str">
        <f>_xlfn.CONCAT(VLOOKUP(Check[[#This Row],[סטטוס]],Sold,2,FALSE),IF(Check[[#This Row],[סטטוס]]="פנויה",IF(N239="גמר מלא סטנדרט",".GMS",IF(N239="גמר מלא טיוב חומרים",".GMC",IF(N239="גמר מינימלי",".GM",IF(N239="דירת שיווק",".DS","")))),""),".",VLOOKUP(Check[[#This Row],[טיפוס]],Tipus[],5,FALSE),".",VLOOKUP(Check[[#This Row],[מגדל]],Tower,2,FALSE),".Ap.",Check[[#This Row],[מספר דירה]])</f>
        <v>V.GMS.S.3A.TS.Ap.237</v>
      </c>
      <c r="B239" s="13" t="str">
        <f>_xlfn.CONCAT(VLOOKUP(Check[[#This Row],[סטטוס]],Sold,2,FALSE),IF(Check[[#This Row],[סטטוס]]="פנויה",IF(N239="גמר מלא סטנדרט",".GMS",IF(N239="גמר מלא טיוב חומרים",".GMC",IF(N239="גמר מינימלי",".GM",IF(N239="דירת שיווק",".DS","")))),""),IF(M239="זומן לטרום",".ZLT",IF(M239="טרום מסירה",".TM",IF(M239="טרום מסירה מהנדס",".TMM",IF(M239="מסירת חזקה",".MH",IF(M239="מסירת חזקה מהנדס",".MHM",""))))),".",VLOOKUP(Check[[#This Row],[טיפוס]],Tipus[],5,FALSE),".",VLOOKUP(Check[[#This Row],[מגדל]],Tower,2,FALSE),".Ap.",Check[[#This Row],[מספר דירה]])</f>
        <v>V.GMS.S.3A.TS.Ap.237</v>
      </c>
      <c r="C239" s="3" t="s">
        <v>55</v>
      </c>
      <c r="D239" s="3">
        <v>30</v>
      </c>
      <c r="E239" s="4">
        <v>237</v>
      </c>
      <c r="F239" s="3">
        <v>3003</v>
      </c>
      <c r="G239" s="3" t="s">
        <v>9</v>
      </c>
      <c r="H239" s="3">
        <f>VLOOKUP(Check[[#This Row],[טיפוס]],Tipus[],2,FALSE)</f>
        <v>3</v>
      </c>
      <c r="I239" s="3" t="str">
        <f>VLOOKUP(Check[[#This Row],[טיפוס]],Tipus[],3,FALSE)</f>
        <v>סטנדרט</v>
      </c>
      <c r="J239" s="3" t="str">
        <f>VLOOKUP(Check[[#This Row],[טיפוס]],Tipus[],4,FALSE)</f>
        <v>D</v>
      </c>
      <c r="K239" s="3" t="str">
        <f>IF(Check[[#This Row],[סטטוס2]]="הולד","פנויה",Check[[#This Row],[סטטוס2]])</f>
        <v>פנויה</v>
      </c>
      <c r="L239" s="382" t="s">
        <v>108</v>
      </c>
      <c r="M239" s="382"/>
      <c r="N239" t="s">
        <v>1367</v>
      </c>
      <c r="O239" s="383" t="s">
        <v>1390</v>
      </c>
      <c r="P239" s="410" t="s">
        <v>1389</v>
      </c>
      <c r="Q239" s="410"/>
      <c r="R239" s="383"/>
      <c r="S239" s="384"/>
      <c r="T239" s="384" t="s">
        <v>214</v>
      </c>
      <c r="U239" s="385"/>
      <c r="V239" s="385"/>
      <c r="W239" s="387"/>
    </row>
    <row r="240" spans="1:23" x14ac:dyDescent="0.2">
      <c r="A240" s="13" t="str">
        <f>_xlfn.CONCAT(VLOOKUP(Check[[#This Row],[סטטוס]],Sold,2,FALSE),IF(Check[[#This Row],[סטטוס]]="פנויה",IF(N240="גמר מלא סטנדרט",".GMS",IF(N240="גמר מלא טיוב חומרים",".GMC",IF(N240="גמר מינימלי",".GM",IF(N240="דירת שיווק",".DS","")))),""),".",VLOOKUP(Check[[#This Row],[טיפוס]],Tipus[],5,FALSE),".",VLOOKUP(Check[[#This Row],[מגדל]],Tower,2,FALSE),".Ap.",Check[[#This Row],[מספר דירה]])</f>
        <v>S.S.2D.TS.Ap.238</v>
      </c>
      <c r="B240" s="13" t="str">
        <f>_xlfn.CONCAT(VLOOKUP(Check[[#This Row],[סטטוס]],Sold,2,FALSE),IF(Check[[#This Row],[סטטוס]]="פנויה",IF(N240="גמר מלא סטנדרט",".GMS",IF(N240="גמר מלא טיוב חומרים",".GMC",IF(N240="גמר מינימלי",".GM",IF(N240="דירת שיווק",".DS","")))),""),IF(M240="זומן לטרום",".ZLT",IF(M240="טרום מסירה",".TM",IF(M240="טרום מסירה מהנדס",".TMM",IF(M240="מסירת חזקה",".MH",IF(M240="מסירת חזקה מהנדס",".MHM",""))))),".",VLOOKUP(Check[[#This Row],[טיפוס]],Tipus[],5,FALSE),".",VLOOKUP(Check[[#This Row],[מגדל]],Tower,2,FALSE),".Ap.",Check[[#This Row],[מספר דירה]])</f>
        <v>S.S.2D.TS.Ap.238</v>
      </c>
      <c r="C240" s="3" t="s">
        <v>55</v>
      </c>
      <c r="D240" s="3">
        <v>30</v>
      </c>
      <c r="E240" s="4">
        <v>238</v>
      </c>
      <c r="F240" s="3">
        <v>3004</v>
      </c>
      <c r="G240" s="3" t="s">
        <v>10</v>
      </c>
      <c r="H240" s="3">
        <f>VLOOKUP(Check[[#This Row],[טיפוס]],Tipus[],2,FALSE)</f>
        <v>2</v>
      </c>
      <c r="I240" s="3" t="str">
        <f>VLOOKUP(Check[[#This Row],[טיפוס]],Tipus[],3,FALSE)</f>
        <v>סטנדרט</v>
      </c>
      <c r="J240" s="3" t="str">
        <f>VLOOKUP(Check[[#This Row],[טיפוס]],Tipus[],4,FALSE)</f>
        <v>C</v>
      </c>
      <c r="K240" s="3" t="str">
        <f>IF(Check[[#This Row],[סטטוס2]]="הולד","פנויה",Check[[#This Row],[סטטוס2]])</f>
        <v>מכורה</v>
      </c>
      <c r="L240" s="382" t="s">
        <v>130</v>
      </c>
      <c r="M240" s="382"/>
      <c r="N240" s="383"/>
      <c r="O240" s="383"/>
      <c r="P240" s="411"/>
      <c r="Q240" s="411"/>
      <c r="R240" s="383"/>
      <c r="S240" s="386">
        <v>44776</v>
      </c>
      <c r="T240" s="386" t="s">
        <v>1314</v>
      </c>
      <c r="U240" s="387"/>
      <c r="V240" s="387"/>
      <c r="W240" s="387"/>
    </row>
    <row r="241" spans="1:23" x14ac:dyDescent="0.2">
      <c r="A241" s="13" t="str">
        <f>_xlfn.CONCAT(VLOOKUP(Check[[#This Row],[סטטוס]],Sold,2,FALSE),IF(Check[[#This Row],[סטטוס]]="פנויה",IF(N241="גמר מלא סטנדרט",".GMS",IF(N241="גמר מלא טיוב חומרים",".GMC",IF(N241="גמר מינימלי",".GM",IF(N241="דירת שיווק",".DS","")))),""),".",VLOOKUP(Check[[#This Row],[טיפוס]],Tipus[],5,FALSE),".",VLOOKUP(Check[[#This Row],[מגדל]],Tower,2,FALSE),".Ap.",Check[[#This Row],[מספר דירה]])</f>
        <v>O.S.4C.TS.Ap.239</v>
      </c>
      <c r="B241" s="13" t="str">
        <f>_xlfn.CONCAT(VLOOKUP(Check[[#This Row],[סטטוס]],Sold,2,FALSE),IF(Check[[#This Row],[סטטוס]]="פנויה",IF(N241="גמר מלא סטנדרט",".GMS",IF(N241="גמר מלא טיוב חומרים",".GMC",IF(N241="גמר מינימלי",".GM",IF(N241="דירת שיווק",".DS","")))),""),IF(M241="זומן לטרום",".ZLT",IF(M241="טרום מסירה",".TM",IF(M241="טרום מסירה מהנדס",".TMM",IF(M241="מסירת חזקה",".MH",IF(M241="מסירת חזקה מהנדס",".MHM",""))))),".",VLOOKUP(Check[[#This Row],[טיפוס]],Tipus[],5,FALSE),".",VLOOKUP(Check[[#This Row],[מגדל]],Tower,2,FALSE),".Ap.",Check[[#This Row],[מספר דירה]])</f>
        <v>O.S.4C.TS.Ap.239</v>
      </c>
      <c r="C241" s="3" t="s">
        <v>55</v>
      </c>
      <c r="D241" s="3">
        <v>30</v>
      </c>
      <c r="E241" s="4">
        <v>239</v>
      </c>
      <c r="F241" s="3">
        <v>3005</v>
      </c>
      <c r="G241" s="3" t="s">
        <v>26</v>
      </c>
      <c r="H241" s="3">
        <f>VLOOKUP(Check[[#This Row],[טיפוס]],Tipus[],2,FALSE)</f>
        <v>4</v>
      </c>
      <c r="I241" s="3" t="str">
        <f>VLOOKUP(Check[[#This Row],[טיפוס]],Tipus[],3,FALSE)</f>
        <v>סטנדרט</v>
      </c>
      <c r="J241" s="3" t="str">
        <f>VLOOKUP(Check[[#This Row],[טיפוס]],Tipus[],4,FALSE)</f>
        <v>A</v>
      </c>
      <c r="K241" s="3" t="str">
        <f>IF(Check[[#This Row],[סטטוס2]]="הולד","פנויה",Check[[#This Row],[סטטוס2]])</f>
        <v>בעלים</v>
      </c>
      <c r="L241" s="382" t="s">
        <v>91</v>
      </c>
      <c r="M241" s="382"/>
      <c r="N241" s="383"/>
      <c r="O241" s="383"/>
      <c r="P241" s="411"/>
      <c r="Q241" s="411"/>
      <c r="R241" s="383"/>
      <c r="S241" s="384">
        <v>44040</v>
      </c>
      <c r="T241" s="384" t="s">
        <v>472</v>
      </c>
      <c r="U241" s="385" t="s">
        <v>473</v>
      </c>
      <c r="V241" s="385" t="s">
        <v>474</v>
      </c>
      <c r="W241" s="385" t="s">
        <v>333</v>
      </c>
    </row>
    <row r="242" spans="1:23" x14ac:dyDescent="0.2">
      <c r="A242" s="13" t="str">
        <f>_xlfn.CONCAT(VLOOKUP(Check[[#This Row],[סטטוס]],Sold,2,FALSE),IF(Check[[#This Row],[סטטוס]]="פנויה",IF(N242="גמר מלא סטנדרט",".GMS",IF(N242="גמר מלא טיוב חומרים",".GMC",IF(N242="גמר מינימלי",".GM",IF(N242="דירת שיווק",".DS","")))),""),".",VLOOKUP(Check[[#This Row],[טיפוס]],Tipus[],5,FALSE),".",VLOOKUP(Check[[#This Row],[מגדל]],Tower,2,FALSE),".Ap.",Check[[#This Row],[מספר דירה]])</f>
        <v>V.GM.S.5A.TS.Ap.240</v>
      </c>
      <c r="B242" s="13" t="str">
        <f>_xlfn.CONCAT(VLOOKUP(Check[[#This Row],[סטטוס]],Sold,2,FALSE),IF(Check[[#This Row],[סטטוס]]="פנויה",IF(N242="גמר מלא סטנדרט",".GMS",IF(N242="גמר מלא טיוב חומרים",".GMC",IF(N242="גמר מינימלי",".GM",IF(N242="דירת שיווק",".DS","")))),""),IF(M242="זומן לטרום",".ZLT",IF(M242="טרום מסירה",".TM",IF(M242="טרום מסירה מהנדס",".TMM",IF(M242="מסירת חזקה",".MH",IF(M242="מסירת חזקה מהנדס",".MHM",""))))),".",VLOOKUP(Check[[#This Row],[טיפוס]],Tipus[],5,FALSE),".",VLOOKUP(Check[[#This Row],[מגדל]],Tower,2,FALSE),".Ap.",Check[[#This Row],[מספר דירה]])</f>
        <v>V.GM.S.5A.TS.Ap.240</v>
      </c>
      <c r="C242" s="3" t="s">
        <v>55</v>
      </c>
      <c r="D242" s="3">
        <v>30</v>
      </c>
      <c r="E242" s="4">
        <v>240</v>
      </c>
      <c r="F242" s="3">
        <v>3006</v>
      </c>
      <c r="G242" s="3" t="s">
        <v>25</v>
      </c>
      <c r="H242" s="3">
        <f>VLOOKUP(Check[[#This Row],[טיפוס]],Tipus[],2,FALSE)</f>
        <v>5</v>
      </c>
      <c r="I242" s="3" t="str">
        <f>VLOOKUP(Check[[#This Row],[טיפוס]],Tipus[],3,FALSE)</f>
        <v>סטנדרט</v>
      </c>
      <c r="J242" s="3" t="str">
        <f>VLOOKUP(Check[[#This Row],[טיפוס]],Tipus[],4,FALSE)</f>
        <v>J</v>
      </c>
      <c r="K242" s="3" t="str">
        <f>IF(Check[[#This Row],[סטטוס2]]="הולד","פנויה",Check[[#This Row],[סטטוס2]])</f>
        <v>פנויה</v>
      </c>
      <c r="L242" s="382" t="s">
        <v>108</v>
      </c>
      <c r="M242" s="382"/>
      <c r="N242" t="s">
        <v>1366</v>
      </c>
      <c r="O242" s="383"/>
      <c r="P242" s="416" t="s">
        <v>1387</v>
      </c>
      <c r="Q242" s="416"/>
      <c r="R242" s="383"/>
      <c r="S242" s="384"/>
      <c r="T242" s="384" t="s">
        <v>214</v>
      </c>
      <c r="U242" s="385"/>
      <c r="V242" s="385"/>
      <c r="W242" s="387"/>
    </row>
    <row r="243" spans="1:23" ht="141.75" x14ac:dyDescent="0.2">
      <c r="A243" s="13" t="str">
        <f>_xlfn.CONCAT(VLOOKUP(Check[[#This Row],[סטטוס]],Sold,2,FALSE),IF(Check[[#This Row],[סטטוס]]="פנויה",IF(N243="גמר מלא סטנדרט",".GMS",IF(N243="גמר מלא טיוב חומרים",".GMC",IF(N243="גמר מינימלי",".GM",IF(N243="דירת שיווק",".DS","")))),""),".",VLOOKUP(Check[[#This Row],[טיפוס]],Tipus[],5,FALSE),".",VLOOKUP(Check[[#This Row],[מגדל]],Tower,2,FALSE),".Ap.",Check[[#This Row],[מספר דירה]])</f>
        <v>V.GMC.S.5B.TS.Ap.241</v>
      </c>
      <c r="B243" s="13" t="str">
        <f>_xlfn.CONCAT(VLOOKUP(Check[[#This Row],[סטטוס]],Sold,2,FALSE),IF(Check[[#This Row],[סטטוס]]="פנויה",IF(N243="גמר מלא סטנדרט",".GMS",IF(N243="גמר מלא טיוב חומרים",".GMC",IF(N243="גמר מינימלי",".GM",IF(N243="דירת שיווק",".DS","")))),""),IF(M243="זומן לטרום",".ZLT",IF(M243="טרום מסירה",".TM",IF(M243="טרום מסירה מהנדס",".TMM",IF(M243="מסירת חזקה",".MH",IF(M243="מסירת חזקה מהנדס",".MHM",""))))),".",VLOOKUP(Check[[#This Row],[טיפוס]],Tipus[],5,FALSE),".",VLOOKUP(Check[[#This Row],[מגדל]],Tower,2,FALSE),".Ap.",Check[[#This Row],[מספר דירה]])</f>
        <v>V.GMC.S.5B.TS.Ap.241</v>
      </c>
      <c r="C243" s="3" t="s">
        <v>55</v>
      </c>
      <c r="D243" s="3">
        <v>30</v>
      </c>
      <c r="E243" s="4">
        <v>241</v>
      </c>
      <c r="F243" s="3">
        <v>3007</v>
      </c>
      <c r="G243" s="3" t="s">
        <v>24</v>
      </c>
      <c r="H243" s="3">
        <f>VLOOKUP(Check[[#This Row],[טיפוס]],Tipus[],2,FALSE)</f>
        <v>5</v>
      </c>
      <c r="I243" s="3" t="str">
        <f>VLOOKUP(Check[[#This Row],[טיפוס]],Tipus[],3,FALSE)</f>
        <v>סטנדרט</v>
      </c>
      <c r="J243" s="3" t="str">
        <f>VLOOKUP(Check[[#This Row],[טיפוס]],Tipus[],4,FALSE)</f>
        <v>H</v>
      </c>
      <c r="K243" s="3" t="str">
        <f>IF(Check[[#This Row],[סטטוס2]]="הולד","פנויה",Check[[#This Row],[סטטוס2]])</f>
        <v>פנויה</v>
      </c>
      <c r="L243" s="382" t="s">
        <v>108</v>
      </c>
      <c r="M243" s="382"/>
      <c r="N243" t="s">
        <v>1417</v>
      </c>
      <c r="O243" s="404" t="s">
        <v>1398</v>
      </c>
      <c r="P243" s="415" t="s">
        <v>1386</v>
      </c>
      <c r="Q243" s="423" t="s">
        <v>1397</v>
      </c>
      <c r="R243" s="399"/>
      <c r="S243" s="384"/>
      <c r="T243" s="398"/>
      <c r="U243" s="385"/>
      <c r="V243" s="385"/>
      <c r="W243" s="387"/>
    </row>
    <row r="244" spans="1:23" x14ac:dyDescent="0.2">
      <c r="A244" s="13" t="str">
        <f>_xlfn.CONCAT(VLOOKUP(Check[[#This Row],[סטטוס]],Sold,2,FALSE),IF(Check[[#This Row],[סטטוס]]="פנויה",IF(N244="גמר מלא סטנדרט",".GMS",IF(N244="גמר מלא טיוב חומרים",".GMC",IF(N244="גמר מינימלי",".GM",IF(N244="דירת שיווק",".DS","")))),""),".",VLOOKUP(Check[[#This Row],[טיפוס]],Tipus[],5,FALSE),".",VLOOKUP(Check[[#This Row],[מגדל]],Tower,2,FALSE),".Ap.",Check[[#This Row],[מספר דירה]])</f>
        <v>V.GMS.S.3F.TS.Ap.242</v>
      </c>
      <c r="B244" s="13" t="str">
        <f>_xlfn.CONCAT(VLOOKUP(Check[[#This Row],[סטטוס]],Sold,2,FALSE),IF(Check[[#This Row],[סטטוס]]="פנויה",IF(N244="גמר מלא סטנדרט",".GMS",IF(N244="גמר מלא טיוב חומרים",".GMC",IF(N244="גמר מינימלי",".GM",IF(N244="דירת שיווק",".DS","")))),""),IF(M244="זומן לטרום",".ZLT",IF(M244="טרום מסירה",".TM",IF(M244="טרום מסירה מהנדס",".TMM",IF(M244="מסירת חזקה",".MH",IF(M244="מסירת חזקה מהנדס",".MHM",""))))),".",VLOOKUP(Check[[#This Row],[טיפוס]],Tipus[],5,FALSE),".",VLOOKUP(Check[[#This Row],[מגדל]],Tower,2,FALSE),".Ap.",Check[[#This Row],[מספר דירה]])</f>
        <v>V.GMS.S.3F.TS.Ap.242</v>
      </c>
      <c r="C244" s="3" t="s">
        <v>55</v>
      </c>
      <c r="D244" s="3">
        <v>31</v>
      </c>
      <c r="E244" s="4">
        <v>242</v>
      </c>
      <c r="F244" s="3">
        <v>3101</v>
      </c>
      <c r="G244" s="3" t="s">
        <v>23</v>
      </c>
      <c r="H244" s="3">
        <f>VLOOKUP(Check[[#This Row],[טיפוס]],Tipus[],2,FALSE)</f>
        <v>3</v>
      </c>
      <c r="I244" s="3" t="str">
        <f>VLOOKUP(Check[[#This Row],[טיפוס]],Tipus[],3,FALSE)</f>
        <v>סטנדרט</v>
      </c>
      <c r="J244" s="3" t="str">
        <f>VLOOKUP(Check[[#This Row],[טיפוס]],Tipus[],4,FALSE)</f>
        <v>G</v>
      </c>
      <c r="K244" s="3" t="str">
        <f>IF(Check[[#This Row],[סטטוס2]]="הולד","פנויה",Check[[#This Row],[סטטוס2]])</f>
        <v>פנויה</v>
      </c>
      <c r="L244" s="382" t="s">
        <v>108</v>
      </c>
      <c r="M244" s="382"/>
      <c r="N244" t="s">
        <v>1367</v>
      </c>
      <c r="O244" s="383" t="s">
        <v>1390</v>
      </c>
      <c r="P244" s="410" t="s">
        <v>1389</v>
      </c>
      <c r="Q244" s="410"/>
      <c r="R244" s="383"/>
      <c r="S244" s="384"/>
      <c r="T244" s="384" t="s">
        <v>214</v>
      </c>
      <c r="U244" s="385"/>
      <c r="V244" s="385"/>
      <c r="W244" s="387"/>
    </row>
    <row r="245" spans="1:23" x14ac:dyDescent="0.2">
      <c r="A245" s="13" t="str">
        <f>_xlfn.CONCAT(VLOOKUP(Check[[#This Row],[סטטוס]],Sold,2,FALSE),IF(Check[[#This Row],[סטטוס]]="פנויה",IF(N245="גמר מלא סטנדרט",".GMS",IF(N245="גמר מלא טיוב חומרים",".GMC",IF(N245="גמר מינימלי",".GM",IF(N245="דירת שיווק",".DS","")))),""),".",VLOOKUP(Check[[#This Row],[טיפוס]],Tipus[],5,FALSE),".",VLOOKUP(Check[[#This Row],[מגדל]],Tower,2,FALSE),".Ap.",Check[[#This Row],[מספר דירה]])</f>
        <v>V.GMS.S.3G.TS.Ap.243</v>
      </c>
      <c r="B245" s="13" t="str">
        <f>_xlfn.CONCAT(VLOOKUP(Check[[#This Row],[סטטוס]],Sold,2,FALSE),IF(Check[[#This Row],[סטטוס]]="פנויה",IF(N245="גמר מלא סטנדרט",".GMS",IF(N245="גמר מלא טיוב חומרים",".GMC",IF(N245="גמר מינימלי",".GM",IF(N245="דירת שיווק",".DS","")))),""),IF(M245="זומן לטרום",".ZLT",IF(M245="טרום מסירה",".TM",IF(M245="טרום מסירה מהנדס",".TMM",IF(M245="מסירת חזקה",".MH",IF(M245="מסירת חזקה מהנדס",".MHM",""))))),".",VLOOKUP(Check[[#This Row],[טיפוס]],Tipus[],5,FALSE),".",VLOOKUP(Check[[#This Row],[מגדל]],Tower,2,FALSE),".Ap.",Check[[#This Row],[מספר דירה]])</f>
        <v>V.GMS.S.3G.TS.Ap.243</v>
      </c>
      <c r="C245" s="3" t="s">
        <v>55</v>
      </c>
      <c r="D245" s="3">
        <v>31</v>
      </c>
      <c r="E245" s="4">
        <v>243</v>
      </c>
      <c r="F245" s="3">
        <v>3102</v>
      </c>
      <c r="G245" s="3" t="s">
        <v>22</v>
      </c>
      <c r="H245" s="3">
        <f>VLOOKUP(Check[[#This Row],[טיפוס]],Tipus[],2,FALSE)</f>
        <v>3</v>
      </c>
      <c r="I245" s="3" t="str">
        <f>VLOOKUP(Check[[#This Row],[טיפוס]],Tipus[],3,FALSE)</f>
        <v>סטנדרט</v>
      </c>
      <c r="J245" s="3" t="str">
        <f>VLOOKUP(Check[[#This Row],[טיפוס]],Tipus[],4,FALSE)</f>
        <v>E</v>
      </c>
      <c r="K245" s="3" t="str">
        <f>IF(Check[[#This Row],[סטטוס2]]="הולד","פנויה",Check[[#This Row],[סטטוס2]])</f>
        <v>פנויה</v>
      </c>
      <c r="L245" s="382" t="s">
        <v>108</v>
      </c>
      <c r="M245" s="382"/>
      <c r="N245" t="s">
        <v>1367</v>
      </c>
      <c r="O245" s="383" t="s">
        <v>1390</v>
      </c>
      <c r="P245" s="410" t="s">
        <v>1389</v>
      </c>
      <c r="Q245" s="410"/>
      <c r="R245" s="383"/>
      <c r="S245" s="384"/>
      <c r="T245" s="384" t="s">
        <v>214</v>
      </c>
      <c r="U245" s="385"/>
      <c r="V245" s="385"/>
      <c r="W245" s="387"/>
    </row>
    <row r="246" spans="1:23" x14ac:dyDescent="0.2">
      <c r="A246" s="13" t="str">
        <f>_xlfn.CONCAT(VLOOKUP(Check[[#This Row],[סטטוס]],Sold,2,FALSE),IF(Check[[#This Row],[סטטוס]]="פנויה",IF(N246="גמר מלא סטנדרט",".GMS",IF(N246="גמר מלא טיוב חומרים",".GMC",IF(N246="גמר מינימלי",".GM",IF(N246="דירת שיווק",".DS","")))),""),".",VLOOKUP(Check[[#This Row],[טיפוס]],Tipus[],5,FALSE),".",VLOOKUP(Check[[#This Row],[מגדל]],Tower,2,FALSE),".Ap.",Check[[#This Row],[מספר דירה]])</f>
        <v>V.GMS.S.3A.TS.Ap.244</v>
      </c>
      <c r="B246" s="13" t="str">
        <f>_xlfn.CONCAT(VLOOKUP(Check[[#This Row],[סטטוס]],Sold,2,FALSE),IF(Check[[#This Row],[סטטוס]]="פנויה",IF(N246="גמר מלא סטנדרט",".GMS",IF(N246="גמר מלא טיוב חומרים",".GMC",IF(N246="גמר מינימלי",".GM",IF(N246="דירת שיווק",".DS","")))),""),IF(M246="זומן לטרום",".ZLT",IF(M246="טרום מסירה",".TM",IF(M246="טרום מסירה מהנדס",".TMM",IF(M246="מסירת חזקה",".MH",IF(M246="מסירת חזקה מהנדס",".MHM",""))))),".",VLOOKUP(Check[[#This Row],[טיפוס]],Tipus[],5,FALSE),".",VLOOKUP(Check[[#This Row],[מגדל]],Tower,2,FALSE),".Ap.",Check[[#This Row],[מספר דירה]])</f>
        <v>V.GMS.S.3A.TS.Ap.244</v>
      </c>
      <c r="C246" s="3" t="s">
        <v>55</v>
      </c>
      <c r="D246" s="3">
        <v>31</v>
      </c>
      <c r="E246" s="4">
        <v>244</v>
      </c>
      <c r="F246" s="3">
        <v>3103</v>
      </c>
      <c r="G246" s="3" t="s">
        <v>9</v>
      </c>
      <c r="H246" s="3">
        <f>VLOOKUP(Check[[#This Row],[טיפוס]],Tipus[],2,FALSE)</f>
        <v>3</v>
      </c>
      <c r="I246" s="3" t="str">
        <f>VLOOKUP(Check[[#This Row],[טיפוס]],Tipus[],3,FALSE)</f>
        <v>סטנדרט</v>
      </c>
      <c r="J246" s="3" t="str">
        <f>VLOOKUP(Check[[#This Row],[טיפוס]],Tipus[],4,FALSE)</f>
        <v>D</v>
      </c>
      <c r="K246" s="3" t="str">
        <f>IF(Check[[#This Row],[סטטוס2]]="הולד","פנויה",Check[[#This Row],[סטטוס2]])</f>
        <v>פנויה</v>
      </c>
      <c r="L246" s="382" t="s">
        <v>108</v>
      </c>
      <c r="M246" s="382"/>
      <c r="N246" t="s">
        <v>1367</v>
      </c>
      <c r="O246" s="383" t="s">
        <v>1390</v>
      </c>
      <c r="P246" s="410" t="s">
        <v>1389</v>
      </c>
      <c r="Q246" s="410"/>
      <c r="R246" s="383"/>
      <c r="S246" s="384"/>
      <c r="T246" s="384" t="s">
        <v>214</v>
      </c>
      <c r="U246" s="385"/>
      <c r="V246" s="385"/>
      <c r="W246" s="387"/>
    </row>
    <row r="247" spans="1:23" x14ac:dyDescent="0.2">
      <c r="A247" s="13" t="str">
        <f>_xlfn.CONCAT(VLOOKUP(Check[[#This Row],[סטטוס]],Sold,2,FALSE),IF(Check[[#This Row],[סטטוס]]="פנויה",IF(N247="גמר מלא סטנדרט",".GMS",IF(N247="גמר מלא טיוב חומרים",".GMC",IF(N247="גמר מינימלי",".GM",IF(N247="דירת שיווק",".DS","")))),""),".",VLOOKUP(Check[[#This Row],[טיפוס]],Tipus[],5,FALSE),".",VLOOKUP(Check[[#This Row],[מגדל]],Tower,2,FALSE),".Ap.",Check[[#This Row],[מספר דירה]])</f>
        <v>S.S.2D.TS.Ap.245</v>
      </c>
      <c r="B247" s="13" t="str">
        <f>_xlfn.CONCAT(VLOOKUP(Check[[#This Row],[סטטוס]],Sold,2,FALSE),IF(Check[[#This Row],[סטטוס]]="פנויה",IF(N247="גמר מלא סטנדרט",".GMS",IF(N247="גמר מלא טיוב חומרים",".GMC",IF(N247="גמר מינימלי",".GM",IF(N247="דירת שיווק",".DS","")))),""),IF(M247="זומן לטרום",".ZLT",IF(M247="טרום מסירה",".TM",IF(M247="טרום מסירה מהנדס",".TMM",IF(M247="מסירת חזקה",".MH",IF(M247="מסירת חזקה מהנדס",".MHM",""))))),".",VLOOKUP(Check[[#This Row],[טיפוס]],Tipus[],5,FALSE),".",VLOOKUP(Check[[#This Row],[מגדל]],Tower,2,FALSE),".Ap.",Check[[#This Row],[מספר דירה]])</f>
        <v>S.S.2D.TS.Ap.245</v>
      </c>
      <c r="C247" s="3" t="s">
        <v>55</v>
      </c>
      <c r="D247" s="3">
        <v>31</v>
      </c>
      <c r="E247" s="4">
        <v>245</v>
      </c>
      <c r="F247" s="3">
        <v>3104</v>
      </c>
      <c r="G247" s="3" t="s">
        <v>10</v>
      </c>
      <c r="H247" s="3">
        <f>VLOOKUP(Check[[#This Row],[טיפוס]],Tipus[],2,FALSE)</f>
        <v>2</v>
      </c>
      <c r="I247" s="3" t="str">
        <f>VLOOKUP(Check[[#This Row],[טיפוס]],Tipus[],3,FALSE)</f>
        <v>סטנדרט</v>
      </c>
      <c r="J247" s="3" t="str">
        <f>VLOOKUP(Check[[#This Row],[טיפוס]],Tipus[],4,FALSE)</f>
        <v>C</v>
      </c>
      <c r="K247" s="3" t="str">
        <f>IF(Check[[#This Row],[סטטוס2]]="הולד","פנויה",Check[[#This Row],[סטטוס2]])</f>
        <v>מכורה</v>
      </c>
      <c r="L247" s="382" t="s">
        <v>130</v>
      </c>
      <c r="M247" s="382"/>
      <c r="N247" s="383"/>
      <c r="O247" s="383"/>
      <c r="P247" s="411"/>
      <c r="Q247" s="411"/>
      <c r="R247" s="383"/>
      <c r="S247" s="386">
        <v>44626</v>
      </c>
      <c r="T247" s="386" t="s">
        <v>1140</v>
      </c>
      <c r="U247" s="387"/>
      <c r="V247" s="387"/>
      <c r="W247" s="387"/>
    </row>
    <row r="248" spans="1:23" x14ac:dyDescent="0.2">
      <c r="A248" s="13" t="str">
        <f>_xlfn.CONCAT(VLOOKUP(Check[[#This Row],[סטטוס]],Sold,2,FALSE),IF(Check[[#This Row],[סטטוס]]="פנויה",IF(N248="גמר מלא סטנדרט",".GMS",IF(N248="גמר מלא טיוב חומרים",".GMC",IF(N248="גמר מינימלי",".GM",IF(N248="דירת שיווק",".DS","")))),""),".",VLOOKUP(Check[[#This Row],[טיפוס]],Tipus[],5,FALSE),".",VLOOKUP(Check[[#This Row],[מגדל]],Tower,2,FALSE),".Ap.",Check[[#This Row],[מספר דירה]])</f>
        <v>S.S.4C.TS.Ap.246</v>
      </c>
      <c r="B248" s="13" t="str">
        <f>_xlfn.CONCAT(VLOOKUP(Check[[#This Row],[סטטוס]],Sold,2,FALSE),IF(Check[[#This Row],[סטטוס]]="פנויה",IF(N248="גמר מלא סטנדרט",".GMS",IF(N248="גמר מלא טיוב חומרים",".GMC",IF(N248="גמר מינימלי",".GM",IF(N248="דירת שיווק",".DS","")))),""),IF(M248="זומן לטרום",".ZLT",IF(M248="טרום מסירה",".TM",IF(M248="טרום מסירה מהנדס",".TMM",IF(M248="מסירת חזקה",".MH",IF(M248="מסירת חזקה מהנדס",".MHM",""))))),".",VLOOKUP(Check[[#This Row],[טיפוס]],Tipus[],5,FALSE),".",VLOOKUP(Check[[#This Row],[מגדל]],Tower,2,FALSE),".Ap.",Check[[#This Row],[מספר דירה]])</f>
        <v>S.S.4C.TS.Ap.246</v>
      </c>
      <c r="C248" s="3" t="s">
        <v>55</v>
      </c>
      <c r="D248" s="3">
        <v>31</v>
      </c>
      <c r="E248" s="4">
        <v>246</v>
      </c>
      <c r="F248" s="3">
        <v>3105</v>
      </c>
      <c r="G248" s="3" t="s">
        <v>26</v>
      </c>
      <c r="H248" s="3">
        <f>VLOOKUP(Check[[#This Row],[טיפוס]],Tipus[],2,FALSE)</f>
        <v>4</v>
      </c>
      <c r="I248" s="3" t="str">
        <f>VLOOKUP(Check[[#This Row],[טיפוס]],Tipus[],3,FALSE)</f>
        <v>סטנדרט</v>
      </c>
      <c r="J248" s="3" t="str">
        <f>VLOOKUP(Check[[#This Row],[טיפוס]],Tipus[],4,FALSE)</f>
        <v>A</v>
      </c>
      <c r="K248" s="3" t="str">
        <f>IF(Check[[#This Row],[סטטוס2]]="הולד","פנויה",Check[[#This Row],[סטטוס2]])</f>
        <v>מכורה</v>
      </c>
      <c r="L248" s="382" t="s">
        <v>130</v>
      </c>
      <c r="M248" s="382"/>
      <c r="N248" s="383"/>
      <c r="O248" s="383"/>
      <c r="P248" s="411"/>
      <c r="Q248" s="411"/>
      <c r="R248" s="383"/>
      <c r="S248" s="386">
        <v>44626</v>
      </c>
      <c r="T248" s="386" t="s">
        <v>1140</v>
      </c>
      <c r="U248" s="385" t="s">
        <v>1020</v>
      </c>
      <c r="V248" s="385" t="s">
        <v>1021</v>
      </c>
      <c r="W248" s="387"/>
    </row>
    <row r="249" spans="1:23" x14ac:dyDescent="0.2">
      <c r="A249" s="13" t="str">
        <f>_xlfn.CONCAT(VLOOKUP(Check[[#This Row],[סטטוס]],Sold,2,FALSE),IF(Check[[#This Row],[סטטוס]]="פנויה",IF(N249="גמר מלא סטנדרט",".GMS",IF(N249="גמר מלא טיוב חומרים",".GMC",IF(N249="גמר מינימלי",".GM",IF(N249="דירת שיווק",".DS","")))),""),".",VLOOKUP(Check[[#This Row],[טיפוס]],Tipus[],5,FALSE),".",VLOOKUP(Check[[#This Row],[מגדל]],Tower,2,FALSE),".Ap.",Check[[#This Row],[מספר דירה]])</f>
        <v>V.GM.S.5A.TS.Ap.247</v>
      </c>
      <c r="B249" s="13" t="str">
        <f>_xlfn.CONCAT(VLOOKUP(Check[[#This Row],[סטטוס]],Sold,2,FALSE),IF(Check[[#This Row],[סטטוס]]="פנויה",IF(N249="גמר מלא סטנדרט",".GMS",IF(N249="גמר מלא טיוב חומרים",".GMC",IF(N249="גמר מינימלי",".GM",IF(N249="דירת שיווק",".DS","")))),""),IF(M249="זומן לטרום",".ZLT",IF(M249="טרום מסירה",".TM",IF(M249="טרום מסירה מהנדס",".TMM",IF(M249="מסירת חזקה",".MH",IF(M249="מסירת חזקה מהנדס",".MHM",""))))),".",VLOOKUP(Check[[#This Row],[טיפוס]],Tipus[],5,FALSE),".",VLOOKUP(Check[[#This Row],[מגדל]],Tower,2,FALSE),".Ap.",Check[[#This Row],[מספר דירה]])</f>
        <v>V.GM.S.5A.TS.Ap.247</v>
      </c>
      <c r="C249" s="3" t="s">
        <v>55</v>
      </c>
      <c r="D249" s="3">
        <v>31</v>
      </c>
      <c r="E249" s="4">
        <v>247</v>
      </c>
      <c r="F249" s="3">
        <v>3106</v>
      </c>
      <c r="G249" s="3" t="s">
        <v>25</v>
      </c>
      <c r="H249" s="3">
        <f>VLOOKUP(Check[[#This Row],[טיפוס]],Tipus[],2,FALSE)</f>
        <v>5</v>
      </c>
      <c r="I249" s="3" t="str">
        <f>VLOOKUP(Check[[#This Row],[טיפוס]],Tipus[],3,FALSE)</f>
        <v>סטנדרט</v>
      </c>
      <c r="J249" s="3" t="str">
        <f>VLOOKUP(Check[[#This Row],[טיפוס]],Tipus[],4,FALSE)</f>
        <v>J</v>
      </c>
      <c r="K249" s="3" t="str">
        <f>IF(Check[[#This Row],[סטטוס2]]="הולד","פנויה",Check[[#This Row],[סטטוס2]])</f>
        <v>פנויה</v>
      </c>
      <c r="L249" s="382" t="s">
        <v>108</v>
      </c>
      <c r="M249" s="382"/>
      <c r="N249" t="s">
        <v>1366</v>
      </c>
      <c r="O249" s="383"/>
      <c r="P249" s="416" t="s">
        <v>1387</v>
      </c>
      <c r="Q249" s="416"/>
      <c r="R249" s="383"/>
      <c r="S249" s="384"/>
      <c r="T249" s="384" t="s">
        <v>214</v>
      </c>
      <c r="U249" s="385"/>
      <c r="V249" s="385"/>
      <c r="W249" s="387"/>
    </row>
    <row r="250" spans="1:23" ht="141.75" x14ac:dyDescent="0.2">
      <c r="A250" s="13" t="str">
        <f>_xlfn.CONCAT(VLOOKUP(Check[[#This Row],[סטטוס]],Sold,2,FALSE),IF(Check[[#This Row],[סטטוס]]="פנויה",IF(N250="גמר מלא סטנדרט",".GMS",IF(N250="גמר מלא טיוב חומרים",".GMC",IF(N250="גמר מינימלי",".GM",IF(N250="דירת שיווק",".DS","")))),""),".",VLOOKUP(Check[[#This Row],[טיפוס]],Tipus[],5,FALSE),".",VLOOKUP(Check[[#This Row],[מגדל]],Tower,2,FALSE),".Ap.",Check[[#This Row],[מספר דירה]])</f>
        <v>V.GMC.S.5B.TS.Ap.248</v>
      </c>
      <c r="B250" s="13" t="str">
        <f>_xlfn.CONCAT(VLOOKUP(Check[[#This Row],[סטטוס]],Sold,2,FALSE),IF(Check[[#This Row],[סטטוס]]="פנויה",IF(N250="גמר מלא סטנדרט",".GMS",IF(N250="גמר מלא טיוב חומרים",".GMC",IF(N250="גמר מינימלי",".GM",IF(N250="דירת שיווק",".DS","")))),""),IF(M250="זומן לטרום",".ZLT",IF(M250="טרום מסירה",".TM",IF(M250="טרום מסירה מהנדס",".TMM",IF(M250="מסירת חזקה",".MH",IF(M250="מסירת חזקה מהנדס",".MHM",""))))),".",VLOOKUP(Check[[#This Row],[טיפוס]],Tipus[],5,FALSE),".",VLOOKUP(Check[[#This Row],[מגדל]],Tower,2,FALSE),".Ap.",Check[[#This Row],[מספר דירה]])</f>
        <v>V.GMC.S.5B.TS.Ap.248</v>
      </c>
      <c r="C250" s="3" t="s">
        <v>55</v>
      </c>
      <c r="D250" s="3">
        <v>31</v>
      </c>
      <c r="E250" s="4">
        <v>248</v>
      </c>
      <c r="F250" s="3">
        <v>3107</v>
      </c>
      <c r="G250" s="3" t="s">
        <v>24</v>
      </c>
      <c r="H250" s="3">
        <f>VLOOKUP(Check[[#This Row],[טיפוס]],Tipus[],2,FALSE)</f>
        <v>5</v>
      </c>
      <c r="I250" s="3" t="str">
        <f>VLOOKUP(Check[[#This Row],[טיפוס]],Tipus[],3,FALSE)</f>
        <v>סטנדרט</v>
      </c>
      <c r="J250" s="3" t="str">
        <f>VLOOKUP(Check[[#This Row],[טיפוס]],Tipus[],4,FALSE)</f>
        <v>H</v>
      </c>
      <c r="K250" s="3" t="str">
        <f>IF(Check[[#This Row],[סטטוס2]]="הולד","פנויה",Check[[#This Row],[סטטוס2]])</f>
        <v>פנויה</v>
      </c>
      <c r="L250" s="382" t="s">
        <v>108</v>
      </c>
      <c r="M250" s="382"/>
      <c r="N250" t="s">
        <v>1417</v>
      </c>
      <c r="O250" s="404" t="s">
        <v>1398</v>
      </c>
      <c r="P250" s="415" t="s">
        <v>1386</v>
      </c>
      <c r="Q250" s="423" t="s">
        <v>1397</v>
      </c>
      <c r="R250" s="399"/>
      <c r="S250" s="384"/>
      <c r="T250" s="398"/>
      <c r="U250" s="385"/>
      <c r="V250" s="385"/>
      <c r="W250" s="387"/>
    </row>
    <row r="251" spans="1:23" x14ac:dyDescent="0.2">
      <c r="A251" s="13" t="str">
        <f>_xlfn.CONCAT(VLOOKUP(Check[[#This Row],[סטטוס]],Sold,2,FALSE),IF(Check[[#This Row],[סטטוס]]="פנויה",IF(N251="גמר מלא סטנדרט",".GMS",IF(N251="גמר מלא טיוב חומרים",".GMC",IF(N251="גמר מינימלי",".GM",IF(N251="דירת שיווק",".DS","")))),""),".",VLOOKUP(Check[[#This Row],[טיפוס]],Tipus[],5,FALSE),".",VLOOKUP(Check[[#This Row],[מגדל]],Tower,2,FALSE),".Ap.",Check[[#This Row],[מספר דירה]])</f>
        <v>V.GMS.S.3F.TS.Ap.249</v>
      </c>
      <c r="B251" s="13" t="str">
        <f>_xlfn.CONCAT(VLOOKUP(Check[[#This Row],[סטטוס]],Sold,2,FALSE),IF(Check[[#This Row],[סטטוס]]="פנויה",IF(N251="גמר מלא סטנדרט",".GMS",IF(N251="גמר מלא טיוב חומרים",".GMC",IF(N251="גמר מינימלי",".GM",IF(N251="דירת שיווק",".DS","")))),""),IF(M251="זומן לטרום",".ZLT",IF(M251="טרום מסירה",".TM",IF(M251="טרום מסירה מהנדס",".TMM",IF(M251="מסירת חזקה",".MH",IF(M251="מסירת חזקה מהנדס",".MHM",""))))),".",VLOOKUP(Check[[#This Row],[טיפוס]],Tipus[],5,FALSE),".",VLOOKUP(Check[[#This Row],[מגדל]],Tower,2,FALSE),".Ap.",Check[[#This Row],[מספר דירה]])</f>
        <v>V.GMS.S.3F.TS.Ap.249</v>
      </c>
      <c r="C251" s="3" t="s">
        <v>55</v>
      </c>
      <c r="D251" s="3">
        <v>32</v>
      </c>
      <c r="E251" s="4">
        <v>249</v>
      </c>
      <c r="F251" s="3">
        <v>3201</v>
      </c>
      <c r="G251" s="3" t="s">
        <v>23</v>
      </c>
      <c r="H251" s="3">
        <f>VLOOKUP(Check[[#This Row],[טיפוס]],Tipus[],2,FALSE)</f>
        <v>3</v>
      </c>
      <c r="I251" s="3" t="str">
        <f>VLOOKUP(Check[[#This Row],[טיפוס]],Tipus[],3,FALSE)</f>
        <v>סטנדרט</v>
      </c>
      <c r="J251" s="3" t="str">
        <f>VLOOKUP(Check[[#This Row],[טיפוס]],Tipus[],4,FALSE)</f>
        <v>G</v>
      </c>
      <c r="K251" s="3" t="str">
        <f>IF(Check[[#This Row],[סטטוס2]]="הולד","פנויה",Check[[#This Row],[סטטוס2]])</f>
        <v>פנויה</v>
      </c>
      <c r="L251" s="382" t="s">
        <v>108</v>
      </c>
      <c r="M251" s="382"/>
      <c r="N251" t="s">
        <v>1367</v>
      </c>
      <c r="O251" s="383" t="s">
        <v>1390</v>
      </c>
      <c r="P251" s="410" t="s">
        <v>1389</v>
      </c>
      <c r="Q251" s="410"/>
      <c r="R251" s="383"/>
      <c r="S251" s="384"/>
      <c r="T251" s="384" t="s">
        <v>214</v>
      </c>
      <c r="U251" s="385"/>
      <c r="V251" s="385"/>
      <c r="W251" s="387"/>
    </row>
    <row r="252" spans="1:23" x14ac:dyDescent="0.2">
      <c r="A252" s="13" t="str">
        <f>_xlfn.CONCAT(VLOOKUP(Check[[#This Row],[סטטוס]],Sold,2,FALSE),IF(Check[[#This Row],[סטטוס]]="פנויה",IF(N252="גמר מלא סטנדרט",".GMS",IF(N252="גמר מלא טיוב חומרים",".GMC",IF(N252="גמר מינימלי",".GM",IF(N252="דירת שיווק",".DS","")))),""),".",VLOOKUP(Check[[#This Row],[טיפוס]],Tipus[],5,FALSE),".",VLOOKUP(Check[[#This Row],[מגדל]],Tower,2,FALSE),".Ap.",Check[[#This Row],[מספר דירה]])</f>
        <v>S.S.3G.TS.Ap.250</v>
      </c>
      <c r="B252" s="13" t="str">
        <f>_xlfn.CONCAT(VLOOKUP(Check[[#This Row],[סטטוס]],Sold,2,FALSE),IF(Check[[#This Row],[סטטוס]]="פנויה",IF(N252="גמר מלא סטנדרט",".GMS",IF(N252="גמר מלא טיוב חומרים",".GMC",IF(N252="גמר מינימלי",".GM",IF(N252="דירת שיווק",".DS","")))),""),IF(M252="זומן לטרום",".ZLT",IF(M252="טרום מסירה",".TM",IF(M252="טרום מסירה מהנדס",".TMM",IF(M252="מסירת חזקה",".MH",IF(M252="מסירת חזקה מהנדס",".MHM",""))))),".",VLOOKUP(Check[[#This Row],[טיפוס]],Tipus[],5,FALSE),".",VLOOKUP(Check[[#This Row],[מגדל]],Tower,2,FALSE),".Ap.",Check[[#This Row],[מספר דירה]])</f>
        <v>S.S.3G.TS.Ap.250</v>
      </c>
      <c r="C252" s="3" t="s">
        <v>55</v>
      </c>
      <c r="D252" s="3">
        <v>32</v>
      </c>
      <c r="E252" s="4">
        <v>250</v>
      </c>
      <c r="F252" s="3">
        <v>3202</v>
      </c>
      <c r="G252" s="3" t="s">
        <v>22</v>
      </c>
      <c r="H252" s="3">
        <f>VLOOKUP(Check[[#This Row],[טיפוס]],Tipus[],2,FALSE)</f>
        <v>3</v>
      </c>
      <c r="I252" s="3" t="str">
        <f>VLOOKUP(Check[[#This Row],[טיפוס]],Tipus[],3,FALSE)</f>
        <v>סטנדרט</v>
      </c>
      <c r="J252" s="3" t="str">
        <f>VLOOKUP(Check[[#This Row],[טיפוס]],Tipus[],4,FALSE)</f>
        <v>E</v>
      </c>
      <c r="K252" s="3" t="str">
        <f>IF(Check[[#This Row],[סטטוס2]]="הולד","פנויה",Check[[#This Row],[סטטוס2]])</f>
        <v>מכורה</v>
      </c>
      <c r="L252" s="382" t="s">
        <v>130</v>
      </c>
      <c r="M252" s="382"/>
      <c r="N252" s="383"/>
      <c r="O252" s="383"/>
      <c r="P252" s="411"/>
      <c r="Q252" s="411"/>
      <c r="R252" s="383"/>
      <c r="S252" s="386">
        <v>44955</v>
      </c>
      <c r="T252" s="386" t="s">
        <v>1141</v>
      </c>
      <c r="U252" s="385" t="s">
        <v>1022</v>
      </c>
      <c r="V252" s="387"/>
      <c r="W252" s="387"/>
    </row>
    <row r="253" spans="1:23" x14ac:dyDescent="0.2">
      <c r="A253" s="13" t="str">
        <f>_xlfn.CONCAT(VLOOKUP(Check[[#This Row],[סטטוס]],Sold,2,FALSE),IF(Check[[#This Row],[סטטוס]]="פנויה",IF(N253="גמר מלא סטנדרט",".GMS",IF(N253="גמר מלא טיוב חומרים",".GMC",IF(N253="גמר מינימלי",".GM",IF(N253="דירת שיווק",".DS","")))),""),".",VLOOKUP(Check[[#This Row],[טיפוס]],Tipus[],5,FALSE),".",VLOOKUP(Check[[#This Row],[מגדל]],Tower,2,FALSE),".Ap.",Check[[#This Row],[מספר דירה]])</f>
        <v>V.GMS.S.3A.TS.Ap.251</v>
      </c>
      <c r="B253" s="13" t="str">
        <f>_xlfn.CONCAT(VLOOKUP(Check[[#This Row],[סטטוס]],Sold,2,FALSE),IF(Check[[#This Row],[סטטוס]]="פנויה",IF(N253="גמר מלא סטנדרט",".GMS",IF(N253="גמר מלא טיוב חומרים",".GMC",IF(N253="גמר מינימלי",".GM",IF(N253="דירת שיווק",".DS","")))),""),IF(M253="זומן לטרום",".ZLT",IF(M253="טרום מסירה",".TM",IF(M253="טרום מסירה מהנדס",".TMM",IF(M253="מסירת חזקה",".MH",IF(M253="מסירת חזקה מהנדס",".MHM",""))))),".",VLOOKUP(Check[[#This Row],[טיפוס]],Tipus[],5,FALSE),".",VLOOKUP(Check[[#This Row],[מגדל]],Tower,2,FALSE),".Ap.",Check[[#This Row],[מספר דירה]])</f>
        <v>V.GMS.S.3A.TS.Ap.251</v>
      </c>
      <c r="C253" s="3" t="s">
        <v>55</v>
      </c>
      <c r="D253" s="3">
        <v>32</v>
      </c>
      <c r="E253" s="4">
        <v>251</v>
      </c>
      <c r="F253" s="3">
        <v>3203</v>
      </c>
      <c r="G253" s="3" t="s">
        <v>9</v>
      </c>
      <c r="H253" s="3">
        <f>VLOOKUP(Check[[#This Row],[טיפוס]],Tipus[],2,FALSE)</f>
        <v>3</v>
      </c>
      <c r="I253" s="3" t="str">
        <f>VLOOKUP(Check[[#This Row],[טיפוס]],Tipus[],3,FALSE)</f>
        <v>סטנדרט</v>
      </c>
      <c r="J253" s="3" t="str">
        <f>VLOOKUP(Check[[#This Row],[טיפוס]],Tipus[],4,FALSE)</f>
        <v>D</v>
      </c>
      <c r="K253" s="3" t="str">
        <f>IF(Check[[#This Row],[סטטוס2]]="הולד","פנויה",Check[[#This Row],[סטטוס2]])</f>
        <v>פנויה</v>
      </c>
      <c r="L253" s="382" t="s">
        <v>108</v>
      </c>
      <c r="M253" s="382"/>
      <c r="N253" t="s">
        <v>1367</v>
      </c>
      <c r="O253" s="383" t="s">
        <v>1390</v>
      </c>
      <c r="P253" s="410" t="s">
        <v>1389</v>
      </c>
      <c r="Q253" s="410"/>
      <c r="R253" s="383"/>
      <c r="S253" s="384"/>
      <c r="T253" s="384" t="s">
        <v>214</v>
      </c>
      <c r="U253" s="385"/>
      <c r="V253" s="385"/>
      <c r="W253" s="387"/>
    </row>
    <row r="254" spans="1:23" x14ac:dyDescent="0.2">
      <c r="A254" s="13" t="str">
        <f>_xlfn.CONCAT(VLOOKUP(Check[[#This Row],[סטטוס]],Sold,2,FALSE),IF(Check[[#This Row],[סטטוס]]="פנויה",IF(N254="גמר מלא סטנדרט",".GMS",IF(N254="גמר מלא טיוב חומרים",".GMC",IF(N254="גמר מינימלי",".GM",IF(N254="דירת שיווק",".DS","")))),""),".",VLOOKUP(Check[[#This Row],[טיפוס]],Tipus[],5,FALSE),".",VLOOKUP(Check[[#This Row],[מגדל]],Tower,2,FALSE),".Ap.",Check[[#This Row],[מספר דירה]])</f>
        <v>S.S.2D.TS.Ap.252</v>
      </c>
      <c r="B254" s="13" t="str">
        <f>_xlfn.CONCAT(VLOOKUP(Check[[#This Row],[סטטוס]],Sold,2,FALSE),IF(Check[[#This Row],[סטטוס]]="פנויה",IF(N254="גמר מלא סטנדרט",".GMS",IF(N254="גמר מלא טיוב חומרים",".GMC",IF(N254="גמר מינימלי",".GM",IF(N254="דירת שיווק",".DS","")))),""),IF(M254="זומן לטרום",".ZLT",IF(M254="טרום מסירה",".TM",IF(M254="טרום מסירה מהנדס",".TMM",IF(M254="מסירת חזקה",".MH",IF(M254="מסירת חזקה מהנדס",".MHM",""))))),".",VLOOKUP(Check[[#This Row],[טיפוס]],Tipus[],5,FALSE),".",VLOOKUP(Check[[#This Row],[מגדל]],Tower,2,FALSE),".Ap.",Check[[#This Row],[מספר דירה]])</f>
        <v>S.S.2D.TS.Ap.252</v>
      </c>
      <c r="C254" s="3" t="s">
        <v>55</v>
      </c>
      <c r="D254" s="3">
        <v>32</v>
      </c>
      <c r="E254" s="4">
        <v>252</v>
      </c>
      <c r="F254" s="3">
        <v>3204</v>
      </c>
      <c r="G254" s="3" t="s">
        <v>10</v>
      </c>
      <c r="H254" s="3">
        <f>VLOOKUP(Check[[#This Row],[טיפוס]],Tipus[],2,FALSE)</f>
        <v>2</v>
      </c>
      <c r="I254" s="3" t="str">
        <f>VLOOKUP(Check[[#This Row],[טיפוס]],Tipus[],3,FALSE)</f>
        <v>סטנדרט</v>
      </c>
      <c r="J254" s="3" t="str">
        <f>VLOOKUP(Check[[#This Row],[טיפוס]],Tipus[],4,FALSE)</f>
        <v>C</v>
      </c>
      <c r="K254" s="3" t="str">
        <f>IF(Check[[#This Row],[סטטוס2]]="הולד","פנויה",Check[[#This Row],[סטטוס2]])</f>
        <v>מכורה</v>
      </c>
      <c r="L254" s="382" t="s">
        <v>130</v>
      </c>
      <c r="M254" s="382"/>
      <c r="N254" s="383"/>
      <c r="O254" s="383"/>
      <c r="P254" s="411"/>
      <c r="Q254" s="411"/>
      <c r="R254" s="383"/>
      <c r="S254" s="386">
        <v>44642</v>
      </c>
      <c r="T254" s="386" t="s">
        <v>1142</v>
      </c>
      <c r="U254" s="387"/>
      <c r="V254" s="387"/>
      <c r="W254" s="387"/>
    </row>
    <row r="255" spans="1:23" x14ac:dyDescent="0.2">
      <c r="A255" s="13" t="str">
        <f>_xlfn.CONCAT(VLOOKUP(Check[[#This Row],[סטטוס]],Sold,2,FALSE),IF(Check[[#This Row],[סטטוס]]="פנויה",IF(N255="גמר מלא סטנדרט",".GMS",IF(N255="גמר מלא טיוב חומרים",".GMC",IF(N255="גמר מינימלי",".GM",IF(N255="דירת שיווק",".DS","")))),""),".",VLOOKUP(Check[[#This Row],[טיפוס]],Tipus[],5,FALSE),".",VLOOKUP(Check[[#This Row],[מגדל]],Tower,2,FALSE),".Ap.",Check[[#This Row],[מספר דירה]])</f>
        <v>S.S.4C.TS.Ap.253</v>
      </c>
      <c r="B255" s="13" t="str">
        <f>_xlfn.CONCAT(VLOOKUP(Check[[#This Row],[סטטוס]],Sold,2,FALSE),IF(Check[[#This Row],[סטטוס]]="פנויה",IF(N255="גמר מלא סטנדרט",".GMS",IF(N255="גמר מלא טיוב חומרים",".GMC",IF(N255="גמר מינימלי",".GM",IF(N255="דירת שיווק",".DS","")))),""),IF(M255="זומן לטרום",".ZLT",IF(M255="טרום מסירה",".TM",IF(M255="טרום מסירה מהנדס",".TMM",IF(M255="מסירת חזקה",".MH",IF(M255="מסירת חזקה מהנדס",".MHM",""))))),".",VLOOKUP(Check[[#This Row],[טיפוס]],Tipus[],5,FALSE),".",VLOOKUP(Check[[#This Row],[מגדל]],Tower,2,FALSE),".Ap.",Check[[#This Row],[מספר דירה]])</f>
        <v>S.S.4C.TS.Ap.253</v>
      </c>
      <c r="C255" s="3" t="s">
        <v>55</v>
      </c>
      <c r="D255" s="3">
        <v>32</v>
      </c>
      <c r="E255" s="4">
        <v>253</v>
      </c>
      <c r="F255" s="3">
        <v>3205</v>
      </c>
      <c r="G255" s="3" t="s">
        <v>26</v>
      </c>
      <c r="H255" s="3">
        <f>VLOOKUP(Check[[#This Row],[טיפוס]],Tipus[],2,FALSE)</f>
        <v>4</v>
      </c>
      <c r="I255" s="3" t="str">
        <f>VLOOKUP(Check[[#This Row],[טיפוס]],Tipus[],3,FALSE)</f>
        <v>סטנדרט</v>
      </c>
      <c r="J255" s="3" t="str">
        <f>VLOOKUP(Check[[#This Row],[טיפוס]],Tipus[],4,FALSE)</f>
        <v>A</v>
      </c>
      <c r="K255" s="3" t="str">
        <f>IF(Check[[#This Row],[סטטוס2]]="הולד","פנויה",Check[[#This Row],[סטטוס2]])</f>
        <v>מכורה</v>
      </c>
      <c r="L255" s="382" t="s">
        <v>130</v>
      </c>
      <c r="M255" s="382"/>
      <c r="N255" s="383"/>
      <c r="O255" s="383"/>
      <c r="P255" s="411"/>
      <c r="Q255" s="411"/>
      <c r="R255" s="383"/>
      <c r="S255" s="386">
        <v>44642</v>
      </c>
      <c r="T255" s="386" t="s">
        <v>1142</v>
      </c>
      <c r="U255" s="385" t="s">
        <v>1023</v>
      </c>
      <c r="V255" s="385" t="s">
        <v>1024</v>
      </c>
      <c r="W255" s="387"/>
    </row>
    <row r="256" spans="1:23" ht="47.25" x14ac:dyDescent="0.2">
      <c r="A256" s="13" t="str">
        <f>_xlfn.CONCAT(VLOOKUP(Check[[#This Row],[סטטוס]],Sold,2,FALSE),IF(Check[[#This Row],[סטטוס]]="פנויה",IF(N256="גמר מלא סטנדרט",".GMS",IF(N256="גמר מלא טיוב חומרים",".GMC",IF(N256="גמר מינימלי",".GM",IF(N256="דירת שיווק",".DS","")))),""),".",VLOOKUP(Check[[#This Row],[טיפוס]],Tipus[],5,FALSE),".",VLOOKUP(Check[[#This Row],[מגדל]],Tower,2,FALSE),".Ap.",Check[[#This Row],[מספר דירה]])</f>
        <v>S.P.5CP.TS.Ap.254</v>
      </c>
      <c r="B256" s="13" t="str">
        <f>_xlfn.CONCAT(VLOOKUP(Check[[#This Row],[סטטוס]],Sold,2,FALSE),IF(Check[[#This Row],[סטטוס]]="פנויה",IF(N256="גמר מלא סטנדרט",".GMS",IF(N256="גמר מלא טיוב חומרים",".GMC",IF(N256="גמר מינימלי",".GM",IF(N256="דירת שיווק",".DS","")))),""),IF(M256="זומן לטרום",".ZLT",IF(M256="טרום מסירה",".TM",IF(M256="טרום מסירה מהנדס",".TMM",IF(M256="מסירת חזקה",".MH",IF(M256="מסירת חזקה מהנדס",".MHM",""))))),".",VLOOKUP(Check[[#This Row],[טיפוס]],Tipus[],5,FALSE),".",VLOOKUP(Check[[#This Row],[מגדל]],Tower,2,FALSE),".Ap.",Check[[#This Row],[מספר דירה]])</f>
        <v>S.P.5CP.TS.Ap.254</v>
      </c>
      <c r="C256" s="3" t="s">
        <v>55</v>
      </c>
      <c r="D256" s="3">
        <v>32</v>
      </c>
      <c r="E256" s="4">
        <v>254</v>
      </c>
      <c r="F256" s="3">
        <v>3206</v>
      </c>
      <c r="G256" s="3" t="s">
        <v>1269</v>
      </c>
      <c r="H256" s="3">
        <f>VLOOKUP(Check[[#This Row],[טיפוס]],Tipus[],2,FALSE)</f>
        <v>5</v>
      </c>
      <c r="I256" s="3" t="str">
        <f>VLOOKUP(Check[[#This Row],[טיפוס]],Tipus[],3,FALSE)</f>
        <v>פרימיום</v>
      </c>
      <c r="J256" s="3" t="str">
        <f>VLOOKUP(Check[[#This Row],[טיפוס]],Tipus[],4,FALSE)</f>
        <v>J</v>
      </c>
      <c r="K256" s="3" t="str">
        <f>IF(Check[[#This Row],[סטטוס2]]="הולד","פנויה",Check[[#This Row],[סטטוס2]])</f>
        <v>מכורה</v>
      </c>
      <c r="L256" s="382" t="s">
        <v>130</v>
      </c>
      <c r="M256" s="382"/>
      <c r="N256" s="408" t="s">
        <v>1380</v>
      </c>
      <c r="O256" s="405" t="s">
        <v>1377</v>
      </c>
      <c r="P256" s="417"/>
      <c r="Q256" s="421"/>
      <c r="R256" s="383"/>
      <c r="S256" s="384"/>
      <c r="T256" s="384" t="s">
        <v>214</v>
      </c>
      <c r="U256" s="385"/>
      <c r="V256" s="385"/>
      <c r="W256" s="387"/>
    </row>
    <row r="257" spans="1:23" ht="31.5" x14ac:dyDescent="0.2">
      <c r="A257" s="13" t="str">
        <f>_xlfn.CONCAT(VLOOKUP(Check[[#This Row],[סטטוס]],Sold,2,FALSE),IF(Check[[#This Row],[סטטוס]]="פנויה",IF(N257="גמר מלא סטנדרט",".GMS",IF(N257="גמר מלא טיוב חומרים",".GMC",IF(N257="גמר מינימלי",".GM",IF(N257="דירת שיווק",".DS","")))),""),".",VLOOKUP(Check[[#This Row],[טיפוס]],Tipus[],5,FALSE),".",VLOOKUP(Check[[#This Row],[מגדל]],Tower,2,FALSE),".Ap.",Check[[#This Row],[מספר דירה]])</f>
        <v>V.GM.P.4BP.TS.Ap.255</v>
      </c>
      <c r="B257" s="13" t="str">
        <f>_xlfn.CONCAT(VLOOKUP(Check[[#This Row],[סטטוס]],Sold,2,FALSE),IF(Check[[#This Row],[סטטוס]]="פנויה",IF(N257="גמר מלא סטנדרט",".GMS",IF(N257="גמר מלא טיוב חומרים",".GMC",IF(N257="גמר מינימלי",".GM",IF(N257="דירת שיווק",".DS","")))),""),IF(M257="זומן לטרום",".ZLT",IF(M257="טרום מסירה",".TM",IF(M257="טרום מסירה מהנדס",".TMM",IF(M257="מסירת חזקה",".MH",IF(M257="מסירת חזקה מהנדס",".MHM",""))))),".",VLOOKUP(Check[[#This Row],[טיפוס]],Tipus[],5,FALSE),".",VLOOKUP(Check[[#This Row],[מגדל]],Tower,2,FALSE),".Ap.",Check[[#This Row],[מספר דירה]])</f>
        <v>V.GM.P.4BP.TS.Ap.255</v>
      </c>
      <c r="C257" s="3" t="s">
        <v>55</v>
      </c>
      <c r="D257" s="3">
        <v>32</v>
      </c>
      <c r="E257" s="4">
        <v>255</v>
      </c>
      <c r="F257" s="3">
        <v>3207</v>
      </c>
      <c r="G257" s="3" t="s">
        <v>1271</v>
      </c>
      <c r="H257" s="3">
        <f>VLOOKUP(Check[[#This Row],[טיפוס]],Tipus[],2,FALSE)</f>
        <v>4</v>
      </c>
      <c r="I257" s="3" t="str">
        <f>VLOOKUP(Check[[#This Row],[טיפוס]],Tipus[],3,FALSE)</f>
        <v>פרימיום</v>
      </c>
      <c r="J257" s="3" t="str">
        <f>VLOOKUP(Check[[#This Row],[טיפוס]],Tipus[],4,FALSE)</f>
        <v>H</v>
      </c>
      <c r="K257" s="3" t="str">
        <f>IF(Check[[#This Row],[סטטוס2]]="הולד","פנויה",Check[[#This Row],[סטטוס2]])</f>
        <v>פנויה</v>
      </c>
      <c r="L257" s="382" t="s">
        <v>108</v>
      </c>
      <c r="M257" s="382"/>
      <c r="N257" t="s">
        <v>1366</v>
      </c>
      <c r="O257" s="404" t="s">
        <v>1402</v>
      </c>
      <c r="P257" s="410" t="s">
        <v>1385</v>
      </c>
      <c r="Q257" s="423" t="s">
        <v>1403</v>
      </c>
      <c r="R257" s="383"/>
      <c r="S257" s="384"/>
      <c r="T257" s="398" t="s">
        <v>1373</v>
      </c>
      <c r="U257" s="385"/>
      <c r="V257" s="385"/>
      <c r="W257" s="387"/>
    </row>
    <row r="258" spans="1:23" x14ac:dyDescent="0.2">
      <c r="A258" s="13" t="str">
        <f>_xlfn.CONCAT(VLOOKUP(Check[[#This Row],[סטטוס]],Sold,2,FALSE),IF(Check[[#This Row],[סטטוס]]="פנויה",IF(N258="גמר מלא סטנדרט",".GMS",IF(N258="גמר מלא טיוב חומרים",".GMC",IF(N258="גמר מינימלי",".GM",IF(N258="דירת שיווק",".DS","")))),""),".",VLOOKUP(Check[[#This Row],[טיפוס]],Tipus[],5,FALSE),".",VLOOKUP(Check[[#This Row],[מגדל]],Tower,2,FALSE),".Ap.",Check[[#This Row],[מספר דירה]])</f>
        <v>O.S.3F.TS.Ap.256</v>
      </c>
      <c r="B258" s="13" t="str">
        <f>_xlfn.CONCAT(VLOOKUP(Check[[#This Row],[סטטוס]],Sold,2,FALSE),IF(Check[[#This Row],[סטטוס]]="פנויה",IF(N258="גמר מלא סטנדרט",".GMS",IF(N258="גמר מלא טיוב חומרים",".GMC",IF(N258="גמר מינימלי",".GM",IF(N258="דירת שיווק",".DS","")))),""),IF(M258="זומן לטרום",".ZLT",IF(M258="טרום מסירה",".TM",IF(M258="טרום מסירה מהנדס",".TMM",IF(M258="מסירת חזקה",".MH",IF(M258="מסירת חזקה מהנדס",".MHM",""))))),".",VLOOKUP(Check[[#This Row],[טיפוס]],Tipus[],5,FALSE),".",VLOOKUP(Check[[#This Row],[מגדל]],Tower,2,FALSE),".Ap.",Check[[#This Row],[מספר דירה]])</f>
        <v>O.S.3F.TS.Ap.256</v>
      </c>
      <c r="C258" s="3" t="s">
        <v>55</v>
      </c>
      <c r="D258" s="3">
        <v>33</v>
      </c>
      <c r="E258" s="4">
        <v>256</v>
      </c>
      <c r="F258" s="3">
        <v>3301</v>
      </c>
      <c r="G258" s="3" t="s">
        <v>23</v>
      </c>
      <c r="H258" s="3">
        <f>VLOOKUP(Check[[#This Row],[טיפוס]],Tipus[],2,FALSE)</f>
        <v>3</v>
      </c>
      <c r="I258" s="3" t="str">
        <f>VLOOKUP(Check[[#This Row],[טיפוס]],Tipus[],3,FALSE)</f>
        <v>סטנדרט</v>
      </c>
      <c r="J258" s="3" t="str">
        <f>VLOOKUP(Check[[#This Row],[טיפוס]],Tipus[],4,FALSE)</f>
        <v>G</v>
      </c>
      <c r="K258" s="3" t="str">
        <f>IF(Check[[#This Row],[סטטוס2]]="הולד","פנויה",Check[[#This Row],[סטטוס2]])</f>
        <v>בעלים</v>
      </c>
      <c r="L258" s="382" t="s">
        <v>91</v>
      </c>
      <c r="M258" s="382"/>
      <c r="N258" s="383"/>
      <c r="O258" s="383"/>
      <c r="P258" s="411"/>
      <c r="Q258" s="411"/>
      <c r="R258" s="383"/>
      <c r="S258" s="384">
        <v>44040</v>
      </c>
      <c r="T258" s="384" t="s">
        <v>455</v>
      </c>
      <c r="U258" s="385" t="s">
        <v>475</v>
      </c>
      <c r="V258" s="385" t="s">
        <v>214</v>
      </c>
      <c r="W258" s="385" t="s">
        <v>214</v>
      </c>
    </row>
    <row r="259" spans="1:23" x14ac:dyDescent="0.2">
      <c r="A259" s="13" t="str">
        <f>_xlfn.CONCAT(VLOOKUP(Check[[#This Row],[סטטוס]],Sold,2,FALSE),IF(Check[[#This Row],[סטטוס]]="פנויה",IF(N259="גמר מלא סטנדרט",".GMS",IF(N259="גמר מלא טיוב חומרים",".GMC",IF(N259="גמר מינימלי",".GM",IF(N259="דירת שיווק",".DS","")))),""),".",VLOOKUP(Check[[#This Row],[טיפוס]],Tipus[],5,FALSE),".",VLOOKUP(Check[[#This Row],[מגדל]],Tower,2,FALSE),".Ap.",Check[[#This Row],[מספר דירה]])</f>
        <v>S.S.3G.TS.Ap.257</v>
      </c>
      <c r="B259" s="13" t="str">
        <f>_xlfn.CONCAT(VLOOKUP(Check[[#This Row],[סטטוס]],Sold,2,FALSE),IF(Check[[#This Row],[סטטוס]]="פנויה",IF(N259="גמר מלא סטנדרט",".GMS",IF(N259="גמר מלא טיוב חומרים",".GMC",IF(N259="גמר מינימלי",".GM",IF(N259="דירת שיווק",".DS","")))),""),IF(M259="זומן לטרום",".ZLT",IF(M259="טרום מסירה",".TM",IF(M259="טרום מסירה מהנדס",".TMM",IF(M259="מסירת חזקה",".MH",IF(M259="מסירת חזקה מהנדס",".MHM",""))))),".",VLOOKUP(Check[[#This Row],[טיפוס]],Tipus[],5,FALSE),".",VLOOKUP(Check[[#This Row],[מגדל]],Tower,2,FALSE),".Ap.",Check[[#This Row],[מספר דירה]])</f>
        <v>S.S.3G.TS.Ap.257</v>
      </c>
      <c r="C259" s="3" t="s">
        <v>55</v>
      </c>
      <c r="D259" s="3">
        <v>33</v>
      </c>
      <c r="E259" s="4">
        <v>257</v>
      </c>
      <c r="F259" s="3">
        <v>3302</v>
      </c>
      <c r="G259" s="3" t="s">
        <v>22</v>
      </c>
      <c r="H259" s="3">
        <f>VLOOKUP(Check[[#This Row],[טיפוס]],Tipus[],2,FALSE)</f>
        <v>3</v>
      </c>
      <c r="I259" s="3" t="str">
        <f>VLOOKUP(Check[[#This Row],[טיפוס]],Tipus[],3,FALSE)</f>
        <v>סטנדרט</v>
      </c>
      <c r="J259" s="3" t="str">
        <f>VLOOKUP(Check[[#This Row],[טיפוס]],Tipus[],4,FALSE)</f>
        <v>E</v>
      </c>
      <c r="K259" s="3" t="str">
        <f>IF(Check[[#This Row],[סטטוס2]]="הולד","פנויה",Check[[#This Row],[סטטוס2]])</f>
        <v>מכורה</v>
      </c>
      <c r="L259" s="382" t="s">
        <v>130</v>
      </c>
      <c r="M259" s="382"/>
      <c r="N259" s="383"/>
      <c r="O259" s="383"/>
      <c r="P259" s="411"/>
      <c r="Q259" s="411"/>
      <c r="R259" s="383"/>
      <c r="S259" s="386">
        <v>44507</v>
      </c>
      <c r="T259" s="386" t="s">
        <v>1143</v>
      </c>
      <c r="U259" s="385" t="s">
        <v>1025</v>
      </c>
      <c r="V259" s="387"/>
      <c r="W259" s="387"/>
    </row>
    <row r="260" spans="1:23" x14ac:dyDescent="0.2">
      <c r="A260" s="13" t="str">
        <f>_xlfn.CONCAT(VLOOKUP(Check[[#This Row],[סטטוס]],Sold,2,FALSE),IF(Check[[#This Row],[סטטוס]]="פנויה",IF(N260="גמר מלא סטנדרט",".GMS",IF(N260="גמר מלא טיוב חומרים",".GMC",IF(N260="גמר מינימלי",".GM",IF(N260="דירת שיווק",".DS","")))),""),".",VLOOKUP(Check[[#This Row],[טיפוס]],Tipus[],5,FALSE),".",VLOOKUP(Check[[#This Row],[מגדל]],Tower,2,FALSE),".Ap.",Check[[#This Row],[מספר דירה]])</f>
        <v>V.GMS.S.3A.TS.Ap.258</v>
      </c>
      <c r="B260" s="13" t="str">
        <f>_xlfn.CONCAT(VLOOKUP(Check[[#This Row],[סטטוס]],Sold,2,FALSE),IF(Check[[#This Row],[סטטוס]]="פנויה",IF(N260="גמר מלא סטנדרט",".GMS",IF(N260="גמר מלא טיוב חומרים",".GMC",IF(N260="גמר מינימלי",".GM",IF(N260="דירת שיווק",".DS","")))),""),IF(M260="זומן לטרום",".ZLT",IF(M260="טרום מסירה",".TM",IF(M260="טרום מסירה מהנדס",".TMM",IF(M260="מסירת חזקה",".MH",IF(M260="מסירת חזקה מהנדס",".MHM",""))))),".",VLOOKUP(Check[[#This Row],[טיפוס]],Tipus[],5,FALSE),".",VLOOKUP(Check[[#This Row],[מגדל]],Tower,2,FALSE),".Ap.",Check[[#This Row],[מספר דירה]])</f>
        <v>V.GMS.S.3A.TS.Ap.258</v>
      </c>
      <c r="C260" s="3" t="s">
        <v>55</v>
      </c>
      <c r="D260" s="3">
        <v>33</v>
      </c>
      <c r="E260" s="4">
        <v>258</v>
      </c>
      <c r="F260" s="3">
        <v>3303</v>
      </c>
      <c r="G260" s="3" t="s">
        <v>9</v>
      </c>
      <c r="H260" s="3">
        <f>VLOOKUP(Check[[#This Row],[טיפוס]],Tipus[],2,FALSE)</f>
        <v>3</v>
      </c>
      <c r="I260" s="3" t="str">
        <f>VLOOKUP(Check[[#This Row],[טיפוס]],Tipus[],3,FALSE)</f>
        <v>סטנדרט</v>
      </c>
      <c r="J260" s="3" t="str">
        <f>VLOOKUP(Check[[#This Row],[טיפוס]],Tipus[],4,FALSE)</f>
        <v>D</v>
      </c>
      <c r="K260" s="3" t="str">
        <f>IF(Check[[#This Row],[סטטוס2]]="הולד","פנויה",Check[[#This Row],[סטטוס2]])</f>
        <v>פנויה</v>
      </c>
      <c r="L260" s="382" t="s">
        <v>108</v>
      </c>
      <c r="M260" s="382"/>
      <c r="N260" t="s">
        <v>1367</v>
      </c>
      <c r="O260" s="383" t="s">
        <v>1390</v>
      </c>
      <c r="P260" s="410" t="s">
        <v>1389</v>
      </c>
      <c r="Q260" s="410"/>
      <c r="R260" s="383"/>
      <c r="S260" s="384"/>
      <c r="T260" s="384" t="s">
        <v>214</v>
      </c>
      <c r="U260" s="385"/>
      <c r="V260" s="385"/>
      <c r="W260" s="387"/>
    </row>
    <row r="261" spans="1:23" x14ac:dyDescent="0.2">
      <c r="A261" s="13" t="str">
        <f>_xlfn.CONCAT(VLOOKUP(Check[[#This Row],[סטטוס]],Sold,2,FALSE),IF(Check[[#This Row],[סטטוס]]="פנויה",IF(N261="גמר מלא סטנדרט",".GMS",IF(N261="גמר מלא טיוב חומרים",".GMC",IF(N261="גמר מינימלי",".GM",IF(N261="דירת שיווק",".DS","")))),""),".",VLOOKUP(Check[[#This Row],[טיפוס]],Tipus[],5,FALSE),".",VLOOKUP(Check[[#This Row],[מגדל]],Tower,2,FALSE),".Ap.",Check[[#This Row],[מספר דירה]])</f>
        <v>O.S.2D.TS.Ap.259</v>
      </c>
      <c r="B261" s="13" t="str">
        <f>_xlfn.CONCAT(VLOOKUP(Check[[#This Row],[סטטוס]],Sold,2,FALSE),IF(Check[[#This Row],[סטטוס]]="פנויה",IF(N261="גמר מלא סטנדרט",".GMS",IF(N261="גמר מלא טיוב חומרים",".GMC",IF(N261="גמר מינימלי",".GM",IF(N261="דירת שיווק",".DS","")))),""),IF(M261="זומן לטרום",".ZLT",IF(M261="טרום מסירה",".TM",IF(M261="טרום מסירה מהנדס",".TMM",IF(M261="מסירת חזקה",".MH",IF(M261="מסירת חזקה מהנדס",".MHM",""))))),".",VLOOKUP(Check[[#This Row],[טיפוס]],Tipus[],5,FALSE),".",VLOOKUP(Check[[#This Row],[מגדל]],Tower,2,FALSE),".Ap.",Check[[#This Row],[מספר דירה]])</f>
        <v>O.S.2D.TS.Ap.259</v>
      </c>
      <c r="C261" s="3" t="s">
        <v>55</v>
      </c>
      <c r="D261" s="3">
        <v>33</v>
      </c>
      <c r="E261" s="4">
        <v>259</v>
      </c>
      <c r="F261" s="3">
        <v>3304</v>
      </c>
      <c r="G261" s="3" t="s">
        <v>10</v>
      </c>
      <c r="H261" s="3">
        <f>VLOOKUP(Check[[#This Row],[טיפוס]],Tipus[],2,FALSE)</f>
        <v>2</v>
      </c>
      <c r="I261" s="3" t="str">
        <f>VLOOKUP(Check[[#This Row],[טיפוס]],Tipus[],3,FALSE)</f>
        <v>סטנדרט</v>
      </c>
      <c r="J261" s="3" t="str">
        <f>VLOOKUP(Check[[#This Row],[טיפוס]],Tipus[],4,FALSE)</f>
        <v>C</v>
      </c>
      <c r="K261" s="3" t="str">
        <f>IF(Check[[#This Row],[סטטוס2]]="הולד","פנויה",Check[[#This Row],[סטטוס2]])</f>
        <v>בעלים</v>
      </c>
      <c r="L261" s="382" t="s">
        <v>91</v>
      </c>
      <c r="M261" s="382"/>
      <c r="N261" s="383"/>
      <c r="O261" s="383"/>
      <c r="P261" s="411"/>
      <c r="Q261" s="411"/>
      <c r="R261" s="383"/>
      <c r="S261" s="384">
        <v>44040</v>
      </c>
      <c r="T261" s="384" t="s">
        <v>1315</v>
      </c>
      <c r="U261" s="385" t="s">
        <v>476</v>
      </c>
      <c r="V261" s="385" t="s">
        <v>214</v>
      </c>
      <c r="W261" s="385" t="s">
        <v>214</v>
      </c>
    </row>
    <row r="262" spans="1:23" x14ac:dyDescent="0.2">
      <c r="A262" s="13" t="str">
        <f>_xlfn.CONCAT(VLOOKUP(Check[[#This Row],[סטטוס]],Sold,2,FALSE),IF(Check[[#This Row],[סטטוס]]="פנויה",IF(N262="גמר מלא סטנדרט",".GMS",IF(N262="גמר מלא טיוב חומרים",".GMC",IF(N262="גמר מינימלי",".GM",IF(N262="דירת שיווק",".DS","")))),""),".",VLOOKUP(Check[[#This Row],[טיפוס]],Tipus[],5,FALSE),".",VLOOKUP(Check[[#This Row],[מגדל]],Tower,2,FALSE),".Ap.",Check[[#This Row],[מספר דירה]])</f>
        <v>S.S.4C.TS.Ap.260</v>
      </c>
      <c r="B262" s="13" t="str">
        <f>_xlfn.CONCAT(VLOOKUP(Check[[#This Row],[סטטוס]],Sold,2,FALSE),IF(Check[[#This Row],[סטטוס]]="פנויה",IF(N262="גמר מלא סטנדרט",".GMS",IF(N262="גמר מלא טיוב חומרים",".GMC",IF(N262="גמר מינימלי",".GM",IF(N262="דירת שיווק",".DS","")))),""),IF(M262="זומן לטרום",".ZLT",IF(M262="טרום מסירה",".TM",IF(M262="טרום מסירה מהנדס",".TMM",IF(M262="מסירת חזקה",".MH",IF(M262="מסירת חזקה מהנדס",".MHM",""))))),".",VLOOKUP(Check[[#This Row],[טיפוס]],Tipus[],5,FALSE),".",VLOOKUP(Check[[#This Row],[מגדל]],Tower,2,FALSE),".Ap.",Check[[#This Row],[מספר דירה]])</f>
        <v>S.S.4C.TS.Ap.260</v>
      </c>
      <c r="C262" s="3" t="s">
        <v>55</v>
      </c>
      <c r="D262" s="3">
        <v>33</v>
      </c>
      <c r="E262" s="4">
        <v>260</v>
      </c>
      <c r="F262" s="3">
        <v>3305</v>
      </c>
      <c r="G262" s="3" t="s">
        <v>26</v>
      </c>
      <c r="H262" s="3">
        <f>VLOOKUP(Check[[#This Row],[טיפוס]],Tipus[],2,FALSE)</f>
        <v>4</v>
      </c>
      <c r="I262" s="3" t="str">
        <f>VLOOKUP(Check[[#This Row],[טיפוס]],Tipus[],3,FALSE)</f>
        <v>סטנדרט</v>
      </c>
      <c r="J262" s="3" t="str">
        <f>VLOOKUP(Check[[#This Row],[טיפוס]],Tipus[],4,FALSE)</f>
        <v>A</v>
      </c>
      <c r="K262" s="3" t="str">
        <f>IF(Check[[#This Row],[סטטוס2]]="הולד","פנויה",Check[[#This Row],[סטטוס2]])</f>
        <v>מכורה</v>
      </c>
      <c r="L262" s="382" t="s">
        <v>130</v>
      </c>
      <c r="M262" s="382"/>
      <c r="N262" s="383"/>
      <c r="O262" s="383"/>
      <c r="P262" s="411"/>
      <c r="Q262" s="411"/>
      <c r="R262" s="383"/>
      <c r="S262" s="386">
        <v>44748</v>
      </c>
      <c r="T262" s="386" t="s">
        <v>1316</v>
      </c>
      <c r="U262" s="385" t="s">
        <v>1026</v>
      </c>
      <c r="V262" s="385" t="s">
        <v>1027</v>
      </c>
      <c r="W262" s="387"/>
    </row>
    <row r="263" spans="1:23" ht="47.25" x14ac:dyDescent="0.2">
      <c r="A263" s="13" t="str">
        <f>_xlfn.CONCAT(VLOOKUP(Check[[#This Row],[סטטוס]],Sold,2,FALSE),IF(Check[[#This Row],[סטטוס]]="פנויה",IF(N263="גמר מלא סטנדרט",".GMS",IF(N263="גמר מלא טיוב חומרים",".GMC",IF(N263="גמר מינימלי",".GM",IF(N263="דירת שיווק",".DS","")))),""),".",VLOOKUP(Check[[#This Row],[טיפוס]],Tipus[],5,FALSE),".",VLOOKUP(Check[[#This Row],[מגדל]],Tower,2,FALSE),".Ap.",Check[[#This Row],[מספר דירה]])</f>
        <v>S.P.5CP.TS.Ap.261</v>
      </c>
      <c r="B263" s="13" t="str">
        <f>_xlfn.CONCAT(VLOOKUP(Check[[#This Row],[סטטוס]],Sold,2,FALSE),IF(Check[[#This Row],[סטטוס]]="פנויה",IF(N263="גמר מלא סטנדרט",".GMS",IF(N263="גמר מלא טיוב חומרים",".GMC",IF(N263="גמר מינימלי",".GM",IF(N263="דירת שיווק",".DS","")))),""),IF(M263="זומן לטרום",".ZLT",IF(M263="טרום מסירה",".TM",IF(M263="טרום מסירה מהנדס",".TMM",IF(M263="מסירת חזקה",".MH",IF(M263="מסירת חזקה מהנדס",".MHM",""))))),".",VLOOKUP(Check[[#This Row],[טיפוס]],Tipus[],5,FALSE),".",VLOOKUP(Check[[#This Row],[מגדל]],Tower,2,FALSE),".Ap.",Check[[#This Row],[מספר דירה]])</f>
        <v>S.P.5CP.TS.Ap.261</v>
      </c>
      <c r="C263" s="3" t="s">
        <v>55</v>
      </c>
      <c r="D263" s="3">
        <v>33</v>
      </c>
      <c r="E263" s="4">
        <v>261</v>
      </c>
      <c r="F263" s="3">
        <v>3306</v>
      </c>
      <c r="G263" s="3" t="s">
        <v>1269</v>
      </c>
      <c r="H263" s="3">
        <f>VLOOKUP(Check[[#This Row],[טיפוס]],Tipus[],2,FALSE)</f>
        <v>5</v>
      </c>
      <c r="I263" s="3" t="str">
        <f>VLOOKUP(Check[[#This Row],[טיפוס]],Tipus[],3,FALSE)</f>
        <v>פרימיום</v>
      </c>
      <c r="J263" s="3" t="str">
        <f>VLOOKUP(Check[[#This Row],[טיפוס]],Tipus[],4,FALSE)</f>
        <v>J</v>
      </c>
      <c r="K263" s="3" t="str">
        <f>IF(Check[[#This Row],[סטטוס2]]="הולד","פנויה",Check[[#This Row],[סטטוס2]])</f>
        <v>מכורה</v>
      </c>
      <c r="L263" s="382" t="s">
        <v>130</v>
      </c>
      <c r="M263" s="382"/>
      <c r="N263" s="408" t="s">
        <v>1380</v>
      </c>
      <c r="O263" s="406" t="s">
        <v>1379</v>
      </c>
      <c r="P263" s="417"/>
      <c r="Q263" s="421"/>
      <c r="R263" s="383"/>
      <c r="S263" s="384"/>
      <c r="T263" s="384" t="s">
        <v>214</v>
      </c>
      <c r="U263" s="385"/>
      <c r="V263" s="385"/>
      <c r="W263" s="387"/>
    </row>
    <row r="264" spans="1:23" ht="31.5" x14ac:dyDescent="0.2">
      <c r="A264" s="13" t="str">
        <f>_xlfn.CONCAT(VLOOKUP(Check[[#This Row],[סטטוס]],Sold,2,FALSE),IF(Check[[#This Row],[סטטוס]]="פנויה",IF(N264="גמר מלא סטנדרט",".GMS",IF(N264="גמר מלא טיוב חומרים",".GMC",IF(N264="גמר מינימלי",".GM",IF(N264="דירת שיווק",".DS","")))),""),".",VLOOKUP(Check[[#This Row],[טיפוס]],Tipus[],5,FALSE),".",VLOOKUP(Check[[#This Row],[מגדל]],Tower,2,FALSE),".Ap.",Check[[#This Row],[מספר דירה]])</f>
        <v>V.GM.P.4BP.TS.Ap.262</v>
      </c>
      <c r="B264" s="13" t="str">
        <f>_xlfn.CONCAT(VLOOKUP(Check[[#This Row],[סטטוס]],Sold,2,FALSE),IF(Check[[#This Row],[סטטוס]]="פנויה",IF(N264="גמר מלא סטנדרט",".GMS",IF(N264="גמר מלא טיוב חומרים",".GMC",IF(N264="גמר מינימלי",".GM",IF(N264="דירת שיווק",".DS","")))),""),IF(M264="זומן לטרום",".ZLT",IF(M264="טרום מסירה",".TM",IF(M264="טרום מסירה מהנדס",".TMM",IF(M264="מסירת חזקה",".MH",IF(M264="מסירת חזקה מהנדס",".MHM",""))))),".",VLOOKUP(Check[[#This Row],[טיפוס]],Tipus[],5,FALSE),".",VLOOKUP(Check[[#This Row],[מגדל]],Tower,2,FALSE),".Ap.",Check[[#This Row],[מספר דירה]])</f>
        <v>V.GM.P.4BP.TS.Ap.262</v>
      </c>
      <c r="C264" s="3" t="s">
        <v>55</v>
      </c>
      <c r="D264" s="3">
        <v>33</v>
      </c>
      <c r="E264" s="4">
        <v>262</v>
      </c>
      <c r="F264" s="3">
        <v>3307</v>
      </c>
      <c r="G264" s="3" t="s">
        <v>1271</v>
      </c>
      <c r="H264" s="3">
        <f>VLOOKUP(Check[[#This Row],[טיפוס]],Tipus[],2,FALSE)</f>
        <v>4</v>
      </c>
      <c r="I264" s="3" t="str">
        <f>VLOOKUP(Check[[#This Row],[טיפוס]],Tipus[],3,FALSE)</f>
        <v>פרימיום</v>
      </c>
      <c r="J264" s="3" t="str">
        <f>VLOOKUP(Check[[#This Row],[טיפוס]],Tipus[],4,FALSE)</f>
        <v>H</v>
      </c>
      <c r="K264" s="3" t="str">
        <f>IF(Check[[#This Row],[סטטוס2]]="הולד","פנויה",Check[[#This Row],[סטטוס2]])</f>
        <v>פנויה</v>
      </c>
      <c r="L264" s="382" t="s">
        <v>108</v>
      </c>
      <c r="M264" s="382"/>
      <c r="N264" t="s">
        <v>1366</v>
      </c>
      <c r="O264" s="404" t="s">
        <v>1402</v>
      </c>
      <c r="P264" s="410" t="s">
        <v>1385</v>
      </c>
      <c r="Q264" s="423" t="s">
        <v>1403</v>
      </c>
      <c r="R264" s="383"/>
      <c r="S264" s="384"/>
      <c r="T264" s="398"/>
      <c r="U264" s="385"/>
      <c r="V264" s="385"/>
      <c r="W264" s="387"/>
    </row>
    <row r="265" spans="1:23" x14ac:dyDescent="0.2">
      <c r="A265" s="13" t="str">
        <f>_xlfn.CONCAT(VLOOKUP(Check[[#This Row],[סטטוס]],Sold,2,FALSE),IF(Check[[#This Row],[סטטוס]]="פנויה",IF(N265="גמר מלא סטנדרט",".GMS",IF(N265="גמר מלא טיוב חומרים",".GMC",IF(N265="גמר מינימלי",".GM",IF(N265="דירת שיווק",".DS","")))),""),".",VLOOKUP(Check[[#This Row],[טיפוס]],Tipus[],5,FALSE),".",VLOOKUP(Check[[#This Row],[מגדל]],Tower,2,FALSE),".Ap.",Check[[#This Row],[מספר דירה]])</f>
        <v>S.P.4D.TS.Ap.263</v>
      </c>
      <c r="B265" s="13" t="str">
        <f>_xlfn.CONCAT(VLOOKUP(Check[[#This Row],[סטטוס]],Sold,2,FALSE),IF(Check[[#This Row],[סטטוס]]="פנויה",IF(N265="גמר מלא סטנדרט",".GMS",IF(N265="גמר מלא טיוב חומרים",".GMC",IF(N265="גמר מינימלי",".GM",IF(N265="דירת שיווק",".DS","")))),""),IF(M265="זומן לטרום",".ZLT",IF(M265="טרום מסירה",".TM",IF(M265="טרום מסירה מהנדס",".TMM",IF(M265="מסירת חזקה",".MH",IF(M265="מסירת חזקה מהנדס",".MHM",""))))),".",VLOOKUP(Check[[#This Row],[טיפוס]],Tipus[],5,FALSE),".",VLOOKUP(Check[[#This Row],[מגדל]],Tower,2,FALSE),".Ap.",Check[[#This Row],[מספר דירה]])</f>
        <v>S.P.4D.TS.Ap.263</v>
      </c>
      <c r="C265" s="3" t="s">
        <v>55</v>
      </c>
      <c r="D265" s="3">
        <v>34</v>
      </c>
      <c r="E265" s="4">
        <v>263</v>
      </c>
      <c r="F265" s="3">
        <v>3401</v>
      </c>
      <c r="G265" s="3" t="s">
        <v>27</v>
      </c>
      <c r="H265" s="3">
        <f>VLOOKUP(Check[[#This Row],[טיפוס]],Tipus[],2,FALSE)</f>
        <v>4</v>
      </c>
      <c r="I265" s="3" t="str">
        <f>VLOOKUP(Check[[#This Row],[טיפוס]],Tipus[],3,FALSE)</f>
        <v>פרימיום</v>
      </c>
      <c r="J265" s="3" t="str">
        <f>VLOOKUP(Check[[#This Row],[טיפוס]],Tipus[],4,FALSE)</f>
        <v>G (P)</v>
      </c>
      <c r="K265" s="3" t="str">
        <f>IF(Check[[#This Row],[סטטוס2]]="הולד","פנויה",Check[[#This Row],[סטטוס2]])</f>
        <v>מכורה</v>
      </c>
      <c r="L265" s="382" t="s">
        <v>130</v>
      </c>
      <c r="M265" s="382"/>
      <c r="N265" s="383"/>
      <c r="O265" s="383"/>
      <c r="P265" s="411"/>
      <c r="Q265" s="411"/>
      <c r="R265" s="383"/>
      <c r="S265" s="386">
        <v>44511</v>
      </c>
      <c r="T265" s="386" t="s">
        <v>1317</v>
      </c>
      <c r="U265" s="385" t="s">
        <v>1028</v>
      </c>
      <c r="V265" s="385" t="s">
        <v>1029</v>
      </c>
      <c r="W265" s="387"/>
    </row>
    <row r="266" spans="1:23" x14ac:dyDescent="0.2">
      <c r="A266" s="13" t="str">
        <f>_xlfn.CONCAT(VLOOKUP(Check[[#This Row],[סטטוס]],Sold,2,FALSE),IF(Check[[#This Row],[סטטוס]]="פנויה",IF(N266="גמר מלא סטנדרט",".GMS",IF(N266="גמר מלא טיוב חומרים",".GMC",IF(N266="גמר מינימלי",".GM",IF(N266="דירת שיווק",".DS","")))),""),".",VLOOKUP(Check[[#This Row],[טיפוס]],Tipus[],5,FALSE),".",VLOOKUP(Check[[#This Row],[מגדל]],Tower,2,FALSE),".Ap.",Check[[#This Row],[מספר דירה]])</f>
        <v>S.P.4E.TS.Ap.264</v>
      </c>
      <c r="B266" s="13" t="str">
        <f>_xlfn.CONCAT(VLOOKUP(Check[[#This Row],[סטטוס]],Sold,2,FALSE),IF(Check[[#This Row],[סטטוס]]="פנויה",IF(N266="גמר מלא סטנדרט",".GMS",IF(N266="גמר מלא טיוב חומרים",".GMC",IF(N266="גמר מינימלי",".GM",IF(N266="דירת שיווק",".DS","")))),""),IF(M266="זומן לטרום",".ZLT",IF(M266="טרום מסירה",".TM",IF(M266="טרום מסירה מהנדס",".TMM",IF(M266="מסירת חזקה",".MH",IF(M266="מסירת חזקה מהנדס",".MHM",""))))),".",VLOOKUP(Check[[#This Row],[טיפוס]],Tipus[],5,FALSE),".",VLOOKUP(Check[[#This Row],[מגדל]],Tower,2,FALSE),".Ap.",Check[[#This Row],[מספר דירה]])</f>
        <v>S.P.4E.TS.Ap.264</v>
      </c>
      <c r="C266" s="3" t="s">
        <v>55</v>
      </c>
      <c r="D266" s="3">
        <v>34</v>
      </c>
      <c r="E266" s="4">
        <v>264</v>
      </c>
      <c r="F266" s="3">
        <v>3402</v>
      </c>
      <c r="G266" s="3" t="s">
        <v>28</v>
      </c>
      <c r="H266" s="3">
        <f>VLOOKUP(Check[[#This Row],[טיפוס]],Tipus[],2,FALSE)</f>
        <v>4</v>
      </c>
      <c r="I266" s="3" t="str">
        <f>VLOOKUP(Check[[#This Row],[טיפוס]],Tipus[],3,FALSE)</f>
        <v>פרימיום</v>
      </c>
      <c r="J266" s="3" t="str">
        <f>VLOOKUP(Check[[#This Row],[טיפוס]],Tipus[],4,FALSE)</f>
        <v>C+D</v>
      </c>
      <c r="K266" s="3" t="str">
        <f>IF(Check[[#This Row],[סטטוס2]]="הולד","פנויה",Check[[#This Row],[סטטוס2]])</f>
        <v>מכורה</v>
      </c>
      <c r="L266" s="382" t="s">
        <v>130</v>
      </c>
      <c r="M266" s="382"/>
      <c r="N266" s="383"/>
      <c r="O266" s="383"/>
      <c r="P266" s="411"/>
      <c r="Q266" s="411"/>
      <c r="R266" s="383"/>
      <c r="S266" s="386">
        <v>44657</v>
      </c>
      <c r="T266" s="386" t="s">
        <v>1305</v>
      </c>
      <c r="U266" s="385" t="s">
        <v>1030</v>
      </c>
      <c r="V266" s="385" t="s">
        <v>1031</v>
      </c>
      <c r="W266" s="387"/>
    </row>
    <row r="267" spans="1:23" x14ac:dyDescent="0.2">
      <c r="A267" s="13" t="str">
        <f>_xlfn.CONCAT(VLOOKUP(Check[[#This Row],[סטטוס]],Sold,2,FALSE),IF(Check[[#This Row],[סטטוס]]="פנויה",IF(N267="גמר מלא סטנדרט",".GMS",IF(N267="גמר מלא טיוב חומרים",".GMC",IF(N267="גמר מינימלי",".GM",IF(N267="דירת שיווק",".DS","")))),""),".",VLOOKUP(Check[[#This Row],[טיפוס]],Tipus[],5,FALSE),".",VLOOKUP(Check[[#This Row],[מגדל]],Tower,2,FALSE),".Ap.",Check[[#This Row],[מספר דירה]])</f>
        <v>S.P.4F.TS.Ap.265</v>
      </c>
      <c r="B267" s="13" t="str">
        <f>_xlfn.CONCAT(VLOOKUP(Check[[#This Row],[סטטוס]],Sold,2,FALSE),IF(Check[[#This Row],[סטטוס]]="פנויה",IF(N267="גמר מלא סטנדרט",".GMS",IF(N267="גמר מלא טיוב חומרים",".GMC",IF(N267="גמר מינימלי",".GM",IF(N267="דירת שיווק",".DS","")))),""),IF(M267="זומן לטרום",".ZLT",IF(M267="טרום מסירה",".TM",IF(M267="טרום מסירה מהנדס",".TMM",IF(M267="מסירת חזקה",".MH",IF(M267="מסירת חזקה מהנדס",".MHM",""))))),".",VLOOKUP(Check[[#This Row],[טיפוס]],Tipus[],5,FALSE),".",VLOOKUP(Check[[#This Row],[מגדל]],Tower,2,FALSE),".Ap.",Check[[#This Row],[מספר דירה]])</f>
        <v>S.P.4F.TS.Ap.265</v>
      </c>
      <c r="C267" s="3" t="s">
        <v>55</v>
      </c>
      <c r="D267" s="3">
        <v>34</v>
      </c>
      <c r="E267" s="4">
        <v>265</v>
      </c>
      <c r="F267" s="3">
        <v>3403</v>
      </c>
      <c r="G267" s="3" t="s">
        <v>29</v>
      </c>
      <c r="H267" s="3">
        <f>VLOOKUP(Check[[#This Row],[טיפוס]],Tipus[],2,FALSE)</f>
        <v>4</v>
      </c>
      <c r="I267" s="3" t="str">
        <f>VLOOKUP(Check[[#This Row],[טיפוס]],Tipus[],3,FALSE)</f>
        <v>פרימיום</v>
      </c>
      <c r="J267" s="3" t="str">
        <f>VLOOKUP(Check[[#This Row],[טיפוס]],Tipus[],4,FALSE)</f>
        <v>A (P)</v>
      </c>
      <c r="K267" s="3" t="str">
        <f>IF(Check[[#This Row],[סטטוס2]]="הולד","פנויה",Check[[#This Row],[סטטוס2]])</f>
        <v>מכורה</v>
      </c>
      <c r="L267" s="382" t="s">
        <v>130</v>
      </c>
      <c r="M267" s="382"/>
      <c r="N267" s="383"/>
      <c r="O267" s="383"/>
      <c r="P267" s="411"/>
      <c r="Q267" s="411"/>
      <c r="R267" s="383"/>
      <c r="S267" s="386">
        <v>44683</v>
      </c>
      <c r="T267" s="386" t="s">
        <v>1032</v>
      </c>
      <c r="U267" s="385" t="s">
        <v>1033</v>
      </c>
      <c r="V267" s="385" t="s">
        <v>1034</v>
      </c>
      <c r="W267" s="387"/>
    </row>
    <row r="268" spans="1:23" x14ac:dyDescent="0.2">
      <c r="A268" s="13" t="str">
        <f>_xlfn.CONCAT(VLOOKUP(Check[[#This Row],[סטטוס]],Sold,2,FALSE),IF(Check[[#This Row],[סטטוס]]="פנויה",IF(N268="גמר מלא סטנדרט",".GMS",IF(N268="גמר מלא טיוב חומרים",".GMC",IF(N268="גמר מינימלי",".GM",IF(N268="דירת שיווק",".DS","")))),""),".",VLOOKUP(Check[[#This Row],[טיפוס]],Tipus[],5,FALSE),".",VLOOKUP(Check[[#This Row],[מגדל]],Tower,2,FALSE),".Ap.",Check[[#This Row],[מספר דירה]])</f>
        <v>O.P.5AP.TS.Ap.266</v>
      </c>
      <c r="B268" s="13" t="str">
        <f>_xlfn.CONCAT(VLOOKUP(Check[[#This Row],[סטטוס]],Sold,2,FALSE),IF(Check[[#This Row],[סטטוס]]="פנויה",IF(N268="גמר מלא סטנדרט",".GMS",IF(N268="גמר מלא טיוב חומרים",".GMC",IF(N268="גמר מינימלי",".GM",IF(N268="דירת שיווק",".DS","")))),""),IF(M268="זומן לטרום",".ZLT",IF(M268="טרום מסירה",".TM",IF(M268="טרום מסירה מהנדס",".TMM",IF(M268="מסירת חזקה",".MH",IF(M268="מסירת חזקה מהנדס",".MHM",""))))),".",VLOOKUP(Check[[#This Row],[טיפוס]],Tipus[],5,FALSE),".",VLOOKUP(Check[[#This Row],[מגדל]],Tower,2,FALSE),".Ap.",Check[[#This Row],[מספר דירה]])</f>
        <v>O.P.5AP.TS.Ap.266</v>
      </c>
      <c r="C268" s="3" t="s">
        <v>55</v>
      </c>
      <c r="D268" s="3">
        <v>34</v>
      </c>
      <c r="E268" s="4">
        <v>266</v>
      </c>
      <c r="F268" s="3">
        <v>3404</v>
      </c>
      <c r="G268" s="3" t="s">
        <v>30</v>
      </c>
      <c r="H268" s="3">
        <f>VLOOKUP(Check[[#This Row],[טיפוס]],Tipus[],2,FALSE)</f>
        <v>5</v>
      </c>
      <c r="I268" s="3" t="str">
        <f>VLOOKUP(Check[[#This Row],[טיפוס]],Tipus[],3,FALSE)</f>
        <v>פרימיום</v>
      </c>
      <c r="J268" s="3" t="str">
        <f>VLOOKUP(Check[[#This Row],[טיפוס]],Tipus[],4,FALSE)</f>
        <v>J</v>
      </c>
      <c r="K268" s="3" t="str">
        <f>IF(Check[[#This Row],[סטטוס2]]="הולד","פנויה",Check[[#This Row],[סטטוס2]])</f>
        <v>בעלים</v>
      </c>
      <c r="L268" s="382" t="s">
        <v>91</v>
      </c>
      <c r="M268" s="382"/>
      <c r="N268" s="383"/>
      <c r="O268" s="383"/>
      <c r="P268" s="411"/>
      <c r="Q268" s="411"/>
      <c r="R268" s="383"/>
      <c r="S268" s="384">
        <v>44040</v>
      </c>
      <c r="T268" s="384" t="s">
        <v>371</v>
      </c>
      <c r="U268" s="385" t="s">
        <v>214</v>
      </c>
      <c r="V268" s="385" t="s">
        <v>214</v>
      </c>
      <c r="W268" s="385" t="s">
        <v>214</v>
      </c>
    </row>
    <row r="269" spans="1:23" x14ac:dyDescent="0.2">
      <c r="A269" s="13" t="str">
        <f>_xlfn.CONCAT(VLOOKUP(Check[[#This Row],[סטטוס]],Sold,2,FALSE),IF(Check[[#This Row],[סטטוס]]="פנויה",IF(N269="גמר מלא סטנדרט",".GMS",IF(N269="גמר מלא טיוב חומרים",".GMC",IF(N269="גמר מינימלי",".GM",IF(N269="דירת שיווק",".DS","")))),""),".",VLOOKUP(Check[[#This Row],[טיפוס]],Tipus[],5,FALSE),".",VLOOKUP(Check[[#This Row],[מגדל]],Tower,2,FALSE),".Ap.",Check[[#This Row],[מספר דירה]])</f>
        <v>O.P.5BP.TS.Ap.267</v>
      </c>
      <c r="B269" s="13" t="str">
        <f>_xlfn.CONCAT(VLOOKUP(Check[[#This Row],[סטטוס]],Sold,2,FALSE),IF(Check[[#This Row],[סטטוס]]="פנויה",IF(N269="גמר מלא סטנדרט",".GMS",IF(N269="גמר מלא טיוב חומרים",".GMC",IF(N269="גמר מינימלי",".GM",IF(N269="דירת שיווק",".DS","")))),""),IF(M269="זומן לטרום",".ZLT",IF(M269="טרום מסירה",".TM",IF(M269="טרום מסירה מהנדס",".TMM",IF(M269="מסירת חזקה",".MH",IF(M269="מסירת חזקה מהנדס",".MHM",""))))),".",VLOOKUP(Check[[#This Row],[טיפוס]],Tipus[],5,FALSE),".",VLOOKUP(Check[[#This Row],[מגדל]],Tower,2,FALSE),".Ap.",Check[[#This Row],[מספר דירה]])</f>
        <v>O.P.5BP.TS.Ap.267</v>
      </c>
      <c r="C269" s="3" t="s">
        <v>55</v>
      </c>
      <c r="D269" s="3">
        <v>34</v>
      </c>
      <c r="E269" s="4">
        <v>267</v>
      </c>
      <c r="F269" s="3">
        <v>3405</v>
      </c>
      <c r="G269" s="3" t="s">
        <v>31</v>
      </c>
      <c r="H269" s="3">
        <f>VLOOKUP(Check[[#This Row],[טיפוס]],Tipus[],2,FALSE)</f>
        <v>5</v>
      </c>
      <c r="I269" s="3" t="str">
        <f>VLOOKUP(Check[[#This Row],[טיפוס]],Tipus[],3,FALSE)</f>
        <v>פרימיום</v>
      </c>
      <c r="J269" s="3" t="str">
        <f>VLOOKUP(Check[[#This Row],[טיפוס]],Tipus[],4,FALSE)</f>
        <v>H</v>
      </c>
      <c r="K269" s="3" t="str">
        <f>IF(Check[[#This Row],[סטטוס2]]="הולד","פנויה",Check[[#This Row],[סטטוס2]])</f>
        <v>בעלים</v>
      </c>
      <c r="L269" s="382" t="s">
        <v>91</v>
      </c>
      <c r="M269" s="382"/>
      <c r="N269" s="383"/>
      <c r="O269" s="383"/>
      <c r="P269" s="411"/>
      <c r="Q269" s="411"/>
      <c r="R269" s="383"/>
      <c r="S269" s="384">
        <v>44040</v>
      </c>
      <c r="T269" s="384" t="s">
        <v>1144</v>
      </c>
      <c r="U269" s="385" t="s">
        <v>477</v>
      </c>
      <c r="V269" s="385" t="s">
        <v>478</v>
      </c>
      <c r="W269" s="385" t="s">
        <v>434</v>
      </c>
    </row>
    <row r="270" spans="1:23" x14ac:dyDescent="0.2">
      <c r="A270" s="13" t="str">
        <f>_xlfn.CONCAT(VLOOKUP(Check[[#This Row],[סטטוס]],Sold,2,FALSE),IF(Check[[#This Row],[סטטוס]]="פנויה",IF(N270="גמר מלא סטנדרט",".GMS",IF(N270="גמר מלא טיוב חומרים",".GMC",IF(N270="גמר מינימלי",".GM",IF(N270="דירת שיווק",".DS","")))),""),".",VLOOKUP(Check[[#This Row],[טיפוס]],Tipus[],5,FALSE),".",VLOOKUP(Check[[#This Row],[מגדל]],Tower,2,FALSE),".Ap.",Check[[#This Row],[מספר דירה]])</f>
        <v>V.GMS.P.4D.TS.Ap.268</v>
      </c>
      <c r="B270" s="13" t="str">
        <f>_xlfn.CONCAT(VLOOKUP(Check[[#This Row],[סטטוס]],Sold,2,FALSE),IF(Check[[#This Row],[סטטוס]]="פנויה",IF(N270="גמר מלא סטנדרט",".GMS",IF(N270="גמר מלא טיוב חומרים",".GMC",IF(N270="גמר מינימלי",".GM",IF(N270="דירת שיווק",".DS","")))),""),IF(M270="זומן לטרום",".ZLT",IF(M270="טרום מסירה",".TM",IF(M270="טרום מסירה מהנדס",".TMM",IF(M270="מסירת חזקה",".MH",IF(M270="מסירת חזקה מהנדס",".MHM",""))))),".",VLOOKUP(Check[[#This Row],[טיפוס]],Tipus[],5,FALSE),".",VLOOKUP(Check[[#This Row],[מגדל]],Tower,2,FALSE),".Ap.",Check[[#This Row],[מספר דירה]])</f>
        <v>V.GMS.P.4D.TS.Ap.268</v>
      </c>
      <c r="C270" s="3" t="s">
        <v>55</v>
      </c>
      <c r="D270" s="3">
        <v>35</v>
      </c>
      <c r="E270" s="4">
        <v>268</v>
      </c>
      <c r="F270" s="3">
        <v>3501</v>
      </c>
      <c r="G270" s="3" t="s">
        <v>27</v>
      </c>
      <c r="H270" s="3">
        <f>VLOOKUP(Check[[#This Row],[טיפוס]],Tipus[],2,FALSE)</f>
        <v>4</v>
      </c>
      <c r="I270" s="3" t="str">
        <f>VLOOKUP(Check[[#This Row],[טיפוס]],Tipus[],3,FALSE)</f>
        <v>פרימיום</v>
      </c>
      <c r="J270" s="3" t="str">
        <f>VLOOKUP(Check[[#This Row],[טיפוס]],Tipus[],4,FALSE)</f>
        <v>G (P)</v>
      </c>
      <c r="K270" s="3" t="str">
        <f>IF(Check[[#This Row],[סטטוס2]]="הולד","פנויה",Check[[#This Row],[סטטוס2]])</f>
        <v>פנויה</v>
      </c>
      <c r="L270" s="382" t="s">
        <v>108</v>
      </c>
      <c r="M270" s="382"/>
      <c r="N270" t="s">
        <v>1367</v>
      </c>
      <c r="O270" s="383" t="s">
        <v>1390</v>
      </c>
      <c r="P270" s="410" t="s">
        <v>1389</v>
      </c>
      <c r="Q270" s="410"/>
      <c r="R270" s="383"/>
      <c r="S270" s="384"/>
      <c r="T270" s="384" t="s">
        <v>214</v>
      </c>
      <c r="U270" s="385"/>
      <c r="V270" s="385"/>
      <c r="W270" s="387"/>
    </row>
    <row r="271" spans="1:23" x14ac:dyDescent="0.2">
      <c r="A271" s="13" t="str">
        <f>_xlfn.CONCAT(VLOOKUP(Check[[#This Row],[סטטוס]],Sold,2,FALSE),IF(Check[[#This Row],[סטטוס]]="פנויה",IF(N271="גמר מלא סטנדרט",".GMS",IF(N271="גמר מלא טיוב חומרים",".GMC",IF(N271="גמר מינימלי",".GM",IF(N271="דירת שיווק",".DS","")))),""),".",VLOOKUP(Check[[#This Row],[טיפוס]],Tipus[],5,FALSE),".",VLOOKUP(Check[[#This Row],[מגדל]],Tower,2,FALSE),".Ap.",Check[[#This Row],[מספר דירה]])</f>
        <v>O.P.4E.TS.Ap.269</v>
      </c>
      <c r="B271" s="13" t="str">
        <f>_xlfn.CONCAT(VLOOKUP(Check[[#This Row],[סטטוס]],Sold,2,FALSE),IF(Check[[#This Row],[סטטוס]]="פנויה",IF(N271="גמר מלא סטנדרט",".GMS",IF(N271="גמר מלא טיוב חומרים",".GMC",IF(N271="גמר מינימלי",".GM",IF(N271="דירת שיווק",".DS","")))),""),IF(M271="זומן לטרום",".ZLT",IF(M271="טרום מסירה",".TM",IF(M271="טרום מסירה מהנדס",".TMM",IF(M271="מסירת חזקה",".MH",IF(M271="מסירת חזקה מהנדס",".MHM",""))))),".",VLOOKUP(Check[[#This Row],[טיפוס]],Tipus[],5,FALSE),".",VLOOKUP(Check[[#This Row],[מגדל]],Tower,2,FALSE),".Ap.",Check[[#This Row],[מספר דירה]])</f>
        <v>O.P.4E.TS.Ap.269</v>
      </c>
      <c r="C271" s="3" t="s">
        <v>55</v>
      </c>
      <c r="D271" s="3">
        <v>35</v>
      </c>
      <c r="E271" s="4">
        <v>269</v>
      </c>
      <c r="F271" s="3">
        <v>3502</v>
      </c>
      <c r="G271" s="3" t="s">
        <v>28</v>
      </c>
      <c r="H271" s="3">
        <f>VLOOKUP(Check[[#This Row],[טיפוס]],Tipus[],2,FALSE)</f>
        <v>4</v>
      </c>
      <c r="I271" s="3" t="str">
        <f>VLOOKUP(Check[[#This Row],[טיפוס]],Tipus[],3,FALSE)</f>
        <v>פרימיום</v>
      </c>
      <c r="J271" s="3" t="str">
        <f>VLOOKUP(Check[[#This Row],[טיפוס]],Tipus[],4,FALSE)</f>
        <v>C+D</v>
      </c>
      <c r="K271" s="3" t="str">
        <f>IF(Check[[#This Row],[סטטוס2]]="הולד","פנויה",Check[[#This Row],[סטטוס2]])</f>
        <v>בעלים</v>
      </c>
      <c r="L271" s="382" t="s">
        <v>91</v>
      </c>
      <c r="M271" s="382"/>
      <c r="N271" s="383"/>
      <c r="O271" s="383"/>
      <c r="P271" s="411"/>
      <c r="Q271" s="411"/>
      <c r="R271" s="383"/>
      <c r="S271" s="384">
        <v>44040</v>
      </c>
      <c r="T271" s="384" t="s">
        <v>479</v>
      </c>
      <c r="U271" s="385" t="s">
        <v>480</v>
      </c>
      <c r="V271" s="385" t="s">
        <v>481</v>
      </c>
      <c r="W271" s="385" t="s">
        <v>482</v>
      </c>
    </row>
    <row r="272" spans="1:23" x14ac:dyDescent="0.2">
      <c r="A272" s="13" t="str">
        <f>_xlfn.CONCAT(VLOOKUP(Check[[#This Row],[סטטוס]],Sold,2,FALSE),IF(Check[[#This Row],[סטטוס]]="פנויה",IF(N272="גמר מלא סטנדרט",".GMS",IF(N272="גמר מלא טיוב חומרים",".GMC",IF(N272="גמר מינימלי",".GM",IF(N272="דירת שיווק",".DS","")))),""),".",VLOOKUP(Check[[#This Row],[טיפוס]],Tipus[],5,FALSE),".",VLOOKUP(Check[[#This Row],[מגדל]],Tower,2,FALSE),".Ap.",Check[[#This Row],[מספר דירה]])</f>
        <v>S.P.4F.TS.Ap.270</v>
      </c>
      <c r="B272" s="13" t="str">
        <f>_xlfn.CONCAT(VLOOKUP(Check[[#This Row],[סטטוס]],Sold,2,FALSE),IF(Check[[#This Row],[סטטוס]]="פנויה",IF(N272="גמר מלא סטנדרט",".GMS",IF(N272="גמר מלא טיוב חומרים",".GMC",IF(N272="גמר מינימלי",".GM",IF(N272="דירת שיווק",".DS","")))),""),IF(M272="זומן לטרום",".ZLT",IF(M272="טרום מסירה",".TM",IF(M272="טרום מסירה מהנדס",".TMM",IF(M272="מסירת חזקה",".MH",IF(M272="מסירת חזקה מהנדס",".MHM",""))))),".",VLOOKUP(Check[[#This Row],[טיפוס]],Tipus[],5,FALSE),".",VLOOKUP(Check[[#This Row],[מגדל]],Tower,2,FALSE),".Ap.",Check[[#This Row],[מספר דירה]])</f>
        <v>S.P.4F.TS.Ap.270</v>
      </c>
      <c r="C272" s="3" t="s">
        <v>55</v>
      </c>
      <c r="D272" s="3">
        <v>35</v>
      </c>
      <c r="E272" s="4">
        <v>270</v>
      </c>
      <c r="F272" s="3">
        <v>3503</v>
      </c>
      <c r="G272" s="3" t="s">
        <v>29</v>
      </c>
      <c r="H272" s="3">
        <f>VLOOKUP(Check[[#This Row],[טיפוס]],Tipus[],2,FALSE)</f>
        <v>4</v>
      </c>
      <c r="I272" s="3" t="str">
        <f>VLOOKUP(Check[[#This Row],[טיפוס]],Tipus[],3,FALSE)</f>
        <v>פרימיום</v>
      </c>
      <c r="J272" s="3" t="str">
        <f>VLOOKUP(Check[[#This Row],[טיפוס]],Tipus[],4,FALSE)</f>
        <v>A (P)</v>
      </c>
      <c r="K272" s="3" t="str">
        <f>IF(Check[[#This Row],[סטטוס2]]="הולד","פנויה",Check[[#This Row],[סטטוס2]])</f>
        <v>מכורה</v>
      </c>
      <c r="L272" s="382" t="s">
        <v>130</v>
      </c>
      <c r="M272" s="382"/>
      <c r="N272" s="383"/>
      <c r="O272" s="383"/>
      <c r="P272" s="411"/>
      <c r="Q272" s="411"/>
      <c r="R272" s="383"/>
      <c r="S272" s="386">
        <v>44500</v>
      </c>
      <c r="T272" s="386" t="s">
        <v>1145</v>
      </c>
      <c r="U272" s="385" t="s">
        <v>1035</v>
      </c>
      <c r="V272" s="385" t="s">
        <v>1036</v>
      </c>
      <c r="W272" s="387"/>
    </row>
    <row r="273" spans="1:23" ht="30.75" x14ac:dyDescent="0.2">
      <c r="A273" s="13" t="str">
        <f>_xlfn.CONCAT(VLOOKUP(Check[[#This Row],[סטטוס]],Sold,2,FALSE),IF(Check[[#This Row],[סטטוס]]="פנויה",IF(N273="גמר מלא סטנדרט",".GMS",IF(N273="גמר מלא טיוב חומרים",".GMC",IF(N273="גמר מינימלי",".GM",IF(N273="דירת שיווק",".DS","")))),""),".",VLOOKUP(Check[[#This Row],[טיפוס]],Tipus[],5,FALSE),".",VLOOKUP(Check[[#This Row],[מגדל]],Tower,2,FALSE),".Ap.",Check[[#This Row],[מספר דירה]])</f>
        <v>S.P.5AP.TS.Ap.271</v>
      </c>
      <c r="B273" s="13" t="str">
        <f>_xlfn.CONCAT(VLOOKUP(Check[[#This Row],[סטטוס]],Sold,2,FALSE),IF(Check[[#This Row],[סטטוס]]="פנויה",IF(N273="גמר מלא סטנדרט",".GMS",IF(N273="גמר מלא טיוב חומרים",".GMC",IF(N273="גמר מינימלי",".GM",IF(N273="דירת שיווק",".DS","")))),""),IF(M273="זומן לטרום",".ZLT",IF(M273="טרום מסירה",".TM",IF(M273="טרום מסירה מהנדס",".TMM",IF(M273="מסירת חזקה",".MH",IF(M273="מסירת חזקה מהנדס",".MHM",""))))),".",VLOOKUP(Check[[#This Row],[טיפוס]],Tipus[],5,FALSE),".",VLOOKUP(Check[[#This Row],[מגדל]],Tower,2,FALSE),".Ap.",Check[[#This Row],[מספר דירה]])</f>
        <v>S.P.5AP.TS.Ap.271</v>
      </c>
      <c r="C273" s="3" t="s">
        <v>55</v>
      </c>
      <c r="D273" s="3">
        <v>35</v>
      </c>
      <c r="E273" s="4">
        <v>271</v>
      </c>
      <c r="F273" s="3">
        <v>3504</v>
      </c>
      <c r="G273" s="3" t="s">
        <v>30</v>
      </c>
      <c r="H273" s="3">
        <f>VLOOKUP(Check[[#This Row],[טיפוס]],Tipus[],2,FALSE)</f>
        <v>5</v>
      </c>
      <c r="I273" s="3" t="str">
        <f>VLOOKUP(Check[[#This Row],[טיפוס]],Tipus[],3,FALSE)</f>
        <v>פרימיום</v>
      </c>
      <c r="J273" s="3" t="str">
        <f>VLOOKUP(Check[[#This Row],[טיפוס]],Tipus[],4,FALSE)</f>
        <v>J</v>
      </c>
      <c r="K273" s="3" t="s">
        <v>130</v>
      </c>
      <c r="L273" s="382" t="s">
        <v>130</v>
      </c>
      <c r="M273" s="382"/>
      <c r="N273" s="383"/>
      <c r="O273" s="383"/>
      <c r="P273" s="416" t="s">
        <v>1387</v>
      </c>
      <c r="Q273" s="423" t="s">
        <v>1404</v>
      </c>
      <c r="R273" s="383"/>
      <c r="S273" s="384"/>
      <c r="T273" s="384" t="s">
        <v>214</v>
      </c>
      <c r="U273" s="385"/>
      <c r="V273" s="385"/>
      <c r="W273" s="387"/>
    </row>
    <row r="274" spans="1:23" x14ac:dyDescent="0.2">
      <c r="A274" s="13" t="str">
        <f>_xlfn.CONCAT(VLOOKUP(Check[[#This Row],[סטטוס]],Sold,2,FALSE),IF(Check[[#This Row],[סטטוס]]="פנויה",IF(N274="גמר מלא סטנדרט",".GMS",IF(N274="גמר מלא טיוב חומרים",".GMC",IF(N274="גמר מינימלי",".GM",IF(N274="דירת שיווק",".DS","")))),""),".",VLOOKUP(Check[[#This Row],[טיפוס]],Tipus[],5,FALSE),".",VLOOKUP(Check[[#This Row],[מגדל]],Tower,2,FALSE),".Ap.",Check[[#This Row],[מספר דירה]])</f>
        <v>V.DS.P.5BP.TS.Ap.272</v>
      </c>
      <c r="B274" s="13" t="str">
        <f>_xlfn.CONCAT(VLOOKUP(Check[[#This Row],[סטטוס]],Sold,2,FALSE),IF(Check[[#This Row],[סטטוס]]="פנויה",IF(N274="גמר מלא סטנדרט",".GMS",IF(N274="גמר מלא טיוב חומרים",".GMC",IF(N274="גמר מינימלי",".GM",IF(N274="דירת שיווק",".DS","")))),""),IF(M274="זומן לטרום",".ZLT",IF(M274="טרום מסירה",".TM",IF(M274="טרום מסירה מהנדס",".TMM",IF(M274="מסירת חזקה",".MH",IF(M274="מסירת חזקה מהנדס",".MHM",""))))),".",VLOOKUP(Check[[#This Row],[טיפוס]],Tipus[],5,FALSE),".",VLOOKUP(Check[[#This Row],[מגדל]],Tower,2,FALSE),".Ap.",Check[[#This Row],[מספר דירה]])</f>
        <v>V.DS.P.5BP.TS.Ap.272</v>
      </c>
      <c r="C274" s="3" t="s">
        <v>55</v>
      </c>
      <c r="D274" s="3">
        <v>35</v>
      </c>
      <c r="E274" s="4">
        <v>272</v>
      </c>
      <c r="F274" s="3">
        <v>3505</v>
      </c>
      <c r="G274" s="3" t="s">
        <v>31</v>
      </c>
      <c r="H274" s="3">
        <f>VLOOKUP(Check[[#This Row],[טיפוס]],Tipus[],2,FALSE)</f>
        <v>5</v>
      </c>
      <c r="I274" s="3" t="str">
        <f>VLOOKUP(Check[[#This Row],[טיפוס]],Tipus[],3,FALSE)</f>
        <v>פרימיום</v>
      </c>
      <c r="J274" s="3" t="str">
        <f>VLOOKUP(Check[[#This Row],[טיפוס]],Tipus[],4,FALSE)</f>
        <v>H</v>
      </c>
      <c r="K274" s="3" t="str">
        <f>IF(Check[[#This Row],[סטטוס2]]="הולד","פנויה",Check[[#This Row],[סטטוס2]])</f>
        <v>פנויה</v>
      </c>
      <c r="L274" s="382" t="s">
        <v>108</v>
      </c>
      <c r="M274" s="382"/>
      <c r="N274" t="s">
        <v>1418</v>
      </c>
      <c r="O274" s="383"/>
      <c r="P274" s="416" t="s">
        <v>1387</v>
      </c>
      <c r="Q274" s="423" t="s">
        <v>1405</v>
      </c>
      <c r="R274" s="383"/>
      <c r="S274" s="384"/>
      <c r="T274" s="384" t="s">
        <v>214</v>
      </c>
      <c r="U274" s="385"/>
      <c r="V274" s="385"/>
      <c r="W274" s="387"/>
    </row>
    <row r="275" spans="1:23" x14ac:dyDescent="0.2">
      <c r="A275" s="13" t="str">
        <f>_xlfn.CONCAT(VLOOKUP(Check[[#This Row],[סטטוס]],Sold,2,FALSE),IF(Check[[#This Row],[סטטוס]]="פנויה",IF(N275="גמר מלא סטנדרט",".GMS",IF(N275="גמר מלא טיוב חומרים",".GMC",IF(N275="גמר מינימלי",".GM",IF(N275="דירת שיווק",".DS","")))),""),".",VLOOKUP(Check[[#This Row],[טיפוס]],Tipus[],5,FALSE),".",VLOOKUP(Check[[#This Row],[מגדל]],Tower,2,FALSE),".Ap.",Check[[#This Row],[מספר דירה]])</f>
        <v>V.GMS.P.4D.TS.Ap.273</v>
      </c>
      <c r="B275" s="13" t="str">
        <f>_xlfn.CONCAT(VLOOKUP(Check[[#This Row],[סטטוס]],Sold,2,FALSE),IF(Check[[#This Row],[סטטוס]]="פנויה",IF(N275="גמר מלא סטנדרט",".GMS",IF(N275="גמר מלא טיוב חומרים",".GMC",IF(N275="גמר מינימלי",".GM",IF(N275="דירת שיווק",".DS","")))),""),IF(M275="זומן לטרום",".ZLT",IF(M275="טרום מסירה",".TM",IF(M275="טרום מסירה מהנדס",".TMM",IF(M275="מסירת חזקה",".MH",IF(M275="מסירת חזקה מהנדס",".MHM",""))))),".",VLOOKUP(Check[[#This Row],[טיפוס]],Tipus[],5,FALSE),".",VLOOKUP(Check[[#This Row],[מגדל]],Tower,2,FALSE),".Ap.",Check[[#This Row],[מספר דירה]])</f>
        <v>V.GMS.P.4D.TS.Ap.273</v>
      </c>
      <c r="C275" s="3" t="s">
        <v>55</v>
      </c>
      <c r="D275" s="3">
        <v>36</v>
      </c>
      <c r="E275" s="4">
        <v>273</v>
      </c>
      <c r="F275" s="3">
        <v>3601</v>
      </c>
      <c r="G275" s="3" t="s">
        <v>27</v>
      </c>
      <c r="H275" s="3">
        <f>VLOOKUP(Check[[#This Row],[טיפוס]],Tipus[],2,FALSE)</f>
        <v>4</v>
      </c>
      <c r="I275" s="3" t="str">
        <f>VLOOKUP(Check[[#This Row],[טיפוס]],Tipus[],3,FALSE)</f>
        <v>פרימיום</v>
      </c>
      <c r="J275" s="3" t="str">
        <f>VLOOKUP(Check[[#This Row],[טיפוס]],Tipus[],4,FALSE)</f>
        <v>G (P)</v>
      </c>
      <c r="K275" s="3" t="str">
        <f>IF(Check[[#This Row],[סטטוס2]]="הולד","פנויה",Check[[#This Row],[סטטוס2]])</f>
        <v>פנויה</v>
      </c>
      <c r="L275" s="382" t="s">
        <v>108</v>
      </c>
      <c r="M275" s="382"/>
      <c r="N275" t="s">
        <v>1367</v>
      </c>
      <c r="O275" s="383" t="s">
        <v>1390</v>
      </c>
      <c r="P275" s="410" t="s">
        <v>1389</v>
      </c>
      <c r="Q275" s="410"/>
      <c r="R275" s="383"/>
      <c r="S275" s="384"/>
      <c r="T275" s="384" t="s">
        <v>214</v>
      </c>
      <c r="U275" s="385"/>
      <c r="V275" s="385"/>
      <c r="W275" s="387"/>
    </row>
    <row r="276" spans="1:23" x14ac:dyDescent="0.2">
      <c r="A276" s="13" t="str">
        <f>_xlfn.CONCAT(VLOOKUP(Check[[#This Row],[סטטוס]],Sold,2,FALSE),IF(Check[[#This Row],[סטטוס]]="פנויה",IF(N276="גמר מלא סטנדרט",".GMS",IF(N276="גמר מלא טיוב חומרים",".GMC",IF(N276="גמר מינימלי",".GM",IF(N276="דירת שיווק",".DS","")))),""),".",VLOOKUP(Check[[#This Row],[טיפוס]],Tipus[],5,FALSE),".",VLOOKUP(Check[[#This Row],[מגדל]],Tower,2,FALSE),".Ap.",Check[[#This Row],[מספר דירה]])</f>
        <v>S.P.4E.TS.Ap.274</v>
      </c>
      <c r="B276" s="13" t="str">
        <f>_xlfn.CONCAT(VLOOKUP(Check[[#This Row],[סטטוס]],Sold,2,FALSE),IF(Check[[#This Row],[סטטוס]]="פנויה",IF(N276="גמר מלא סטנדרט",".GMS",IF(N276="גמר מלא טיוב חומרים",".GMC",IF(N276="גמר מינימלי",".GM",IF(N276="דירת שיווק",".DS","")))),""),IF(M276="זומן לטרום",".ZLT",IF(M276="טרום מסירה",".TM",IF(M276="טרום מסירה מהנדס",".TMM",IF(M276="מסירת חזקה",".MH",IF(M276="מסירת חזקה מהנדס",".MHM",""))))),".",VLOOKUP(Check[[#This Row],[טיפוס]],Tipus[],5,FALSE),".",VLOOKUP(Check[[#This Row],[מגדל]],Tower,2,FALSE),".Ap.",Check[[#This Row],[מספר דירה]])</f>
        <v>S.P.4E.TS.Ap.274</v>
      </c>
      <c r="C276" s="3" t="s">
        <v>55</v>
      </c>
      <c r="D276" s="3">
        <v>36</v>
      </c>
      <c r="E276" s="4">
        <v>274</v>
      </c>
      <c r="F276" s="3">
        <v>3602</v>
      </c>
      <c r="G276" s="3" t="s">
        <v>28</v>
      </c>
      <c r="H276" s="3">
        <f>VLOOKUP(Check[[#This Row],[טיפוס]],Tipus[],2,FALSE)</f>
        <v>4</v>
      </c>
      <c r="I276" s="3" t="str">
        <f>VLOOKUP(Check[[#This Row],[טיפוס]],Tipus[],3,FALSE)</f>
        <v>פרימיום</v>
      </c>
      <c r="J276" s="3" t="str">
        <f>VLOOKUP(Check[[#This Row],[טיפוס]],Tipus[],4,FALSE)</f>
        <v>C+D</v>
      </c>
      <c r="K276" s="3" t="str">
        <f>IF(Check[[#This Row],[סטטוס2]]="הולד","פנויה",Check[[#This Row],[סטטוס2]])</f>
        <v>מכורה</v>
      </c>
      <c r="L276" s="382" t="s">
        <v>130</v>
      </c>
      <c r="M276" s="382"/>
      <c r="N276" s="383"/>
      <c r="O276" s="383"/>
      <c r="P276" s="411"/>
      <c r="Q276" s="411"/>
      <c r="R276" s="383"/>
      <c r="S276" s="386">
        <v>44921</v>
      </c>
      <c r="T276" s="386" t="s">
        <v>1318</v>
      </c>
      <c r="U276" s="385" t="s">
        <v>1037</v>
      </c>
      <c r="V276" s="385" t="s">
        <v>1038</v>
      </c>
      <c r="W276" s="387"/>
    </row>
    <row r="277" spans="1:23" x14ac:dyDescent="0.2">
      <c r="A277" s="13" t="str">
        <f>_xlfn.CONCAT(VLOOKUP(Check[[#This Row],[סטטוס]],Sold,2,FALSE),IF(Check[[#This Row],[סטטוס]]="פנויה",IF(N277="גמר מלא סטנדרט",".GMS",IF(N277="גמר מלא טיוב חומרים",".GMC",IF(N277="גמר מינימלי",".GM",IF(N277="דירת שיווק",".DS","")))),""),".",VLOOKUP(Check[[#This Row],[טיפוס]],Tipus[],5,FALSE),".",VLOOKUP(Check[[#This Row],[מגדל]],Tower,2,FALSE),".Ap.",Check[[#This Row],[מספר דירה]])</f>
        <v>O.P.4F.TS.Ap.275</v>
      </c>
      <c r="B277" s="13" t="str">
        <f>_xlfn.CONCAT(VLOOKUP(Check[[#This Row],[סטטוס]],Sold,2,FALSE),IF(Check[[#This Row],[סטטוס]]="פנויה",IF(N277="גמר מלא סטנדרט",".GMS",IF(N277="גמר מלא טיוב חומרים",".GMC",IF(N277="גמר מינימלי",".GM",IF(N277="דירת שיווק",".DS","")))),""),IF(M277="זומן לטרום",".ZLT",IF(M277="טרום מסירה",".TM",IF(M277="טרום מסירה מהנדס",".TMM",IF(M277="מסירת חזקה",".MH",IF(M277="מסירת חזקה מהנדס",".MHM",""))))),".",VLOOKUP(Check[[#This Row],[טיפוס]],Tipus[],5,FALSE),".",VLOOKUP(Check[[#This Row],[מגדל]],Tower,2,FALSE),".Ap.",Check[[#This Row],[מספר דירה]])</f>
        <v>O.P.4F.TS.Ap.275</v>
      </c>
      <c r="C277" s="3" t="s">
        <v>55</v>
      </c>
      <c r="D277" s="3">
        <v>36</v>
      </c>
      <c r="E277" s="4">
        <v>275</v>
      </c>
      <c r="F277" s="3">
        <v>3603</v>
      </c>
      <c r="G277" s="3" t="s">
        <v>29</v>
      </c>
      <c r="H277" s="3">
        <f>VLOOKUP(Check[[#This Row],[טיפוס]],Tipus[],2,FALSE)</f>
        <v>4</v>
      </c>
      <c r="I277" s="3" t="str">
        <f>VLOOKUP(Check[[#This Row],[טיפוס]],Tipus[],3,FALSE)</f>
        <v>פרימיום</v>
      </c>
      <c r="J277" s="3" t="str">
        <f>VLOOKUP(Check[[#This Row],[טיפוס]],Tipus[],4,FALSE)</f>
        <v>A (P)</v>
      </c>
      <c r="K277" s="3" t="str">
        <f>IF(Check[[#This Row],[סטטוס2]]="הולד","פנויה",Check[[#This Row],[סטטוס2]])</f>
        <v>בעלים</v>
      </c>
      <c r="L277" s="382" t="s">
        <v>91</v>
      </c>
      <c r="M277" s="382"/>
      <c r="N277" s="383"/>
      <c r="O277" s="383"/>
      <c r="P277" s="418"/>
      <c r="Q277" s="418"/>
      <c r="R277" s="400"/>
      <c r="S277" s="384">
        <v>44040</v>
      </c>
      <c r="T277" s="384" t="s">
        <v>230</v>
      </c>
      <c r="U277" s="385" t="s">
        <v>483</v>
      </c>
      <c r="V277" s="385" t="s">
        <v>484</v>
      </c>
      <c r="W277" s="385" t="s">
        <v>214</v>
      </c>
    </row>
    <row r="278" spans="1:23" x14ac:dyDescent="0.2">
      <c r="A278" s="13" t="str">
        <f>_xlfn.CONCAT(VLOOKUP(Check[[#This Row],[סטטוס]],Sold,2,FALSE),IF(Check[[#This Row],[סטטוס]]="פנויה",IF(N278="גמר מלא סטנדרט",".GMS",IF(N278="גמר מלא טיוב חומרים",".GMC",IF(N278="גמר מינימלי",".GM",IF(N278="דירת שיווק",".DS","")))),""),".",VLOOKUP(Check[[#This Row],[טיפוס]],Tipus[],5,FALSE),".",VLOOKUP(Check[[#This Row],[מגדל]],Tower,2,FALSE),".Ap.",Check[[#This Row],[מספר דירה]])</f>
        <v>S.P.5AP.TS.Ap.276</v>
      </c>
      <c r="B278" s="13" t="str">
        <f>_xlfn.CONCAT(VLOOKUP(Check[[#This Row],[סטטוס]],Sold,2,FALSE),IF(Check[[#This Row],[סטטוס]]="פנויה",IF(N278="גמר מלא סטנדרט",".GMS",IF(N278="גמר מלא טיוב חומרים",".GMC",IF(N278="גמר מינימלי",".GM",IF(N278="דירת שיווק",".DS","")))),""),IF(M278="זומן לטרום",".ZLT",IF(M278="טרום מסירה",".TM",IF(M278="טרום מסירה מהנדס",".TMM",IF(M278="מסירת חזקה",".MH",IF(M278="מסירת חזקה מהנדס",".MHM",""))))),".",VLOOKUP(Check[[#This Row],[טיפוס]],Tipus[],5,FALSE),".",VLOOKUP(Check[[#This Row],[מגדל]],Tower,2,FALSE),".Ap.",Check[[#This Row],[מספר דירה]])</f>
        <v>S.P.5AP.TS.Ap.276</v>
      </c>
      <c r="C278" s="3" t="s">
        <v>55</v>
      </c>
      <c r="D278" s="3">
        <v>36</v>
      </c>
      <c r="E278" s="4">
        <v>276</v>
      </c>
      <c r="F278" s="3">
        <v>3604</v>
      </c>
      <c r="G278" s="3" t="s">
        <v>30</v>
      </c>
      <c r="H278" s="3">
        <f>VLOOKUP(Check[[#This Row],[טיפוס]],Tipus[],2,FALSE)</f>
        <v>5</v>
      </c>
      <c r="I278" s="3" t="str">
        <f>VLOOKUP(Check[[#This Row],[טיפוס]],Tipus[],3,FALSE)</f>
        <v>פרימיום</v>
      </c>
      <c r="J278" s="3" t="str">
        <f>VLOOKUP(Check[[#This Row],[טיפוס]],Tipus[],4,FALSE)</f>
        <v>J</v>
      </c>
      <c r="K278" s="3" t="s">
        <v>130</v>
      </c>
      <c r="L278" s="382" t="s">
        <v>130</v>
      </c>
      <c r="M278" s="382"/>
      <c r="N278" t="s">
        <v>1366</v>
      </c>
      <c r="O278" s="404" t="s">
        <v>1388</v>
      </c>
      <c r="P278" s="413" t="s">
        <v>1384</v>
      </c>
      <c r="Q278" s="413"/>
      <c r="R278" s="400"/>
      <c r="S278" s="384"/>
      <c r="T278" s="384" t="s">
        <v>214</v>
      </c>
      <c r="U278" s="385"/>
      <c r="V278" s="385"/>
      <c r="W278" s="387"/>
    </row>
    <row r="279" spans="1:23" x14ac:dyDescent="0.2">
      <c r="A279" s="13" t="str">
        <f>_xlfn.CONCAT(VLOOKUP(Check[[#This Row],[סטטוס]],Sold,2,FALSE),IF(Check[[#This Row],[סטטוס]]="פנויה",IF(N279="גמר מלא סטנדרט",".GMS",IF(N279="גמר מלא טיוב חומרים",".GMC",IF(N279="גמר מינימלי",".GM",IF(N279="דירת שיווק",".DS","")))),""),".",VLOOKUP(Check[[#This Row],[טיפוס]],Tipus[],5,FALSE),".",VLOOKUP(Check[[#This Row],[מגדל]],Tower,2,FALSE),".Ap.",Check[[#This Row],[מספר דירה]])</f>
        <v>V.GM.P.5BP.TS.Ap.277</v>
      </c>
      <c r="B279" s="13" t="str">
        <f>_xlfn.CONCAT(VLOOKUP(Check[[#This Row],[סטטוס]],Sold,2,FALSE),IF(Check[[#This Row],[סטטוס]]="פנויה",IF(N279="גמר מלא סטנדרט",".GMS",IF(N279="גמר מלא טיוב חומרים",".GMC",IF(N279="גמר מינימלי",".GM",IF(N279="דירת שיווק",".DS","")))),""),IF(M279="זומן לטרום",".ZLT",IF(M279="טרום מסירה",".TM",IF(M279="טרום מסירה מהנדס",".TMM",IF(M279="מסירת חזקה",".MH",IF(M279="מסירת חזקה מהנדס",".MHM",""))))),".",VLOOKUP(Check[[#This Row],[טיפוס]],Tipus[],5,FALSE),".",VLOOKUP(Check[[#This Row],[מגדל]],Tower,2,FALSE),".Ap.",Check[[#This Row],[מספר דירה]])</f>
        <v>V.GM.P.5BP.TS.Ap.277</v>
      </c>
      <c r="C279" s="3" t="s">
        <v>55</v>
      </c>
      <c r="D279" s="3">
        <v>36</v>
      </c>
      <c r="E279" s="4">
        <v>277</v>
      </c>
      <c r="F279" s="3">
        <v>3605</v>
      </c>
      <c r="G279" s="3" t="s">
        <v>31</v>
      </c>
      <c r="H279" s="3">
        <f>VLOOKUP(Check[[#This Row],[טיפוס]],Tipus[],2,FALSE)</f>
        <v>5</v>
      </c>
      <c r="I279" s="3" t="str">
        <f>VLOOKUP(Check[[#This Row],[טיפוס]],Tipus[],3,FALSE)</f>
        <v>פרימיום</v>
      </c>
      <c r="J279" s="3" t="str">
        <f>VLOOKUP(Check[[#This Row],[טיפוס]],Tipus[],4,FALSE)</f>
        <v>H</v>
      </c>
      <c r="K279" s="3" t="str">
        <f>IF(Check[[#This Row],[סטטוס2]]="הולד","פנויה",Check[[#This Row],[סטטוס2]])</f>
        <v>פנויה</v>
      </c>
      <c r="L279" s="382" t="s">
        <v>108</v>
      </c>
      <c r="M279" s="382"/>
      <c r="N279" t="s">
        <v>1366</v>
      </c>
      <c r="O279" s="404" t="s">
        <v>1388</v>
      </c>
      <c r="P279" s="413" t="s">
        <v>1384</v>
      </c>
      <c r="Q279" s="413"/>
      <c r="R279" s="400"/>
      <c r="S279" s="384"/>
      <c r="T279" s="384" t="s">
        <v>214</v>
      </c>
      <c r="U279" s="385"/>
      <c r="V279" s="385"/>
      <c r="W279" s="387"/>
    </row>
    <row r="280" spans="1:23" x14ac:dyDescent="0.2">
      <c r="A280" s="13" t="str">
        <f>_xlfn.CONCAT(VLOOKUP(Check[[#This Row],[סטטוס]],Sold,2,FALSE),IF(Check[[#This Row],[סטטוס]]="פנויה",IF(N280="גמר מלא סטנדרט",".GMS",IF(N280="גמר מלא טיוב חומרים",".GMC",IF(N280="גמר מינימלי",".GM",IF(N280="דירת שיווק",".DS","")))),""),".",VLOOKUP(Check[[#This Row],[טיפוס]],Tipus[],5,FALSE),".",VLOOKUP(Check[[#This Row],[מגדל]],Tower,2,FALSE),".Ap.",Check[[#This Row],[מספר דירה]])</f>
        <v>S.P.4D.TS.Ap.278</v>
      </c>
      <c r="B280" s="13" t="str">
        <f>_xlfn.CONCAT(VLOOKUP(Check[[#This Row],[סטטוס]],Sold,2,FALSE),IF(Check[[#This Row],[סטטוס]]="פנויה",IF(N280="גמר מלא סטנדרט",".GMS",IF(N280="גמר מלא טיוב חומרים",".GMC",IF(N280="גמר מינימלי",".GM",IF(N280="דירת שיווק",".DS","")))),""),IF(M280="זומן לטרום",".ZLT",IF(M280="טרום מסירה",".TM",IF(M280="טרום מסירה מהנדס",".TMM",IF(M280="מסירת חזקה",".MH",IF(M280="מסירת חזקה מהנדס",".MHM",""))))),".",VLOOKUP(Check[[#This Row],[טיפוס]],Tipus[],5,FALSE),".",VLOOKUP(Check[[#This Row],[מגדל]],Tower,2,FALSE),".Ap.",Check[[#This Row],[מספר דירה]])</f>
        <v>S.P.4D.TS.Ap.278</v>
      </c>
      <c r="C280" s="3" t="s">
        <v>55</v>
      </c>
      <c r="D280" s="3">
        <v>37</v>
      </c>
      <c r="E280" s="4">
        <v>278</v>
      </c>
      <c r="F280" s="3">
        <v>3701</v>
      </c>
      <c r="G280" s="3" t="s">
        <v>27</v>
      </c>
      <c r="H280" s="3">
        <f>VLOOKUP(Check[[#This Row],[טיפוס]],Tipus[],2,FALSE)</f>
        <v>4</v>
      </c>
      <c r="I280" s="3" t="str">
        <f>VLOOKUP(Check[[#This Row],[טיפוס]],Tipus[],3,FALSE)</f>
        <v>פרימיום</v>
      </c>
      <c r="J280" s="3" t="str">
        <f>VLOOKUP(Check[[#This Row],[טיפוס]],Tipus[],4,FALSE)</f>
        <v>G (P)</v>
      </c>
      <c r="K280" s="3" t="str">
        <f>IF(Check[[#This Row],[סטטוס2]]="הולד","פנויה",Check[[#This Row],[סטטוס2]])</f>
        <v>מכורה</v>
      </c>
      <c r="L280" s="382" t="s">
        <v>130</v>
      </c>
      <c r="M280" s="382"/>
      <c r="N280" s="383"/>
      <c r="O280" s="400"/>
      <c r="P280" s="418"/>
      <c r="Q280" s="418"/>
      <c r="R280" s="400"/>
      <c r="S280" s="386">
        <v>44927</v>
      </c>
      <c r="T280" s="386" t="s">
        <v>1319</v>
      </c>
      <c r="U280" s="385" t="s">
        <v>1039</v>
      </c>
      <c r="V280" s="385" t="s">
        <v>1040</v>
      </c>
      <c r="W280" s="387"/>
    </row>
    <row r="281" spans="1:23" x14ac:dyDescent="0.2">
      <c r="A281" s="13" t="str">
        <f>_xlfn.CONCAT(VLOOKUP(Check[[#This Row],[סטטוס]],Sold,2,FALSE),IF(Check[[#This Row],[סטטוס]]="פנויה",IF(N281="גמר מלא סטנדרט",".GMS",IF(N281="גמר מלא טיוב חומרים",".GMC",IF(N281="גמר מינימלי",".GM",IF(N281="דירת שיווק",".DS","")))),""),".",VLOOKUP(Check[[#This Row],[טיפוס]],Tipus[],5,FALSE),".",VLOOKUP(Check[[#This Row],[מגדל]],Tower,2,FALSE),".Ap.",Check[[#This Row],[מספר דירה]])</f>
        <v>S.P.4E.TS.Ap.279</v>
      </c>
      <c r="B281" s="13" t="str">
        <f>_xlfn.CONCAT(VLOOKUP(Check[[#This Row],[סטטוס]],Sold,2,FALSE),IF(Check[[#This Row],[סטטוס]]="פנויה",IF(N281="גמר מלא סטנדרט",".GMS",IF(N281="גמר מלא טיוב חומרים",".GMC",IF(N281="גמר מינימלי",".GM",IF(N281="דירת שיווק",".DS","")))),""),IF(M281="זומן לטרום",".ZLT",IF(M281="טרום מסירה",".TM",IF(M281="טרום מסירה מהנדס",".TMM",IF(M281="מסירת חזקה",".MH",IF(M281="מסירת חזקה מהנדס",".MHM",""))))),".",VLOOKUP(Check[[#This Row],[טיפוס]],Tipus[],5,FALSE),".",VLOOKUP(Check[[#This Row],[מגדל]],Tower,2,FALSE),".Ap.",Check[[#This Row],[מספר דירה]])</f>
        <v>S.P.4E.TS.Ap.279</v>
      </c>
      <c r="C281" s="3" t="s">
        <v>55</v>
      </c>
      <c r="D281" s="3">
        <v>37</v>
      </c>
      <c r="E281" s="4">
        <v>279</v>
      </c>
      <c r="F281" s="3">
        <v>3702</v>
      </c>
      <c r="G281" s="3" t="s">
        <v>28</v>
      </c>
      <c r="H281" s="3">
        <f>VLOOKUP(Check[[#This Row],[טיפוס]],Tipus[],2,FALSE)</f>
        <v>4</v>
      </c>
      <c r="I281" s="3" t="str">
        <f>VLOOKUP(Check[[#This Row],[טיפוס]],Tipus[],3,FALSE)</f>
        <v>פרימיום</v>
      </c>
      <c r="J281" s="3" t="str">
        <f>VLOOKUP(Check[[#This Row],[טיפוס]],Tipus[],4,FALSE)</f>
        <v>C+D</v>
      </c>
      <c r="K281" s="3" t="str">
        <f>IF(Check[[#This Row],[סטטוס2]]="הולד","פנויה",Check[[#This Row],[סטטוס2]])</f>
        <v>מכורה</v>
      </c>
      <c r="L281" s="382" t="s">
        <v>130</v>
      </c>
      <c r="M281" s="382"/>
      <c r="N281" s="383"/>
      <c r="O281" s="400"/>
      <c r="P281" s="418"/>
      <c r="Q281" s="418"/>
      <c r="R281" s="400"/>
      <c r="S281" s="386">
        <v>45036</v>
      </c>
      <c r="T281" s="386" t="s">
        <v>1146</v>
      </c>
      <c r="U281" s="385" t="s">
        <v>1041</v>
      </c>
      <c r="V281" s="385" t="s">
        <v>1042</v>
      </c>
      <c r="W281" s="388" t="s">
        <v>1043</v>
      </c>
    </row>
    <row r="282" spans="1:23" x14ac:dyDescent="0.2">
      <c r="A282" s="13" t="str">
        <f>_xlfn.CONCAT(VLOOKUP(Check[[#This Row],[סטטוס]],Sold,2,FALSE),IF(Check[[#This Row],[סטטוס]]="פנויה",IF(N282="גמר מלא סטנדרט",".GMS",IF(N282="גמר מלא טיוב חומרים",".GMC",IF(N282="גמר מינימלי",".GM",IF(N282="דירת שיווק",".DS","")))),""),".",VLOOKUP(Check[[#This Row],[טיפוס]],Tipus[],5,FALSE),".",VLOOKUP(Check[[#This Row],[מגדל]],Tower,2,FALSE),".Ap.",Check[[#This Row],[מספר דירה]])</f>
        <v>S.P.4F.TS.Ap.280</v>
      </c>
      <c r="B282" s="13" t="str">
        <f>_xlfn.CONCAT(VLOOKUP(Check[[#This Row],[סטטוס]],Sold,2,FALSE),IF(Check[[#This Row],[סטטוס]]="פנויה",IF(N282="גמר מלא סטנדרט",".GMS",IF(N282="גמר מלא טיוב חומרים",".GMC",IF(N282="גמר מינימלי",".GM",IF(N282="דירת שיווק",".DS","")))),""),IF(M282="זומן לטרום",".ZLT",IF(M282="טרום מסירה",".TM",IF(M282="טרום מסירה מהנדס",".TMM",IF(M282="מסירת חזקה",".MH",IF(M282="מסירת חזקה מהנדס",".MHM",""))))),".",VLOOKUP(Check[[#This Row],[טיפוס]],Tipus[],5,FALSE),".",VLOOKUP(Check[[#This Row],[מגדל]],Tower,2,FALSE),".Ap.",Check[[#This Row],[מספר דירה]])</f>
        <v>S.P.4F.TS.Ap.280</v>
      </c>
      <c r="C282" s="3" t="s">
        <v>55</v>
      </c>
      <c r="D282" s="3">
        <v>37</v>
      </c>
      <c r="E282" s="4">
        <v>280</v>
      </c>
      <c r="F282" s="3">
        <v>3703</v>
      </c>
      <c r="G282" s="3" t="s">
        <v>29</v>
      </c>
      <c r="H282" s="3">
        <f>VLOOKUP(Check[[#This Row],[טיפוס]],Tipus[],2,FALSE)</f>
        <v>4</v>
      </c>
      <c r="I282" s="3" t="str">
        <f>VLOOKUP(Check[[#This Row],[טיפוס]],Tipus[],3,FALSE)</f>
        <v>פרימיום</v>
      </c>
      <c r="J282" s="3" t="str">
        <f>VLOOKUP(Check[[#This Row],[טיפוס]],Tipus[],4,FALSE)</f>
        <v>A (P)</v>
      </c>
      <c r="K282" s="3" t="str">
        <f>IF(Check[[#This Row],[סטטוס2]]="הולד","פנויה",Check[[#This Row],[סטטוס2]])</f>
        <v>מכורה</v>
      </c>
      <c r="L282" s="382" t="s">
        <v>130</v>
      </c>
      <c r="M282" s="382"/>
      <c r="N282" s="383"/>
      <c r="O282" s="400"/>
      <c r="P282" s="418"/>
      <c r="Q282" s="418"/>
      <c r="R282" s="400"/>
      <c r="S282" s="386">
        <v>44426</v>
      </c>
      <c r="T282" s="386" t="s">
        <v>1147</v>
      </c>
      <c r="U282" s="385" t="s">
        <v>1044</v>
      </c>
      <c r="V282" s="385" t="s">
        <v>1045</v>
      </c>
      <c r="W282" s="387"/>
    </row>
    <row r="283" spans="1:23" x14ac:dyDescent="0.2">
      <c r="A283" s="13" t="str">
        <f>_xlfn.CONCAT(VLOOKUP(Check[[#This Row],[סטטוס]],Sold,2,FALSE),IF(Check[[#This Row],[סטטוס]]="פנויה",IF(N283="גמר מלא סטנדרט",".GMS",IF(N283="גמר מלא טיוב חומרים",".GMC",IF(N283="גמר מינימלי",".GM",IF(N283="דירת שיווק",".DS","")))),""),".",VLOOKUP(Check[[#This Row],[טיפוס]],Tipus[],5,FALSE),".",VLOOKUP(Check[[#This Row],[מגדל]],Tower,2,FALSE),".Ap.",Check[[#This Row],[מספר דירה]])</f>
        <v>O.P.5AP.TS.Ap.281</v>
      </c>
      <c r="B283" s="13" t="str">
        <f>_xlfn.CONCAT(VLOOKUP(Check[[#This Row],[סטטוס]],Sold,2,FALSE),IF(Check[[#This Row],[סטטוס]]="פנויה",IF(N283="גמר מלא סטנדרט",".GMS",IF(N283="גמר מלא טיוב חומרים",".GMC",IF(N283="גמר מינימלי",".GM",IF(N283="דירת שיווק",".DS","")))),""),IF(M283="זומן לטרום",".ZLT",IF(M283="טרום מסירה",".TM",IF(M283="טרום מסירה מהנדס",".TMM",IF(M283="מסירת חזקה",".MH",IF(M283="מסירת חזקה מהנדס",".MHM",""))))),".",VLOOKUP(Check[[#This Row],[טיפוס]],Tipus[],5,FALSE),".",VLOOKUP(Check[[#This Row],[מגדל]],Tower,2,FALSE),".Ap.",Check[[#This Row],[מספר דירה]])</f>
        <v>O.P.5AP.TS.Ap.281</v>
      </c>
      <c r="C283" s="3" t="s">
        <v>55</v>
      </c>
      <c r="D283" s="3">
        <v>37</v>
      </c>
      <c r="E283" s="4">
        <v>281</v>
      </c>
      <c r="F283" s="3">
        <v>3704</v>
      </c>
      <c r="G283" s="3" t="s">
        <v>30</v>
      </c>
      <c r="H283" s="3">
        <f>VLOOKUP(Check[[#This Row],[טיפוס]],Tipus[],2,FALSE)</f>
        <v>5</v>
      </c>
      <c r="I283" s="3" t="str">
        <f>VLOOKUP(Check[[#This Row],[טיפוס]],Tipus[],3,FALSE)</f>
        <v>פרימיום</v>
      </c>
      <c r="J283" s="3" t="str">
        <f>VLOOKUP(Check[[#This Row],[טיפוס]],Tipus[],4,FALSE)</f>
        <v>J</v>
      </c>
      <c r="K283" s="3" t="str">
        <f>IF(Check[[#This Row],[סטטוס2]]="הולד","פנויה",Check[[#This Row],[סטטוס2]])</f>
        <v>בעלים</v>
      </c>
      <c r="L283" s="382" t="s">
        <v>91</v>
      </c>
      <c r="M283" s="382"/>
      <c r="N283" s="383"/>
      <c r="O283" s="383"/>
      <c r="P283" s="411"/>
      <c r="Q283" s="411"/>
      <c r="R283" s="383"/>
      <c r="S283" s="384">
        <v>44040</v>
      </c>
      <c r="T283" s="384" t="s">
        <v>355</v>
      </c>
      <c r="U283" s="385" t="s">
        <v>485</v>
      </c>
      <c r="V283" s="385" t="s">
        <v>486</v>
      </c>
      <c r="W283" s="385" t="s">
        <v>214</v>
      </c>
    </row>
    <row r="284" spans="1:23" x14ac:dyDescent="0.2">
      <c r="A284" s="13" t="str">
        <f>_xlfn.CONCAT(VLOOKUP(Check[[#This Row],[סטטוס]],Sold,2,FALSE),IF(Check[[#This Row],[סטטוס]]="פנויה",IF(N284="גמר מלא סטנדרט",".GMS",IF(N284="גמר מלא טיוב חומרים",".GMC",IF(N284="גמר מינימלי",".GM",IF(N284="דירת שיווק",".DS","")))),""),".",VLOOKUP(Check[[#This Row],[טיפוס]],Tipus[],5,FALSE),".",VLOOKUP(Check[[#This Row],[מגדל]],Tower,2,FALSE),".Ap.",Check[[#This Row],[מספר דירה]])</f>
        <v>O.P.5BP.TS.Ap.282</v>
      </c>
      <c r="B284" s="13" t="str">
        <f>_xlfn.CONCAT(VLOOKUP(Check[[#This Row],[סטטוס]],Sold,2,FALSE),IF(Check[[#This Row],[סטטוס]]="פנויה",IF(N284="גמר מלא סטנדרט",".GMS",IF(N284="גמר מלא טיוב חומרים",".GMC",IF(N284="גמר מינימלי",".GM",IF(N284="דירת שיווק",".DS","")))),""),IF(M284="זומן לטרום",".ZLT",IF(M284="טרום מסירה",".TM",IF(M284="טרום מסירה מהנדס",".TMM",IF(M284="מסירת חזקה",".MH",IF(M284="מסירת חזקה מהנדס",".MHM",""))))),".",VLOOKUP(Check[[#This Row],[טיפוס]],Tipus[],5,FALSE),".",VLOOKUP(Check[[#This Row],[מגדל]],Tower,2,FALSE),".Ap.",Check[[#This Row],[מספר דירה]])</f>
        <v>O.P.5BP.TS.Ap.282</v>
      </c>
      <c r="C284" s="3" t="s">
        <v>55</v>
      </c>
      <c r="D284" s="3">
        <v>37</v>
      </c>
      <c r="E284" s="4">
        <v>282</v>
      </c>
      <c r="F284" s="3">
        <v>3705</v>
      </c>
      <c r="G284" s="3" t="s">
        <v>31</v>
      </c>
      <c r="H284" s="3">
        <f>VLOOKUP(Check[[#This Row],[טיפוס]],Tipus[],2,FALSE)</f>
        <v>5</v>
      </c>
      <c r="I284" s="3" t="str">
        <f>VLOOKUP(Check[[#This Row],[טיפוס]],Tipus[],3,FALSE)</f>
        <v>פרימיום</v>
      </c>
      <c r="J284" s="3" t="str">
        <f>VLOOKUP(Check[[#This Row],[טיפוס]],Tipus[],4,FALSE)</f>
        <v>H</v>
      </c>
      <c r="K284" s="3" t="str">
        <f>IF(Check[[#This Row],[סטטוס2]]="הולד","פנויה",Check[[#This Row],[סטטוס2]])</f>
        <v>בעלים</v>
      </c>
      <c r="L284" s="382" t="s">
        <v>91</v>
      </c>
      <c r="M284" s="382"/>
      <c r="N284" s="383"/>
      <c r="O284" s="383"/>
      <c r="P284" s="411"/>
      <c r="Q284" s="411"/>
      <c r="R284" s="383"/>
      <c r="S284" s="384">
        <v>44040</v>
      </c>
      <c r="T284" s="384" t="s">
        <v>1223</v>
      </c>
      <c r="U284" s="385" t="s">
        <v>487</v>
      </c>
      <c r="V284" s="385" t="s">
        <v>488</v>
      </c>
      <c r="W284" s="385" t="s">
        <v>464</v>
      </c>
    </row>
    <row r="285" spans="1:23" x14ac:dyDescent="0.2">
      <c r="A285" s="13" t="str">
        <f>_xlfn.CONCAT(VLOOKUP(Check[[#This Row],[סטטוס]],Sold,2,FALSE),IF(Check[[#This Row],[סטטוס]]="פנויה",IF(N285="גמר מלא סטנדרט",".GMS",IF(N285="גמר מלא טיוב חומרים",".GMC",IF(N285="גמר מינימלי",".GM",IF(N285="דירת שיווק",".DS","")))),""),".",VLOOKUP(Check[[#This Row],[טיפוס]],Tipus[],5,FALSE),".",VLOOKUP(Check[[#This Row],[מגדל]],Tower,2,FALSE),".Ap.",Check[[#This Row],[מספר דירה]])</f>
        <v>S.P.4D.TS.Ap.283</v>
      </c>
      <c r="B285" s="13" t="str">
        <f>_xlfn.CONCAT(VLOOKUP(Check[[#This Row],[סטטוס]],Sold,2,FALSE),IF(Check[[#This Row],[סטטוס]]="פנויה",IF(N285="גמר מלא סטנדרט",".GMS",IF(N285="גמר מלא טיוב חומרים",".GMC",IF(N285="גמר מינימלי",".GM",IF(N285="דירת שיווק",".DS","")))),""),IF(M285="זומן לטרום",".ZLT",IF(M285="טרום מסירה",".TM",IF(M285="טרום מסירה מהנדס",".TMM",IF(M285="מסירת חזקה",".MH",IF(M285="מסירת חזקה מהנדס",".MHM",""))))),".",VLOOKUP(Check[[#This Row],[טיפוס]],Tipus[],5,FALSE),".",VLOOKUP(Check[[#This Row],[מגדל]],Tower,2,FALSE),".Ap.",Check[[#This Row],[מספר דירה]])</f>
        <v>S.P.4D.TS.Ap.283</v>
      </c>
      <c r="C285" s="3" t="s">
        <v>55</v>
      </c>
      <c r="D285" s="3">
        <v>38</v>
      </c>
      <c r="E285" s="4">
        <v>283</v>
      </c>
      <c r="F285" s="3">
        <v>3801</v>
      </c>
      <c r="G285" s="3" t="s">
        <v>27</v>
      </c>
      <c r="H285" s="3">
        <f>VLOOKUP(Check[[#This Row],[טיפוס]],Tipus[],2,FALSE)</f>
        <v>4</v>
      </c>
      <c r="I285" s="3" t="str">
        <f>VLOOKUP(Check[[#This Row],[טיפוס]],Tipus[],3,FALSE)</f>
        <v>פרימיום</v>
      </c>
      <c r="J285" s="3" t="str">
        <f>VLOOKUP(Check[[#This Row],[טיפוס]],Tipus[],4,FALSE)</f>
        <v>G (P)</v>
      </c>
      <c r="K285" s="3" t="str">
        <f>IF(Check[[#This Row],[סטטוס2]]="הולד","פנויה",Check[[#This Row],[סטטוס2]])</f>
        <v>מכורה</v>
      </c>
      <c r="L285" s="382" t="s">
        <v>130</v>
      </c>
      <c r="M285" s="382"/>
      <c r="N285" s="383"/>
      <c r="O285" s="383"/>
      <c r="P285" s="411"/>
      <c r="Q285" s="411"/>
      <c r="R285" s="383"/>
      <c r="S285" s="384">
        <v>45389</v>
      </c>
      <c r="T285" s="384" t="s">
        <v>1216</v>
      </c>
      <c r="U285" s="385"/>
      <c r="V285" s="385"/>
      <c r="W285" s="387"/>
    </row>
    <row r="286" spans="1:23" x14ac:dyDescent="0.2">
      <c r="A286" s="13" t="str">
        <f>_xlfn.CONCAT(VLOOKUP(Check[[#This Row],[סטטוס]],Sold,2,FALSE),IF(Check[[#This Row],[סטטוס]]="פנויה",IF(N286="גמר מלא סטנדרט",".GMS",IF(N286="גמר מלא טיוב חומרים",".GMC",IF(N286="גמר מינימלי",".GM",IF(N286="דירת שיווק",".DS","")))),""),".",VLOOKUP(Check[[#This Row],[טיפוס]],Tipus[],5,FALSE),".",VLOOKUP(Check[[#This Row],[מגדל]],Tower,2,FALSE),".Ap.",Check[[#This Row],[מספר דירה]])</f>
        <v>S.P.4E.TS.Ap.284</v>
      </c>
      <c r="B286" s="13" t="str">
        <f>_xlfn.CONCAT(VLOOKUP(Check[[#This Row],[סטטוס]],Sold,2,FALSE),IF(Check[[#This Row],[סטטוס]]="פנויה",IF(N286="גמר מלא סטנדרט",".GMS",IF(N286="גמר מלא טיוב חומרים",".GMC",IF(N286="גמר מינימלי",".GM",IF(N286="דירת שיווק",".DS","")))),""),IF(M286="זומן לטרום",".ZLT",IF(M286="טרום מסירה",".TM",IF(M286="טרום מסירה מהנדס",".TMM",IF(M286="מסירת חזקה",".MH",IF(M286="מסירת חזקה מהנדס",".MHM",""))))),".",VLOOKUP(Check[[#This Row],[טיפוס]],Tipus[],5,FALSE),".",VLOOKUP(Check[[#This Row],[מגדל]],Tower,2,FALSE),".Ap.",Check[[#This Row],[מספר דירה]])</f>
        <v>S.P.4E.TS.Ap.284</v>
      </c>
      <c r="C286" s="3" t="s">
        <v>55</v>
      </c>
      <c r="D286" s="3">
        <v>38</v>
      </c>
      <c r="E286" s="4">
        <v>284</v>
      </c>
      <c r="F286" s="3">
        <v>3802</v>
      </c>
      <c r="G286" s="3" t="s">
        <v>28</v>
      </c>
      <c r="H286" s="3">
        <f>VLOOKUP(Check[[#This Row],[טיפוס]],Tipus[],2,FALSE)</f>
        <v>4</v>
      </c>
      <c r="I286" s="3" t="str">
        <f>VLOOKUP(Check[[#This Row],[טיפוס]],Tipus[],3,FALSE)</f>
        <v>פרימיום</v>
      </c>
      <c r="J286" s="3" t="str">
        <f>VLOOKUP(Check[[#This Row],[טיפוס]],Tipus[],4,FALSE)</f>
        <v>C+D</v>
      </c>
      <c r="K286" s="3" t="str">
        <f>IF(Check[[#This Row],[סטטוס2]]="הולד","פנויה",Check[[#This Row],[סטטוס2]])</f>
        <v>מכורה</v>
      </c>
      <c r="L286" s="382" t="s">
        <v>130</v>
      </c>
      <c r="M286" s="382"/>
      <c r="N286" s="383" t="s">
        <v>1231</v>
      </c>
      <c r="O286" s="383"/>
      <c r="P286" s="411"/>
      <c r="Q286" s="411"/>
      <c r="R286" s="383"/>
      <c r="S286" s="386">
        <v>44500</v>
      </c>
      <c r="T286" s="386" t="s">
        <v>1320</v>
      </c>
      <c r="U286" s="385" t="s">
        <v>1046</v>
      </c>
      <c r="V286" s="385" t="s">
        <v>1047</v>
      </c>
      <c r="W286" s="387"/>
    </row>
    <row r="287" spans="1:23" x14ac:dyDescent="0.2">
      <c r="A287" s="13" t="str">
        <f>_xlfn.CONCAT(VLOOKUP(Check[[#This Row],[סטטוס]],Sold,2,FALSE),IF(Check[[#This Row],[סטטוס]]="פנויה",IF(N287="גמר מלא סטנדרט",".GMS",IF(N287="גמר מלא טיוב חומרים",".GMC",IF(N287="גמר מינימלי",".GM",IF(N287="דירת שיווק",".DS","")))),""),".",VLOOKUP(Check[[#This Row],[טיפוס]],Tipus[],5,FALSE),".",VLOOKUP(Check[[#This Row],[מגדל]],Tower,2,FALSE),".Ap.",Check[[#This Row],[מספר דירה]])</f>
        <v>S.P.4F.TS.Ap.285</v>
      </c>
      <c r="B287" s="13" t="str">
        <f>_xlfn.CONCAT(VLOOKUP(Check[[#This Row],[סטטוס]],Sold,2,FALSE),IF(Check[[#This Row],[סטטוס]]="פנויה",IF(N287="גמר מלא סטנדרט",".GMS",IF(N287="גמר מלא טיוב חומרים",".GMC",IF(N287="גמר מינימלי",".GM",IF(N287="דירת שיווק",".DS","")))),""),IF(M287="זומן לטרום",".ZLT",IF(M287="טרום מסירה",".TM",IF(M287="טרום מסירה מהנדס",".TMM",IF(M287="מסירת חזקה",".MH",IF(M287="מסירת חזקה מהנדס",".MHM",""))))),".",VLOOKUP(Check[[#This Row],[טיפוס]],Tipus[],5,FALSE),".",VLOOKUP(Check[[#This Row],[מגדל]],Tower,2,FALSE),".Ap.",Check[[#This Row],[מספר דירה]])</f>
        <v>S.P.4F.TS.Ap.285</v>
      </c>
      <c r="C287" s="3" t="s">
        <v>55</v>
      </c>
      <c r="D287" s="3">
        <v>38</v>
      </c>
      <c r="E287" s="4">
        <v>285</v>
      </c>
      <c r="F287" s="3">
        <v>3803</v>
      </c>
      <c r="G287" s="3" t="s">
        <v>29</v>
      </c>
      <c r="H287" s="3">
        <f>VLOOKUP(Check[[#This Row],[טיפוס]],Tipus[],2,FALSE)</f>
        <v>4</v>
      </c>
      <c r="I287" s="3" t="str">
        <f>VLOOKUP(Check[[#This Row],[טיפוס]],Tipus[],3,FALSE)</f>
        <v>פרימיום</v>
      </c>
      <c r="J287" s="3" t="str">
        <f>VLOOKUP(Check[[#This Row],[טיפוס]],Tipus[],4,FALSE)</f>
        <v>A (P)</v>
      </c>
      <c r="K287" s="3" t="str">
        <f>IF(Check[[#This Row],[סטטוס2]]="הולד","פנויה",Check[[#This Row],[סטטוס2]])</f>
        <v>מכורה</v>
      </c>
      <c r="L287" s="382" t="s">
        <v>130</v>
      </c>
      <c r="M287" s="382"/>
      <c r="N287" s="383" t="s">
        <v>1231</v>
      </c>
      <c r="O287" s="383"/>
      <c r="P287" s="411"/>
      <c r="Q287" s="411"/>
      <c r="R287" s="383"/>
      <c r="S287" s="386">
        <v>44500</v>
      </c>
      <c r="T287" s="386" t="s">
        <v>1320</v>
      </c>
      <c r="U287" s="385" t="s">
        <v>1048</v>
      </c>
      <c r="V287" s="385" t="s">
        <v>1049</v>
      </c>
      <c r="W287" s="387"/>
    </row>
    <row r="288" spans="1:23" x14ac:dyDescent="0.2">
      <c r="A288" s="13" t="str">
        <f>_xlfn.CONCAT(VLOOKUP(Check[[#This Row],[סטטוס]],Sold,2,FALSE),IF(Check[[#This Row],[סטטוס]]="פנויה",IF(N288="גמר מלא סטנדרט",".GMS",IF(N288="גמר מלא טיוב חומרים",".GMC",IF(N288="גמר מינימלי",".GM",IF(N288="דירת שיווק",".DS","")))),""),".",VLOOKUP(Check[[#This Row],[טיפוס]],Tipus[],5,FALSE),".",VLOOKUP(Check[[#This Row],[מגדל]],Tower,2,FALSE),".Ap.",Check[[#This Row],[מספר דירה]])</f>
        <v>O.P.5AP.TS.Ap.286</v>
      </c>
      <c r="B288" s="13" t="str">
        <f>_xlfn.CONCAT(VLOOKUP(Check[[#This Row],[סטטוס]],Sold,2,FALSE),IF(Check[[#This Row],[סטטוס]]="פנויה",IF(N288="גמר מלא סטנדרט",".GMS",IF(N288="גמר מלא טיוב חומרים",".GMC",IF(N288="גמר מינימלי",".GM",IF(N288="דירת שיווק",".DS","")))),""),IF(M288="זומן לטרום",".ZLT",IF(M288="טרום מסירה",".TM",IF(M288="טרום מסירה מהנדס",".TMM",IF(M288="מסירת חזקה",".MH",IF(M288="מסירת חזקה מהנדס",".MHM",""))))),".",VLOOKUP(Check[[#This Row],[טיפוס]],Tipus[],5,FALSE),".",VLOOKUP(Check[[#This Row],[מגדל]],Tower,2,FALSE),".Ap.",Check[[#This Row],[מספר דירה]])</f>
        <v>O.P.5AP.TS.Ap.286</v>
      </c>
      <c r="C288" s="3" t="s">
        <v>55</v>
      </c>
      <c r="D288" s="3">
        <v>38</v>
      </c>
      <c r="E288" s="4">
        <v>286</v>
      </c>
      <c r="F288" s="3">
        <v>3804</v>
      </c>
      <c r="G288" s="3" t="s">
        <v>30</v>
      </c>
      <c r="H288" s="3">
        <f>VLOOKUP(Check[[#This Row],[טיפוס]],Tipus[],2,FALSE)</f>
        <v>5</v>
      </c>
      <c r="I288" s="3" t="str">
        <f>VLOOKUP(Check[[#This Row],[טיפוס]],Tipus[],3,FALSE)</f>
        <v>פרימיום</v>
      </c>
      <c r="J288" s="3" t="str">
        <f>VLOOKUP(Check[[#This Row],[טיפוס]],Tipus[],4,FALSE)</f>
        <v>J</v>
      </c>
      <c r="K288" s="3" t="str">
        <f>IF(Check[[#This Row],[סטטוס2]]="הולד","פנויה",Check[[#This Row],[סטטוס2]])</f>
        <v>בעלים</v>
      </c>
      <c r="L288" s="382" t="s">
        <v>91</v>
      </c>
      <c r="M288" s="382"/>
      <c r="N288" s="383"/>
      <c r="O288" s="383"/>
      <c r="P288" s="411"/>
      <c r="Q288" s="411"/>
      <c r="R288" s="383"/>
      <c r="S288" s="384">
        <v>44040</v>
      </c>
      <c r="T288" s="384" t="s">
        <v>489</v>
      </c>
      <c r="U288" s="385" t="s">
        <v>490</v>
      </c>
      <c r="V288" s="385" t="s">
        <v>491</v>
      </c>
      <c r="W288" s="385" t="s">
        <v>436</v>
      </c>
    </row>
    <row r="289" spans="1:23" x14ac:dyDescent="0.2">
      <c r="A289" s="13" t="str">
        <f>_xlfn.CONCAT(VLOOKUP(Check[[#This Row],[סטטוס]],Sold,2,FALSE),IF(Check[[#This Row],[סטטוס]]="פנויה",IF(N289="גמר מלא סטנדרט",".GMS",IF(N289="גמר מלא טיוב חומרים",".GMC",IF(N289="גמר מינימלי",".GM",IF(N289="דירת שיווק",".DS","")))),""),".",VLOOKUP(Check[[#This Row],[טיפוס]],Tipus[],5,FALSE),".",VLOOKUP(Check[[#This Row],[מגדל]],Tower,2,FALSE),".Ap.",Check[[#This Row],[מספר דירה]])</f>
        <v>O.P.5BP.TS.Ap.287</v>
      </c>
      <c r="B289" s="13" t="str">
        <f>_xlfn.CONCAT(VLOOKUP(Check[[#This Row],[סטטוס]],Sold,2,FALSE),IF(Check[[#This Row],[סטטוס]]="פנויה",IF(N289="גמר מלא סטנדרט",".GMS",IF(N289="גמר מלא טיוב חומרים",".GMC",IF(N289="גמר מינימלי",".GM",IF(N289="דירת שיווק",".DS","")))),""),IF(M289="זומן לטרום",".ZLT",IF(M289="טרום מסירה",".TM",IF(M289="טרום מסירה מהנדס",".TMM",IF(M289="מסירת חזקה",".MH",IF(M289="מסירת חזקה מהנדס",".MHM",""))))),".",VLOOKUP(Check[[#This Row],[טיפוס]],Tipus[],5,FALSE),".",VLOOKUP(Check[[#This Row],[מגדל]],Tower,2,FALSE),".Ap.",Check[[#This Row],[מספר דירה]])</f>
        <v>O.P.5BP.TS.Ap.287</v>
      </c>
      <c r="C289" s="3" t="s">
        <v>55</v>
      </c>
      <c r="D289" s="3">
        <v>38</v>
      </c>
      <c r="E289" s="4">
        <v>287</v>
      </c>
      <c r="F289" s="3">
        <v>3805</v>
      </c>
      <c r="G289" s="3" t="s">
        <v>31</v>
      </c>
      <c r="H289" s="3">
        <f>VLOOKUP(Check[[#This Row],[טיפוס]],Tipus[],2,FALSE)</f>
        <v>5</v>
      </c>
      <c r="I289" s="3" t="str">
        <f>VLOOKUP(Check[[#This Row],[טיפוס]],Tipus[],3,FALSE)</f>
        <v>פרימיום</v>
      </c>
      <c r="J289" s="3" t="str">
        <f>VLOOKUP(Check[[#This Row],[טיפוס]],Tipus[],4,FALSE)</f>
        <v>H</v>
      </c>
      <c r="K289" s="3" t="str">
        <f>IF(Check[[#This Row],[סטטוס2]]="הולד","פנויה",Check[[#This Row],[סטטוס2]])</f>
        <v>בעלים</v>
      </c>
      <c r="L289" s="382" t="s">
        <v>91</v>
      </c>
      <c r="M289" s="382"/>
      <c r="N289" s="383"/>
      <c r="O289" s="383"/>
      <c r="P289" s="411"/>
      <c r="Q289" s="411"/>
      <c r="R289" s="383"/>
      <c r="S289" s="384">
        <v>44040</v>
      </c>
      <c r="T289" s="384" t="s">
        <v>492</v>
      </c>
      <c r="U289" s="385" t="s">
        <v>493</v>
      </c>
      <c r="V289" s="385" t="s">
        <v>494</v>
      </c>
      <c r="W289" s="385" t="s">
        <v>214</v>
      </c>
    </row>
    <row r="290" spans="1:23" x14ac:dyDescent="0.2">
      <c r="A290" s="13" t="str">
        <f>_xlfn.CONCAT(VLOOKUP(Check[[#This Row],[סטטוס]],Sold,2,FALSE),IF(Check[[#This Row],[סטטוס]]="פנויה",IF(N290="גמר מלא סטנדרט",".GMS",IF(N290="גמר מלא טיוב חומרים",".GMC",IF(N290="גמר מינימלי",".GM",IF(N290="דירת שיווק",".DS","")))),""),".",VLOOKUP(Check[[#This Row],[טיפוס]],Tipus[],5,FALSE),".",VLOOKUP(Check[[#This Row],[מגדל]],Tower,2,FALSE),".Ap.",Check[[#This Row],[מספר דירה]])</f>
        <v>S.P.4D.TS.Ap.288</v>
      </c>
      <c r="B290" s="13" t="str">
        <f>_xlfn.CONCAT(VLOOKUP(Check[[#This Row],[סטטוס]],Sold,2,FALSE),IF(Check[[#This Row],[סטטוס]]="פנויה",IF(N290="גמר מלא סטנדרט",".GMS",IF(N290="גמר מלא טיוב חומרים",".GMC",IF(N290="גמר מינימלי",".GM",IF(N290="דירת שיווק",".DS","")))),""),IF(M290="זומן לטרום",".ZLT",IF(M290="טרום מסירה",".TM",IF(M290="טרום מסירה מהנדס",".TMM",IF(M290="מסירת חזקה",".MH",IF(M290="מסירת חזקה מהנדס",".MHM",""))))),".",VLOOKUP(Check[[#This Row],[טיפוס]],Tipus[],5,FALSE),".",VLOOKUP(Check[[#This Row],[מגדל]],Tower,2,FALSE),".Ap.",Check[[#This Row],[מספר דירה]])</f>
        <v>S.P.4D.TS.Ap.288</v>
      </c>
      <c r="C290" s="3" t="s">
        <v>55</v>
      </c>
      <c r="D290" s="3">
        <v>39</v>
      </c>
      <c r="E290" s="4">
        <v>288</v>
      </c>
      <c r="F290" s="3">
        <v>3901</v>
      </c>
      <c r="G290" s="3" t="s">
        <v>27</v>
      </c>
      <c r="H290" s="3">
        <f>VLOOKUP(Check[[#This Row],[טיפוס]],Tipus[],2,FALSE)</f>
        <v>4</v>
      </c>
      <c r="I290" s="3" t="str">
        <f>VLOOKUP(Check[[#This Row],[טיפוס]],Tipus[],3,FALSE)</f>
        <v>פרימיום</v>
      </c>
      <c r="J290" s="3" t="str">
        <f>VLOOKUP(Check[[#This Row],[טיפוס]],Tipus[],4,FALSE)</f>
        <v>G (P)</v>
      </c>
      <c r="K290" s="3" t="str">
        <f>IF(Check[[#This Row],[סטטוס2]]="הולד","פנויה",Check[[#This Row],[סטטוס2]])</f>
        <v>מכורה</v>
      </c>
      <c r="L290" s="382" t="s">
        <v>130</v>
      </c>
      <c r="M290" s="382"/>
      <c r="N290" s="383"/>
      <c r="O290" s="383"/>
      <c r="P290" s="411"/>
      <c r="Q290" s="411"/>
      <c r="R290" s="383"/>
      <c r="S290" s="384">
        <v>45438</v>
      </c>
      <c r="T290" s="384" t="s">
        <v>1217</v>
      </c>
      <c r="U290" s="385"/>
      <c r="V290" s="385"/>
      <c r="W290" s="387"/>
    </row>
    <row r="291" spans="1:23" x14ac:dyDescent="0.2">
      <c r="A291" s="13" t="str">
        <f>_xlfn.CONCAT(VLOOKUP(Check[[#This Row],[סטטוס]],Sold,2,FALSE),IF(Check[[#This Row],[סטטוס]]="פנויה",IF(N291="גמר מלא סטנדרט",".GMS",IF(N291="גמר מלא טיוב חומרים",".GMC",IF(N291="גמר מינימלי",".GM",IF(N291="דירת שיווק",".DS","")))),""),".",VLOOKUP(Check[[#This Row],[טיפוס]],Tipus[],5,FALSE),".",VLOOKUP(Check[[#This Row],[מגדל]],Tower,2,FALSE),".Ap.",Check[[#This Row],[מספר דירה]])</f>
        <v>S.P.4E.TS.Ap.289</v>
      </c>
      <c r="B291" s="13" t="str">
        <f>_xlfn.CONCAT(VLOOKUP(Check[[#This Row],[סטטוס]],Sold,2,FALSE),IF(Check[[#This Row],[סטטוס]]="פנויה",IF(N291="גמר מלא סטנדרט",".GMS",IF(N291="גמר מלא טיוב חומרים",".GMC",IF(N291="גמר מינימלי",".GM",IF(N291="דירת שיווק",".DS","")))),""),IF(M291="זומן לטרום",".ZLT",IF(M291="טרום מסירה",".TM",IF(M291="טרום מסירה מהנדס",".TMM",IF(M291="מסירת חזקה",".MH",IF(M291="מסירת חזקה מהנדס",".MHM",""))))),".",VLOOKUP(Check[[#This Row],[טיפוס]],Tipus[],5,FALSE),".",VLOOKUP(Check[[#This Row],[מגדל]],Tower,2,FALSE),".Ap.",Check[[#This Row],[מספר דירה]])</f>
        <v>S.P.4E.TS.Ap.289</v>
      </c>
      <c r="C291" s="3" t="s">
        <v>55</v>
      </c>
      <c r="D291" s="3">
        <v>39</v>
      </c>
      <c r="E291" s="4">
        <v>289</v>
      </c>
      <c r="F291" s="3">
        <v>3902</v>
      </c>
      <c r="G291" s="3" t="s">
        <v>28</v>
      </c>
      <c r="H291" s="3">
        <f>VLOOKUP(Check[[#This Row],[טיפוס]],Tipus[],2,FALSE)</f>
        <v>4</v>
      </c>
      <c r="I291" s="3" t="str">
        <f>VLOOKUP(Check[[#This Row],[טיפוס]],Tipus[],3,FALSE)</f>
        <v>פרימיום</v>
      </c>
      <c r="J291" s="3" t="str">
        <f>VLOOKUP(Check[[#This Row],[טיפוס]],Tipus[],4,FALSE)</f>
        <v>C+D</v>
      </c>
      <c r="K291" s="3" t="str">
        <f>IF(Check[[#This Row],[סטטוס2]]="הולד","פנויה",Check[[#This Row],[סטטוס2]])</f>
        <v>מכורה</v>
      </c>
      <c r="L291" s="382" t="s">
        <v>130</v>
      </c>
      <c r="M291" s="382"/>
      <c r="N291" s="383" t="s">
        <v>1232</v>
      </c>
      <c r="O291" s="383"/>
      <c r="P291" s="411"/>
      <c r="Q291" s="411"/>
      <c r="R291" s="383"/>
      <c r="S291" s="386">
        <v>44500</v>
      </c>
      <c r="T291" s="386" t="s">
        <v>1148</v>
      </c>
      <c r="U291" s="385" t="s">
        <v>1050</v>
      </c>
      <c r="V291" s="385" t="s">
        <v>1051</v>
      </c>
      <c r="W291" s="387"/>
    </row>
    <row r="292" spans="1:23" x14ac:dyDescent="0.2">
      <c r="A292" s="13" t="str">
        <f>_xlfn.CONCAT(VLOOKUP(Check[[#This Row],[סטטוס]],Sold,2,FALSE),IF(Check[[#This Row],[סטטוס]]="פנויה",IF(N292="גמר מלא סטנדרט",".GMS",IF(N292="גמר מלא טיוב חומרים",".GMC",IF(N292="גמר מינימלי",".GM",IF(N292="דירת שיווק",".DS","")))),""),".",VLOOKUP(Check[[#This Row],[טיפוס]],Tipus[],5,FALSE),".",VLOOKUP(Check[[#This Row],[מגדל]],Tower,2,FALSE),".Ap.",Check[[#This Row],[מספר דירה]])</f>
        <v>S.P.4F.TS.Ap.290</v>
      </c>
      <c r="B292" s="13" t="str">
        <f>_xlfn.CONCAT(VLOOKUP(Check[[#This Row],[סטטוס]],Sold,2,FALSE),IF(Check[[#This Row],[סטטוס]]="פנויה",IF(N292="גמר מלא סטנדרט",".GMS",IF(N292="גמר מלא טיוב חומרים",".GMC",IF(N292="גמר מינימלי",".GM",IF(N292="דירת שיווק",".DS","")))),""),IF(M292="זומן לטרום",".ZLT",IF(M292="טרום מסירה",".TM",IF(M292="טרום מסירה מהנדס",".TMM",IF(M292="מסירת חזקה",".MH",IF(M292="מסירת חזקה מהנדס",".MHM",""))))),".",VLOOKUP(Check[[#This Row],[טיפוס]],Tipus[],5,FALSE),".",VLOOKUP(Check[[#This Row],[מגדל]],Tower,2,FALSE),".Ap.",Check[[#This Row],[מספר דירה]])</f>
        <v>S.P.4F.TS.Ap.290</v>
      </c>
      <c r="C292" s="3" t="s">
        <v>55</v>
      </c>
      <c r="D292" s="3">
        <v>39</v>
      </c>
      <c r="E292" s="4">
        <v>290</v>
      </c>
      <c r="F292" s="3">
        <v>3903</v>
      </c>
      <c r="G292" s="3" t="s">
        <v>29</v>
      </c>
      <c r="H292" s="3">
        <f>VLOOKUP(Check[[#This Row],[טיפוס]],Tipus[],2,FALSE)</f>
        <v>4</v>
      </c>
      <c r="I292" s="3" t="str">
        <f>VLOOKUP(Check[[#This Row],[טיפוס]],Tipus[],3,FALSE)</f>
        <v>פרימיום</v>
      </c>
      <c r="J292" s="3" t="str">
        <f>VLOOKUP(Check[[#This Row],[טיפוס]],Tipus[],4,FALSE)</f>
        <v>A (P)</v>
      </c>
      <c r="K292" s="3" t="str">
        <f>IF(Check[[#This Row],[סטטוס2]]="הולד","פנויה",Check[[#This Row],[סטטוס2]])</f>
        <v>מכורה</v>
      </c>
      <c r="L292" s="382" t="s">
        <v>130</v>
      </c>
      <c r="M292" s="382"/>
      <c r="N292" s="383" t="s">
        <v>1232</v>
      </c>
      <c r="O292" s="383"/>
      <c r="P292" s="411"/>
      <c r="Q292" s="411"/>
      <c r="R292" s="383"/>
      <c r="S292" s="386">
        <v>44500</v>
      </c>
      <c r="T292" s="386" t="s">
        <v>1148</v>
      </c>
      <c r="U292" s="385" t="s">
        <v>1052</v>
      </c>
      <c r="V292" s="385" t="s">
        <v>1053</v>
      </c>
      <c r="W292" s="387"/>
    </row>
    <row r="293" spans="1:23" x14ac:dyDescent="0.2">
      <c r="A293" s="13" t="str">
        <f>_xlfn.CONCAT(VLOOKUP(Check[[#This Row],[סטטוס]],Sold,2,FALSE),IF(Check[[#This Row],[סטטוס]]="פנויה",IF(N293="גמר מלא סטנדרט",".GMS",IF(N293="גמר מלא טיוב חומרים",".GMC",IF(N293="גמר מינימלי",".GM",IF(N293="דירת שיווק",".DS","")))),""),".",VLOOKUP(Check[[#This Row],[טיפוס]],Tipus[],5,FALSE),".",VLOOKUP(Check[[#This Row],[מגדל]],Tower,2,FALSE),".Ap.",Check[[#This Row],[מספר דירה]])</f>
        <v>S.P.5AP.TS.Ap.291</v>
      </c>
      <c r="B293" s="13" t="str">
        <f>_xlfn.CONCAT(VLOOKUP(Check[[#This Row],[סטטוס]],Sold,2,FALSE),IF(Check[[#This Row],[סטטוס]]="פנויה",IF(N293="גמר מלא סטנדרט",".GMS",IF(N293="גמר מלא טיוב חומרים",".GMC",IF(N293="גמר מינימלי",".GM",IF(N293="דירת שיווק",".DS","")))),""),IF(M293="זומן לטרום",".ZLT",IF(M293="טרום מסירה",".TM",IF(M293="טרום מסירה מהנדס",".TMM",IF(M293="מסירת חזקה",".MH",IF(M293="מסירת חזקה מהנדס",".MHM",""))))),".",VLOOKUP(Check[[#This Row],[טיפוס]],Tipus[],5,FALSE),".",VLOOKUP(Check[[#This Row],[מגדל]],Tower,2,FALSE),".Ap.",Check[[#This Row],[מספר דירה]])</f>
        <v>S.P.5AP.TS.Ap.291</v>
      </c>
      <c r="C293" s="3" t="s">
        <v>55</v>
      </c>
      <c r="D293" s="3">
        <v>39</v>
      </c>
      <c r="E293" s="4">
        <v>291</v>
      </c>
      <c r="F293" s="3">
        <v>3904</v>
      </c>
      <c r="G293" s="3" t="s">
        <v>30</v>
      </c>
      <c r="H293" s="3">
        <f>VLOOKUP(Check[[#This Row],[טיפוס]],Tipus[],2,FALSE)</f>
        <v>5</v>
      </c>
      <c r="I293" s="3" t="str">
        <f>VLOOKUP(Check[[#This Row],[טיפוס]],Tipus[],3,FALSE)</f>
        <v>פרימיום</v>
      </c>
      <c r="J293" s="3" t="str">
        <f>VLOOKUP(Check[[#This Row],[טיפוס]],Tipus[],4,FALSE)</f>
        <v>J</v>
      </c>
      <c r="K293" s="3" t="str">
        <f>IF(Check[[#This Row],[סטטוס2]]="הולד","פנויה",Check[[#This Row],[סטטוס2]])</f>
        <v>מכורה</v>
      </c>
      <c r="L293" s="382" t="s">
        <v>130</v>
      </c>
      <c r="M293" s="382"/>
      <c r="N293" s="383" t="s">
        <v>1263</v>
      </c>
      <c r="O293" s="383"/>
      <c r="P293" s="411"/>
      <c r="Q293" s="411"/>
      <c r="R293" s="383"/>
      <c r="S293" s="384">
        <v>45735</v>
      </c>
      <c r="T293" s="384" t="s">
        <v>1226</v>
      </c>
      <c r="U293" s="385"/>
      <c r="V293" s="385"/>
      <c r="W293" s="387"/>
    </row>
    <row r="294" spans="1:23" ht="141.75" x14ac:dyDescent="0.2">
      <c r="A294" s="13" t="str">
        <f>_xlfn.CONCAT(VLOOKUP(Check[[#This Row],[סטטוס]],Sold,2,FALSE),IF(Check[[#This Row],[סטטוס]]="פנויה",IF(N294="גמר מלא סטנדרט",".GMS",IF(N294="גמר מלא טיוב חומרים",".GMC",IF(N294="גמר מינימלי",".GM",IF(N294="דירת שיווק",".DS","")))),""),".",VLOOKUP(Check[[#This Row],[טיפוס]],Tipus[],5,FALSE),".",VLOOKUP(Check[[#This Row],[מגדל]],Tower,2,FALSE),".Ap.",Check[[#This Row],[מספר דירה]])</f>
        <v>V.GMC.P.5BP.TS.Ap.292</v>
      </c>
      <c r="B294" s="13" t="str">
        <f>_xlfn.CONCAT(VLOOKUP(Check[[#This Row],[סטטוס]],Sold,2,FALSE),IF(Check[[#This Row],[סטטוס]]="פנויה",IF(N294="גמר מלא סטנדרט",".GMS",IF(N294="גמר מלא טיוב חומרים",".GMC",IF(N294="גמר מינימלי",".GM",IF(N294="דירת שיווק",".DS","")))),""),IF(M294="זומן לטרום",".ZLT",IF(M294="טרום מסירה",".TM",IF(M294="טרום מסירה מהנדס",".TMM",IF(M294="מסירת חזקה",".MH",IF(M294="מסירת חזקה מהנדס",".MHM",""))))),".",VLOOKUP(Check[[#This Row],[טיפוס]],Tipus[],5,FALSE),".",VLOOKUP(Check[[#This Row],[מגדל]],Tower,2,FALSE),".Ap.",Check[[#This Row],[מספר דירה]])</f>
        <v>V.GMC.P.5BP.TS.Ap.292</v>
      </c>
      <c r="C294" s="3" t="s">
        <v>55</v>
      </c>
      <c r="D294" s="3">
        <v>39</v>
      </c>
      <c r="E294" s="4">
        <v>292</v>
      </c>
      <c r="F294" s="3">
        <v>3905</v>
      </c>
      <c r="G294" s="3" t="s">
        <v>31</v>
      </c>
      <c r="H294" s="3">
        <f>VLOOKUP(Check[[#This Row],[טיפוס]],Tipus[],2,FALSE)</f>
        <v>5</v>
      </c>
      <c r="I294" s="3" t="str">
        <f>VLOOKUP(Check[[#This Row],[טיפוס]],Tipus[],3,FALSE)</f>
        <v>פרימיום</v>
      </c>
      <c r="J294" s="3" t="str">
        <f>VLOOKUP(Check[[#This Row],[טיפוס]],Tipus[],4,FALSE)</f>
        <v>H</v>
      </c>
      <c r="K294" s="3" t="str">
        <f>IF(Check[[#This Row],[סטטוס2]]="הולד","פנויה",Check[[#This Row],[סטטוס2]])</f>
        <v>פנויה</v>
      </c>
      <c r="L294" s="382" t="s">
        <v>108</v>
      </c>
      <c r="M294" s="382"/>
      <c r="N294" t="s">
        <v>1417</v>
      </c>
      <c r="O294" s="404" t="s">
        <v>1398</v>
      </c>
      <c r="P294" s="415" t="s">
        <v>1386</v>
      </c>
      <c r="Q294" s="423" t="s">
        <v>1397</v>
      </c>
      <c r="R294" s="399"/>
      <c r="S294" s="384"/>
      <c r="T294" s="398"/>
      <c r="U294" s="385"/>
      <c r="V294" s="385"/>
      <c r="W294" s="387"/>
    </row>
    <row r="295" spans="1:23" x14ac:dyDescent="0.2">
      <c r="A295" s="13" t="str">
        <f>_xlfn.CONCAT(VLOOKUP(Check[[#This Row],[סטטוס]],Sold,2,FALSE),IF(Check[[#This Row],[סטטוס]]="פנויה",IF(N295="גמר מלא סטנדרט",".GMS",IF(N295="גמר מלא טיוב חומרים",".GMC",IF(N295="גמר מינימלי",".GM",IF(N295="דירת שיווק",".DS","")))),""),".",VLOOKUP(Check[[#This Row],[טיפוס]],Tipus[],5,FALSE),".",VLOOKUP(Check[[#This Row],[מגדל]],Tower,2,FALSE),".Ap.",Check[[#This Row],[מספר דירה]])</f>
        <v>S.P.4D.TS.Ap.293</v>
      </c>
      <c r="B295" s="13" t="str">
        <f>_xlfn.CONCAT(VLOOKUP(Check[[#This Row],[סטטוס]],Sold,2,FALSE),IF(Check[[#This Row],[סטטוס]]="פנויה",IF(N295="גמר מלא סטנדרט",".GMS",IF(N295="גמר מלא טיוב חומרים",".GMC",IF(N295="גמר מינימלי",".GM",IF(N295="דירת שיווק",".DS","")))),""),IF(M295="זומן לטרום",".ZLT",IF(M295="טרום מסירה",".TM",IF(M295="טרום מסירה מהנדס",".TMM",IF(M295="מסירת חזקה",".MH",IF(M295="מסירת חזקה מהנדס",".MHM",""))))),".",VLOOKUP(Check[[#This Row],[טיפוס]],Tipus[],5,FALSE),".",VLOOKUP(Check[[#This Row],[מגדל]],Tower,2,FALSE),".Ap.",Check[[#This Row],[מספר דירה]])</f>
        <v>S.P.4D.TS.Ap.293</v>
      </c>
      <c r="C295" s="3" t="s">
        <v>55</v>
      </c>
      <c r="D295" s="3">
        <v>40</v>
      </c>
      <c r="E295" s="4">
        <v>293</v>
      </c>
      <c r="F295" s="3">
        <v>4001</v>
      </c>
      <c r="G295" s="3" t="s">
        <v>27</v>
      </c>
      <c r="H295" s="3">
        <f>VLOOKUP(Check[[#This Row],[טיפוס]],Tipus[],2,FALSE)</f>
        <v>4</v>
      </c>
      <c r="I295" s="3" t="str">
        <f>VLOOKUP(Check[[#This Row],[טיפוס]],Tipus[],3,FALSE)</f>
        <v>פרימיום</v>
      </c>
      <c r="J295" s="3" t="str">
        <f>VLOOKUP(Check[[#This Row],[טיפוס]],Tipus[],4,FALSE)</f>
        <v>G (P)</v>
      </c>
      <c r="K295" s="3" t="str">
        <f>IF(Check[[#This Row],[סטטוס2]]="הולד","פנויה",Check[[#This Row],[סטטוס2]])</f>
        <v>מכורה</v>
      </c>
      <c r="L295" s="382" t="s">
        <v>130</v>
      </c>
      <c r="M295" s="382"/>
      <c r="N295" s="383"/>
      <c r="O295" s="383"/>
      <c r="P295" s="411"/>
      <c r="Q295" s="411"/>
      <c r="R295" s="383"/>
      <c r="S295" s="384">
        <v>45358</v>
      </c>
      <c r="T295" s="384" t="s">
        <v>1218</v>
      </c>
      <c r="U295" s="385"/>
      <c r="V295" s="385"/>
      <c r="W295" s="387"/>
    </row>
    <row r="296" spans="1:23" x14ac:dyDescent="0.2">
      <c r="A296" s="13" t="str">
        <f>_xlfn.CONCAT(VLOOKUP(Check[[#This Row],[סטטוס]],Sold,2,FALSE),IF(Check[[#This Row],[סטטוס]]="פנויה",IF(N296="גמר מלא סטנדרט",".GMS",IF(N296="גמר מלא טיוב חומרים",".GMC",IF(N296="גמר מינימלי",".GM",IF(N296="דירת שיווק",".DS","")))),""),".",VLOOKUP(Check[[#This Row],[טיפוס]],Tipus[],5,FALSE),".",VLOOKUP(Check[[#This Row],[מגדל]],Tower,2,FALSE),".Ap.",Check[[#This Row],[מספר דירה]])</f>
        <v>S.P.4E.TS.Ap.294</v>
      </c>
      <c r="B296" s="13" t="str">
        <f>_xlfn.CONCAT(VLOOKUP(Check[[#This Row],[סטטוס]],Sold,2,FALSE),IF(Check[[#This Row],[סטטוס]]="פנויה",IF(N296="גמר מלא סטנדרט",".GMS",IF(N296="גמר מלא טיוב חומרים",".GMC",IF(N296="גמר מינימלי",".GM",IF(N296="דירת שיווק",".DS","")))),""),IF(M296="זומן לטרום",".ZLT",IF(M296="טרום מסירה",".TM",IF(M296="טרום מסירה מהנדס",".TMM",IF(M296="מסירת חזקה",".MH",IF(M296="מסירת חזקה מהנדס",".MHM",""))))),".",VLOOKUP(Check[[#This Row],[טיפוס]],Tipus[],5,FALSE),".",VLOOKUP(Check[[#This Row],[מגדל]],Tower,2,FALSE),".Ap.",Check[[#This Row],[מספר דירה]])</f>
        <v>S.P.4E.TS.Ap.294</v>
      </c>
      <c r="C296" s="3" t="s">
        <v>55</v>
      </c>
      <c r="D296" s="3">
        <v>40</v>
      </c>
      <c r="E296" s="4">
        <v>294</v>
      </c>
      <c r="F296" s="3">
        <v>4002</v>
      </c>
      <c r="G296" s="3" t="s">
        <v>28</v>
      </c>
      <c r="H296" s="3">
        <f>VLOOKUP(Check[[#This Row],[טיפוס]],Tipus[],2,FALSE)</f>
        <v>4</v>
      </c>
      <c r="I296" s="3" t="str">
        <f>VLOOKUP(Check[[#This Row],[טיפוס]],Tipus[],3,FALSE)</f>
        <v>פרימיום</v>
      </c>
      <c r="J296" s="3" t="str">
        <f>VLOOKUP(Check[[#This Row],[טיפוס]],Tipus[],4,FALSE)</f>
        <v>C+D</v>
      </c>
      <c r="K296" s="3" t="str">
        <f>IF(Check[[#This Row],[סטטוס2]]="הולד","פנויה",Check[[#This Row],[סטטוס2]])</f>
        <v>מכורה</v>
      </c>
      <c r="L296" s="382" t="s">
        <v>130</v>
      </c>
      <c r="M296" s="382"/>
      <c r="N296" s="383" t="s">
        <v>1233</v>
      </c>
      <c r="O296" s="383"/>
      <c r="P296" s="411"/>
      <c r="Q296" s="411"/>
      <c r="R296" s="383"/>
      <c r="S296" s="386">
        <v>44503</v>
      </c>
      <c r="T296" s="386" t="s">
        <v>1321</v>
      </c>
      <c r="U296" s="385" t="s">
        <v>1054</v>
      </c>
      <c r="V296" s="385" t="s">
        <v>1055</v>
      </c>
      <c r="W296" s="388" t="s">
        <v>1056</v>
      </c>
    </row>
    <row r="297" spans="1:23" x14ac:dyDescent="0.2">
      <c r="A297" s="13" t="str">
        <f>_xlfn.CONCAT(VLOOKUP(Check[[#This Row],[סטטוס]],Sold,2,FALSE),IF(Check[[#This Row],[סטטוס]]="פנויה",IF(N297="גמר מלא סטנדרט",".GMS",IF(N297="גמר מלא טיוב חומרים",".GMC",IF(N297="גמר מינימלי",".GM",IF(N297="דירת שיווק",".DS","")))),""),".",VLOOKUP(Check[[#This Row],[טיפוס]],Tipus[],5,FALSE),".",VLOOKUP(Check[[#This Row],[מגדל]],Tower,2,FALSE),".Ap.",Check[[#This Row],[מספר דירה]])</f>
        <v>S.P.4F.TS.Ap.295</v>
      </c>
      <c r="B297" s="13" t="str">
        <f>_xlfn.CONCAT(VLOOKUP(Check[[#This Row],[סטטוס]],Sold,2,FALSE),IF(Check[[#This Row],[סטטוס]]="פנויה",IF(N297="גמר מלא סטנדרט",".GMS",IF(N297="גמר מלא טיוב חומרים",".GMC",IF(N297="גמר מינימלי",".GM",IF(N297="דירת שיווק",".DS","")))),""),IF(M297="זומן לטרום",".ZLT",IF(M297="טרום מסירה",".TM",IF(M297="טרום מסירה מהנדס",".TMM",IF(M297="מסירת חזקה",".MH",IF(M297="מסירת חזקה מהנדס",".MHM",""))))),".",VLOOKUP(Check[[#This Row],[טיפוס]],Tipus[],5,FALSE),".",VLOOKUP(Check[[#This Row],[מגדל]],Tower,2,FALSE),".Ap.",Check[[#This Row],[מספר דירה]])</f>
        <v>S.P.4F.TS.Ap.295</v>
      </c>
      <c r="C297" s="3" t="s">
        <v>55</v>
      </c>
      <c r="D297" s="3">
        <v>40</v>
      </c>
      <c r="E297" s="4">
        <v>295</v>
      </c>
      <c r="F297" s="3">
        <v>4003</v>
      </c>
      <c r="G297" s="3" t="s">
        <v>29</v>
      </c>
      <c r="H297" s="3">
        <f>VLOOKUP(Check[[#This Row],[טיפוס]],Tipus[],2,FALSE)</f>
        <v>4</v>
      </c>
      <c r="I297" s="3" t="str">
        <f>VLOOKUP(Check[[#This Row],[טיפוס]],Tipus[],3,FALSE)</f>
        <v>פרימיום</v>
      </c>
      <c r="J297" s="3" t="str">
        <f>VLOOKUP(Check[[#This Row],[טיפוס]],Tipus[],4,FALSE)</f>
        <v>A (P)</v>
      </c>
      <c r="K297" s="3" t="str">
        <f>IF(Check[[#This Row],[סטטוס2]]="הולד","פנויה",Check[[#This Row],[סטטוס2]])</f>
        <v>מכורה</v>
      </c>
      <c r="L297" s="382" t="s">
        <v>130</v>
      </c>
      <c r="M297" s="382"/>
      <c r="N297" s="383" t="s">
        <v>1233</v>
      </c>
      <c r="O297" s="400"/>
      <c r="P297" s="418"/>
      <c r="Q297" s="418"/>
      <c r="R297" s="400"/>
      <c r="S297" s="386">
        <v>44503</v>
      </c>
      <c r="T297" s="386" t="s">
        <v>1321</v>
      </c>
      <c r="U297" s="385" t="s">
        <v>1057</v>
      </c>
      <c r="V297" s="385" t="s">
        <v>1058</v>
      </c>
      <c r="W297" s="387"/>
    </row>
    <row r="298" spans="1:23" ht="31.5" x14ac:dyDescent="0.2">
      <c r="A298" s="13" t="str">
        <f>_xlfn.CONCAT(VLOOKUP(Check[[#This Row],[סטטוס]],Sold,2,FALSE),IF(Check[[#This Row],[סטטוס]]="פנויה",IF(N298="גמר מלא סטנדרט",".GMS",IF(N298="גמר מלא טיוב חומרים",".GMC",IF(N298="גמר מינימלי",".GM",IF(N298="דירת שיווק",".DS","")))),""),".",VLOOKUP(Check[[#This Row],[טיפוס]],Tipus[],5,FALSE),".",VLOOKUP(Check[[#This Row],[מגדל]],Tower,2,FALSE),".Ap.",Check[[#This Row],[מספר דירה]])</f>
        <v>S.P.5AP.TS.Ap.296</v>
      </c>
      <c r="B298" s="13" t="str">
        <f>_xlfn.CONCAT(VLOOKUP(Check[[#This Row],[סטטוס]],Sold,2,FALSE),IF(Check[[#This Row],[סטטוס]]="פנויה",IF(N298="גמר מלא סטנדרט",".GMS",IF(N298="גמר מלא טיוב חומרים",".GMC",IF(N298="גמר מינימלי",".GM",IF(N298="דירת שיווק",".DS","")))),""),IF(M298="זומן לטרום",".ZLT",IF(M298="טרום מסירה",".TM",IF(M298="טרום מסירה מהנדס",".TMM",IF(M298="מסירת חזקה",".MH",IF(M298="מסירת חזקה מהנדס",".MHM",""))))),".",VLOOKUP(Check[[#This Row],[טיפוס]],Tipus[],5,FALSE),".",VLOOKUP(Check[[#This Row],[מגדל]],Tower,2,FALSE),".Ap.",Check[[#This Row],[מספר דירה]])</f>
        <v>S.P.5AP.TS.Ap.296</v>
      </c>
      <c r="C298" s="3" t="s">
        <v>55</v>
      </c>
      <c r="D298" s="3">
        <v>40</v>
      </c>
      <c r="E298" s="4">
        <v>296</v>
      </c>
      <c r="F298" s="3">
        <v>4004</v>
      </c>
      <c r="G298" s="3" t="s">
        <v>30</v>
      </c>
      <c r="H298" s="3">
        <f>VLOOKUP(Check[[#This Row],[טיפוס]],Tipus[],2,FALSE)</f>
        <v>5</v>
      </c>
      <c r="I298" s="3" t="str">
        <f>VLOOKUP(Check[[#This Row],[טיפוס]],Tipus[],3,FALSE)</f>
        <v>פרימיום</v>
      </c>
      <c r="J298" s="3" t="str">
        <f>VLOOKUP(Check[[#This Row],[טיפוס]],Tipus[],4,FALSE)</f>
        <v>J</v>
      </c>
      <c r="K298" s="3" t="s">
        <v>130</v>
      </c>
      <c r="L298" s="382" t="s">
        <v>130</v>
      </c>
      <c r="M298" s="382"/>
      <c r="N298" t="s">
        <v>1366</v>
      </c>
      <c r="O298" s="404" t="s">
        <v>1407</v>
      </c>
      <c r="P298" s="413" t="s">
        <v>1384</v>
      </c>
      <c r="Q298" s="413" t="s">
        <v>1408</v>
      </c>
      <c r="R298" s="400"/>
      <c r="S298" s="384"/>
      <c r="T298" s="384" t="s">
        <v>214</v>
      </c>
      <c r="U298" s="385"/>
      <c r="V298" s="385"/>
      <c r="W298" s="387"/>
    </row>
    <row r="299" spans="1:23" x14ac:dyDescent="0.2">
      <c r="A299" s="13" t="str">
        <f>_xlfn.CONCAT(VLOOKUP(Check[[#This Row],[סטטוס]],Sold,2,FALSE),IF(Check[[#This Row],[סטטוס]]="פנויה",IF(N299="גמר מלא סטנדרט",".GMS",IF(N299="גמר מלא טיוב חומרים",".GMC",IF(N299="גמר מינימלי",".GM",IF(N299="דירת שיווק",".DS","")))),""),".",VLOOKUP(Check[[#This Row],[טיפוס]],Tipus[],5,FALSE),".",VLOOKUP(Check[[#This Row],[מגדל]],Tower,2,FALSE),".Ap.",Check[[#This Row],[מספר דירה]])</f>
        <v>V.GM.P.5BP.TS.Ap.297</v>
      </c>
      <c r="B299" s="13" t="str">
        <f>_xlfn.CONCAT(VLOOKUP(Check[[#This Row],[סטטוס]],Sold,2,FALSE),IF(Check[[#This Row],[סטטוס]]="פנויה",IF(N299="גמר מלא סטנדרט",".GMS",IF(N299="גמר מלא טיוב חומרים",".GMC",IF(N299="גמר מינימלי",".GM",IF(N299="דירת שיווק",".DS","")))),""),IF(M299="זומן לטרום",".ZLT",IF(M299="טרום מסירה",".TM",IF(M299="טרום מסירה מהנדס",".TMM",IF(M299="מסירת חזקה",".MH",IF(M299="מסירת חזקה מהנדס",".MHM",""))))),".",VLOOKUP(Check[[#This Row],[טיפוס]],Tipus[],5,FALSE),".",VLOOKUP(Check[[#This Row],[מגדל]],Tower,2,FALSE),".Ap.",Check[[#This Row],[מספר דירה]])</f>
        <v>V.GM.P.5BP.TS.Ap.297</v>
      </c>
      <c r="C299" s="3" t="s">
        <v>55</v>
      </c>
      <c r="D299" s="3">
        <v>40</v>
      </c>
      <c r="E299" s="4">
        <v>297</v>
      </c>
      <c r="F299" s="3">
        <v>4005</v>
      </c>
      <c r="G299" s="3" t="s">
        <v>31</v>
      </c>
      <c r="H299" s="3">
        <f>VLOOKUP(Check[[#This Row],[טיפוס]],Tipus[],2,FALSE)</f>
        <v>5</v>
      </c>
      <c r="I299" s="3" t="str">
        <f>VLOOKUP(Check[[#This Row],[טיפוס]],Tipus[],3,FALSE)</f>
        <v>פרימיום</v>
      </c>
      <c r="J299" s="3" t="str">
        <f>VLOOKUP(Check[[#This Row],[טיפוס]],Tipus[],4,FALSE)</f>
        <v>H</v>
      </c>
      <c r="K299" s="3" t="str">
        <f>IF(Check[[#This Row],[סטטוס2]]="הולד","פנויה",Check[[#This Row],[סטטוס2]])</f>
        <v>פנויה</v>
      </c>
      <c r="L299" s="382" t="s">
        <v>108</v>
      </c>
      <c r="M299" s="382"/>
      <c r="N299" t="s">
        <v>1366</v>
      </c>
      <c r="O299" s="404" t="s">
        <v>1388</v>
      </c>
      <c r="P299" s="413" t="s">
        <v>1384</v>
      </c>
      <c r="Q299" s="413"/>
      <c r="R299" s="400"/>
      <c r="S299" s="384"/>
      <c r="T299" s="384" t="s">
        <v>214</v>
      </c>
      <c r="U299" s="385"/>
      <c r="V299" s="385"/>
      <c r="W299" s="387"/>
    </row>
    <row r="300" spans="1:23" x14ac:dyDescent="0.2">
      <c r="A300" s="13" t="str">
        <f>_xlfn.CONCAT(VLOOKUP(Check[[#This Row],[סטטוס]],Sold,2,FALSE),IF(Check[[#This Row],[סטטוס]]="פנויה",IF(N300="גמר מלא סטנדרט",".GMS",IF(N300="גמר מלא טיוב חומרים",".GMC",IF(N300="גמר מינימלי",".GM",IF(N300="דירת שיווק",".DS","")))),""),".",VLOOKUP(Check[[#This Row],[טיפוס]],Tipus[],5,FALSE),".",VLOOKUP(Check[[#This Row],[מגדל]],Tower,2,FALSE),".Ap.",Check[[#This Row],[מספר דירה]])</f>
        <v>V.GMS.P.4D.TS.Ap.298</v>
      </c>
      <c r="B300" s="13" t="str">
        <f>_xlfn.CONCAT(VLOOKUP(Check[[#This Row],[סטטוס]],Sold,2,FALSE),IF(Check[[#This Row],[סטטוס]]="פנויה",IF(N300="גמר מלא סטנדרט",".GMS",IF(N300="גמר מלא טיוב חומרים",".GMC",IF(N300="גמר מינימלי",".GM",IF(N300="דירת שיווק",".DS","")))),""),IF(M300="זומן לטרום",".ZLT",IF(M300="טרום מסירה",".TM",IF(M300="טרום מסירה מהנדס",".TMM",IF(M300="מסירת חזקה",".MH",IF(M300="מסירת חזקה מהנדס",".MHM",""))))),".",VLOOKUP(Check[[#This Row],[טיפוס]],Tipus[],5,FALSE),".",VLOOKUP(Check[[#This Row],[מגדל]],Tower,2,FALSE),".Ap.",Check[[#This Row],[מספר דירה]])</f>
        <v>V.GMS.P.4D.TS.Ap.298</v>
      </c>
      <c r="C300" s="3" t="s">
        <v>55</v>
      </c>
      <c r="D300" s="3">
        <v>41</v>
      </c>
      <c r="E300" s="4">
        <v>298</v>
      </c>
      <c r="F300" s="3">
        <v>4101</v>
      </c>
      <c r="G300" s="3" t="s">
        <v>27</v>
      </c>
      <c r="H300" s="3">
        <f>VLOOKUP(Check[[#This Row],[טיפוס]],Tipus[],2,FALSE)</f>
        <v>4</v>
      </c>
      <c r="I300" s="3" t="str">
        <f>VLOOKUP(Check[[#This Row],[טיפוס]],Tipus[],3,FALSE)</f>
        <v>פרימיום</v>
      </c>
      <c r="J300" s="3" t="str">
        <f>VLOOKUP(Check[[#This Row],[טיפוס]],Tipus[],4,FALSE)</f>
        <v>G (P)</v>
      </c>
      <c r="K300" s="3" t="str">
        <f>IF(Check[[#This Row],[סטטוס2]]="הולד","פנויה",Check[[#This Row],[סטטוס2]])</f>
        <v>פנויה</v>
      </c>
      <c r="L300" s="382" t="s">
        <v>108</v>
      </c>
      <c r="M300" s="382"/>
      <c r="N300" t="s">
        <v>1367</v>
      </c>
      <c r="O300" s="383" t="s">
        <v>1390</v>
      </c>
      <c r="P300" s="410" t="s">
        <v>1389</v>
      </c>
      <c r="Q300" s="410"/>
      <c r="R300" s="400"/>
      <c r="S300" s="384"/>
      <c r="T300" s="384" t="s">
        <v>214</v>
      </c>
      <c r="U300" s="385"/>
      <c r="V300" s="385"/>
      <c r="W300" s="387"/>
    </row>
    <row r="301" spans="1:23" x14ac:dyDescent="0.2">
      <c r="A301" s="13" t="str">
        <f>_xlfn.CONCAT(VLOOKUP(Check[[#This Row],[סטטוס]],Sold,2,FALSE),IF(Check[[#This Row],[סטטוס]]="פנויה",IF(N301="גמר מלא סטנדרט",".GMS",IF(N301="גמר מלא טיוב חומרים",".GMC",IF(N301="גמר מינימלי",".GM",IF(N301="דירת שיווק",".DS","")))),""),".",VLOOKUP(Check[[#This Row],[טיפוס]],Tipus[],5,FALSE),".",VLOOKUP(Check[[#This Row],[מגדל]],Tower,2,FALSE),".Ap.",Check[[#This Row],[מספר דירה]])</f>
        <v>O.P.4E.TS.Ap.299</v>
      </c>
      <c r="B301" s="13" t="str">
        <f>_xlfn.CONCAT(VLOOKUP(Check[[#This Row],[סטטוס]],Sold,2,FALSE),IF(Check[[#This Row],[סטטוס]]="פנויה",IF(N301="גמר מלא סטנדרט",".GMS",IF(N301="גמר מלא טיוב חומרים",".GMC",IF(N301="גמר מינימלי",".GM",IF(N301="דירת שיווק",".DS","")))),""),IF(M301="זומן לטרום",".ZLT",IF(M301="טרום מסירה",".TM",IF(M301="טרום מסירה מהנדס",".TMM",IF(M301="מסירת חזקה",".MH",IF(M301="מסירת חזקה מהנדס",".MHM",""))))),".",VLOOKUP(Check[[#This Row],[טיפוס]],Tipus[],5,FALSE),".",VLOOKUP(Check[[#This Row],[מגדל]],Tower,2,FALSE),".Ap.",Check[[#This Row],[מספר דירה]])</f>
        <v>O.P.4E.TS.Ap.299</v>
      </c>
      <c r="C301" s="3" t="s">
        <v>55</v>
      </c>
      <c r="D301" s="3">
        <v>41</v>
      </c>
      <c r="E301" s="4">
        <v>299</v>
      </c>
      <c r="F301" s="3">
        <v>4102</v>
      </c>
      <c r="G301" s="3" t="s">
        <v>28</v>
      </c>
      <c r="H301" s="3">
        <f>VLOOKUP(Check[[#This Row],[טיפוס]],Tipus[],2,FALSE)</f>
        <v>4</v>
      </c>
      <c r="I301" s="3" t="str">
        <f>VLOOKUP(Check[[#This Row],[טיפוס]],Tipus[],3,FALSE)</f>
        <v>פרימיום</v>
      </c>
      <c r="J301" s="3" t="str">
        <f>VLOOKUP(Check[[#This Row],[טיפוס]],Tipus[],4,FALSE)</f>
        <v>C+D</v>
      </c>
      <c r="K301" s="3" t="str">
        <f>IF(Check[[#This Row],[סטטוס2]]="הולד","פנויה",Check[[#This Row],[סטטוס2]])</f>
        <v>בעלים</v>
      </c>
      <c r="L301" s="382" t="s">
        <v>91</v>
      </c>
      <c r="M301" s="382"/>
      <c r="N301" s="383"/>
      <c r="O301" s="383"/>
      <c r="P301" s="418"/>
      <c r="Q301" s="418"/>
      <c r="R301" s="400"/>
      <c r="S301" s="384">
        <v>44040</v>
      </c>
      <c r="T301" s="384" t="s">
        <v>1322</v>
      </c>
      <c r="U301" s="385" t="s">
        <v>495</v>
      </c>
      <c r="V301" s="385" t="s">
        <v>496</v>
      </c>
      <c r="W301" s="385" t="s">
        <v>497</v>
      </c>
    </row>
    <row r="302" spans="1:23" x14ac:dyDescent="0.2">
      <c r="A302" s="13" t="str">
        <f>_xlfn.CONCAT(VLOOKUP(Check[[#This Row],[סטטוס]],Sold,2,FALSE),IF(Check[[#This Row],[סטטוס]]="פנויה",IF(N302="גמר מלא סטנדרט",".GMS",IF(N302="גמר מלא טיוב חומרים",".GMC",IF(N302="גמר מינימלי",".GM",IF(N302="דירת שיווק",".DS","")))),""),".",VLOOKUP(Check[[#This Row],[טיפוס]],Tipus[],5,FALSE),".",VLOOKUP(Check[[#This Row],[מגדל]],Tower,2,FALSE),".Ap.",Check[[#This Row],[מספר דירה]])</f>
        <v>O.P.4F.TS.Ap.300</v>
      </c>
      <c r="B302" s="13" t="str">
        <f>_xlfn.CONCAT(VLOOKUP(Check[[#This Row],[סטטוס]],Sold,2,FALSE),IF(Check[[#This Row],[סטטוס]]="פנויה",IF(N302="גמר מלא סטנדרט",".GMS",IF(N302="גמר מלא טיוב חומרים",".GMC",IF(N302="גמר מינימלי",".GM",IF(N302="דירת שיווק",".DS","")))),""),IF(M302="זומן לטרום",".ZLT",IF(M302="טרום מסירה",".TM",IF(M302="טרום מסירה מהנדס",".TMM",IF(M302="מסירת חזקה",".MH",IF(M302="מסירת חזקה מהנדס",".MHM",""))))),".",VLOOKUP(Check[[#This Row],[טיפוס]],Tipus[],5,FALSE),".",VLOOKUP(Check[[#This Row],[מגדל]],Tower,2,FALSE),".Ap.",Check[[#This Row],[מספר דירה]])</f>
        <v>O.P.4F.TS.Ap.300</v>
      </c>
      <c r="C302" s="3" t="s">
        <v>55</v>
      </c>
      <c r="D302" s="3">
        <v>41</v>
      </c>
      <c r="E302" s="4">
        <v>300</v>
      </c>
      <c r="F302" s="3">
        <v>4103</v>
      </c>
      <c r="G302" s="3" t="s">
        <v>29</v>
      </c>
      <c r="H302" s="3">
        <f>VLOOKUP(Check[[#This Row],[טיפוס]],Tipus[],2,FALSE)</f>
        <v>4</v>
      </c>
      <c r="I302" s="3" t="str">
        <f>VLOOKUP(Check[[#This Row],[טיפוס]],Tipus[],3,FALSE)</f>
        <v>פרימיום</v>
      </c>
      <c r="J302" s="3" t="str">
        <f>VLOOKUP(Check[[#This Row],[טיפוס]],Tipus[],4,FALSE)</f>
        <v>A (P)</v>
      </c>
      <c r="K302" s="3" t="str">
        <f>IF(Check[[#This Row],[סטטוס2]]="הולד","פנויה",Check[[#This Row],[סטטוס2]])</f>
        <v>בעלים</v>
      </c>
      <c r="L302" s="382" t="s">
        <v>91</v>
      </c>
      <c r="M302" s="382"/>
      <c r="N302" s="383"/>
      <c r="O302" s="383"/>
      <c r="P302" s="418"/>
      <c r="Q302" s="418"/>
      <c r="R302" s="400"/>
      <c r="S302" s="384">
        <v>44040</v>
      </c>
      <c r="T302" s="384" t="s">
        <v>1323</v>
      </c>
      <c r="U302" s="385" t="s">
        <v>498</v>
      </c>
      <c r="V302" s="385" t="s">
        <v>499</v>
      </c>
      <c r="W302" s="385" t="s">
        <v>268</v>
      </c>
    </row>
    <row r="303" spans="1:23" x14ac:dyDescent="0.2">
      <c r="A303" s="13" t="str">
        <f>_xlfn.CONCAT(VLOOKUP(Check[[#This Row],[סטטוס]],Sold,2,FALSE),IF(Check[[#This Row],[סטטוס]]="פנויה",IF(N303="גמר מלא סטנדרט",".GMS",IF(N303="גמר מלא טיוב חומרים",".GMC",IF(N303="גמר מינימלי",".GM",IF(N303="דירת שיווק",".DS","")))),""),".",VLOOKUP(Check[[#This Row],[טיפוס]],Tipus[],5,FALSE),".",VLOOKUP(Check[[#This Row],[מגדל]],Tower,2,FALSE),".Ap.",Check[[#This Row],[מספר דירה]])</f>
        <v>S.P.5AP.TS.Ap.301</v>
      </c>
      <c r="B303" s="13" t="str">
        <f>_xlfn.CONCAT(VLOOKUP(Check[[#This Row],[סטטוס]],Sold,2,FALSE),IF(Check[[#This Row],[סטטוס]]="פנויה",IF(N303="גמר מלא סטנדרט",".GMS",IF(N303="גמר מלא טיוב חומרים",".GMC",IF(N303="גמר מינימלי",".GM",IF(N303="דירת שיווק",".DS","")))),""),IF(M303="זומן לטרום",".ZLT",IF(M303="טרום מסירה",".TM",IF(M303="טרום מסירה מהנדס",".TMM",IF(M303="מסירת חזקה",".MH",IF(M303="מסירת חזקה מהנדס",".MHM",""))))),".",VLOOKUP(Check[[#This Row],[טיפוס]],Tipus[],5,FALSE),".",VLOOKUP(Check[[#This Row],[מגדל]],Tower,2,FALSE),".Ap.",Check[[#This Row],[מספר דירה]])</f>
        <v>S.P.5AP.TS.Ap.301</v>
      </c>
      <c r="C303" s="3" t="s">
        <v>55</v>
      </c>
      <c r="D303" s="3">
        <v>41</v>
      </c>
      <c r="E303" s="4">
        <v>301</v>
      </c>
      <c r="F303" s="3">
        <v>4104</v>
      </c>
      <c r="G303" s="3" t="s">
        <v>30</v>
      </c>
      <c r="H303" s="3">
        <f>VLOOKUP(Check[[#This Row],[טיפוס]],Tipus[],2,FALSE)</f>
        <v>5</v>
      </c>
      <c r="I303" s="3" t="str">
        <f>VLOOKUP(Check[[#This Row],[טיפוס]],Tipus[],3,FALSE)</f>
        <v>פרימיום</v>
      </c>
      <c r="J303" s="3" t="str">
        <f>VLOOKUP(Check[[#This Row],[טיפוס]],Tipus[],4,FALSE)</f>
        <v>J</v>
      </c>
      <c r="K303" s="3" t="str">
        <f>IF(Check[[#This Row],[סטטוס2]]="הולד","פנויה",Check[[#This Row],[סטטוס2]])</f>
        <v>מכורה</v>
      </c>
      <c r="L303" s="382" t="s">
        <v>130</v>
      </c>
      <c r="M303" s="382"/>
      <c r="N303" s="383" t="s">
        <v>1234</v>
      </c>
      <c r="O303" s="383"/>
      <c r="P303" s="418"/>
      <c r="Q303" s="418"/>
      <c r="R303" s="400"/>
      <c r="S303" s="386">
        <v>44525</v>
      </c>
      <c r="T303" s="386" t="s">
        <v>1149</v>
      </c>
      <c r="U303" s="385" t="s">
        <v>1059</v>
      </c>
      <c r="V303" s="385" t="s">
        <v>1060</v>
      </c>
      <c r="W303" s="388" t="s">
        <v>1061</v>
      </c>
    </row>
    <row r="304" spans="1:23" x14ac:dyDescent="0.2">
      <c r="A304" s="13" t="str">
        <f>_xlfn.CONCAT(VLOOKUP(Check[[#This Row],[סטטוס]],Sold,2,FALSE),IF(Check[[#This Row],[סטטוס]]="פנויה",IF(N304="גמר מלא סטנדרט",".GMS",IF(N304="גמר מלא טיוב חומרים",".GMC",IF(N304="גמר מינימלי",".GM",IF(N304="דירת שיווק",".DS","")))),""),".",VLOOKUP(Check[[#This Row],[טיפוס]],Tipus[],5,FALSE),".",VLOOKUP(Check[[#This Row],[מגדל]],Tower,2,FALSE),".Ap.",Check[[#This Row],[מספר דירה]])</f>
        <v>S.P.5BP.TS.Ap.302</v>
      </c>
      <c r="B304" s="13" t="str">
        <f>_xlfn.CONCAT(VLOOKUP(Check[[#This Row],[סטטוס]],Sold,2,FALSE),IF(Check[[#This Row],[סטטוס]]="פנויה",IF(N304="גמר מלא סטנדרט",".GMS",IF(N304="גמר מלא טיוב חומרים",".GMC",IF(N304="גמר מינימלי",".GM",IF(N304="דירת שיווק",".DS","")))),""),IF(M304="זומן לטרום",".ZLT",IF(M304="טרום מסירה",".TM",IF(M304="טרום מסירה מהנדס",".TMM",IF(M304="מסירת חזקה",".MH",IF(M304="מסירת חזקה מהנדס",".MHM",""))))),".",VLOOKUP(Check[[#This Row],[טיפוס]],Tipus[],5,FALSE),".",VLOOKUP(Check[[#This Row],[מגדל]],Tower,2,FALSE),".Ap.",Check[[#This Row],[מספר דירה]])</f>
        <v>S.P.5BP.TS.Ap.302</v>
      </c>
      <c r="C304" s="3" t="s">
        <v>55</v>
      </c>
      <c r="D304" s="3">
        <v>41</v>
      </c>
      <c r="E304" s="4">
        <v>302</v>
      </c>
      <c r="F304" s="3">
        <v>4105</v>
      </c>
      <c r="G304" s="3" t="s">
        <v>31</v>
      </c>
      <c r="H304" s="3">
        <f>VLOOKUP(Check[[#This Row],[טיפוס]],Tipus[],2,FALSE)</f>
        <v>5</v>
      </c>
      <c r="I304" s="3" t="str">
        <f>VLOOKUP(Check[[#This Row],[טיפוס]],Tipus[],3,FALSE)</f>
        <v>פרימיום</v>
      </c>
      <c r="J304" s="3" t="str">
        <f>VLOOKUP(Check[[#This Row],[טיפוס]],Tipus[],4,FALSE)</f>
        <v>H</v>
      </c>
      <c r="K304" s="3" t="str">
        <f>IF(Check[[#This Row],[סטטוס2]]="הולד","פנויה",Check[[#This Row],[סטטוס2]])</f>
        <v>מכורה</v>
      </c>
      <c r="L304" s="382" t="s">
        <v>130</v>
      </c>
      <c r="M304" s="382"/>
      <c r="N304" s="383" t="s">
        <v>1234</v>
      </c>
      <c r="O304" s="383"/>
      <c r="P304" s="418"/>
      <c r="Q304" s="418"/>
      <c r="R304" s="400"/>
      <c r="S304" s="386">
        <v>44525</v>
      </c>
      <c r="T304" s="386" t="s">
        <v>1149</v>
      </c>
      <c r="U304" s="385" t="s">
        <v>1062</v>
      </c>
      <c r="V304" s="385" t="s">
        <v>1063</v>
      </c>
      <c r="W304" s="387"/>
    </row>
    <row r="305" spans="1:23" x14ac:dyDescent="0.2">
      <c r="A305" s="13" t="str">
        <f>_xlfn.CONCAT(VLOOKUP(Check[[#This Row],[סטטוס]],Sold,2,FALSE),IF(Check[[#This Row],[סטטוס]]="פנויה",IF(N305="גמר מלא סטנדרט",".GMS",IF(N305="גמר מלא טיוב חומרים",".GMC",IF(N305="גמר מינימלי",".GM",IF(N305="דירת שיווק",".DS","")))),""),".",VLOOKUP(Check[[#This Row],[טיפוס]],Tipus[],5,FALSE),".",VLOOKUP(Check[[#This Row],[מגדל]],Tower,2,FALSE),".Ap.",Check[[#This Row],[מספר דירה]])</f>
        <v>V.GMS.P.4D.TS.Ap.303</v>
      </c>
      <c r="B305" s="13" t="str">
        <f>_xlfn.CONCAT(VLOOKUP(Check[[#This Row],[סטטוס]],Sold,2,FALSE),IF(Check[[#This Row],[סטטוס]]="פנויה",IF(N305="גמר מלא סטנדרט",".GMS",IF(N305="גמר מלא טיוב חומרים",".GMC",IF(N305="גמר מינימלי",".GM",IF(N305="דירת שיווק",".DS","")))),""),IF(M305="זומן לטרום",".ZLT",IF(M305="טרום מסירה",".TM",IF(M305="טרום מסירה מהנדס",".TMM",IF(M305="מסירת חזקה",".MH",IF(M305="מסירת חזקה מהנדס",".MHM",""))))),".",VLOOKUP(Check[[#This Row],[טיפוס]],Tipus[],5,FALSE),".",VLOOKUP(Check[[#This Row],[מגדל]],Tower,2,FALSE),".Ap.",Check[[#This Row],[מספר דירה]])</f>
        <v>V.GMS.P.4D.TS.Ap.303</v>
      </c>
      <c r="C305" s="3" t="s">
        <v>55</v>
      </c>
      <c r="D305" s="3">
        <v>42</v>
      </c>
      <c r="E305" s="4">
        <v>303</v>
      </c>
      <c r="F305" s="3">
        <v>4201</v>
      </c>
      <c r="G305" s="3" t="s">
        <v>27</v>
      </c>
      <c r="H305" s="3">
        <f>VLOOKUP(Check[[#This Row],[טיפוס]],Tipus[],2,FALSE)</f>
        <v>4</v>
      </c>
      <c r="I305" s="3" t="str">
        <f>VLOOKUP(Check[[#This Row],[טיפוס]],Tipus[],3,FALSE)</f>
        <v>פרימיום</v>
      </c>
      <c r="J305" s="3" t="str">
        <f>VLOOKUP(Check[[#This Row],[טיפוס]],Tipus[],4,FALSE)</f>
        <v>G (P)</v>
      </c>
      <c r="K305" s="3" t="str">
        <f>IF(Check[[#This Row],[סטטוס2]]="הולד","פנויה",Check[[#This Row],[סטטוס2]])</f>
        <v>פנויה</v>
      </c>
      <c r="L305" s="382" t="s">
        <v>108</v>
      </c>
      <c r="M305" s="382"/>
      <c r="N305" t="s">
        <v>1367</v>
      </c>
      <c r="O305" s="383" t="s">
        <v>1390</v>
      </c>
      <c r="P305" s="410" t="s">
        <v>1389</v>
      </c>
      <c r="Q305" s="410"/>
      <c r="R305" s="400"/>
      <c r="S305" s="384"/>
      <c r="T305" s="384" t="s">
        <v>214</v>
      </c>
      <c r="U305" s="385"/>
      <c r="V305" s="385"/>
      <c r="W305" s="387"/>
    </row>
    <row r="306" spans="1:23" x14ac:dyDescent="0.2">
      <c r="A306" s="13" t="str">
        <f>_xlfn.CONCAT(VLOOKUP(Check[[#This Row],[סטטוס]],Sold,2,FALSE),IF(Check[[#This Row],[סטטוס]]="פנויה",IF(N306="גמר מלא סטנדרט",".GMS",IF(N306="גמר מלא טיוב חומרים",".GMC",IF(N306="גמר מינימלי",".GM",IF(N306="דירת שיווק",".DS","")))),""),".",VLOOKUP(Check[[#This Row],[טיפוס]],Tipus[],5,FALSE),".",VLOOKUP(Check[[#This Row],[מגדל]],Tower,2,FALSE),".Ap.",Check[[#This Row],[מספר דירה]])</f>
        <v>O.P.4E.TS.Ap.304</v>
      </c>
      <c r="B306" s="13" t="str">
        <f>_xlfn.CONCAT(VLOOKUP(Check[[#This Row],[סטטוס]],Sold,2,FALSE),IF(Check[[#This Row],[סטטוס]]="פנויה",IF(N306="גמר מלא סטנדרט",".GMS",IF(N306="גמר מלא טיוב חומרים",".GMC",IF(N306="גמר מינימלי",".GM",IF(N306="דירת שיווק",".DS","")))),""),IF(M306="זומן לטרום",".ZLT",IF(M306="טרום מסירה",".TM",IF(M306="טרום מסירה מהנדס",".TMM",IF(M306="מסירת חזקה",".MH",IF(M306="מסירת חזקה מהנדס",".MHM",""))))),".",VLOOKUP(Check[[#This Row],[טיפוס]],Tipus[],5,FALSE),".",VLOOKUP(Check[[#This Row],[מגדל]],Tower,2,FALSE),".Ap.",Check[[#This Row],[מספר דירה]])</f>
        <v>O.P.4E.TS.Ap.304</v>
      </c>
      <c r="C306" s="3" t="s">
        <v>55</v>
      </c>
      <c r="D306" s="3">
        <v>42</v>
      </c>
      <c r="E306" s="4">
        <v>304</v>
      </c>
      <c r="F306" s="3">
        <v>4202</v>
      </c>
      <c r="G306" s="3" t="s">
        <v>28</v>
      </c>
      <c r="H306" s="3">
        <f>VLOOKUP(Check[[#This Row],[טיפוס]],Tipus[],2,FALSE)</f>
        <v>4</v>
      </c>
      <c r="I306" s="3" t="str">
        <f>VLOOKUP(Check[[#This Row],[טיפוס]],Tipus[],3,FALSE)</f>
        <v>פרימיום</v>
      </c>
      <c r="J306" s="3" t="str">
        <f>VLOOKUP(Check[[#This Row],[טיפוס]],Tipus[],4,FALSE)</f>
        <v>C+D</v>
      </c>
      <c r="K306" s="3" t="str">
        <f>IF(Check[[#This Row],[סטטוס2]]="הולד","פנויה",Check[[#This Row],[סטטוס2]])</f>
        <v>בעלים</v>
      </c>
      <c r="L306" s="382" t="s">
        <v>91</v>
      </c>
      <c r="M306" s="382"/>
      <c r="N306" s="383"/>
      <c r="O306" s="383"/>
      <c r="P306" s="418"/>
      <c r="Q306" s="418"/>
      <c r="R306" s="400"/>
      <c r="S306" s="384">
        <v>44040</v>
      </c>
      <c r="T306" s="384" t="s">
        <v>233</v>
      </c>
      <c r="U306" s="385" t="s">
        <v>500</v>
      </c>
      <c r="V306" s="385" t="s">
        <v>501</v>
      </c>
      <c r="W306" s="385" t="s">
        <v>214</v>
      </c>
    </row>
    <row r="307" spans="1:23" x14ac:dyDescent="0.2">
      <c r="A307" s="13" t="str">
        <f>_xlfn.CONCAT(VLOOKUP(Check[[#This Row],[סטטוס]],Sold,2,FALSE),IF(Check[[#This Row],[סטטוס]]="פנויה",IF(N307="גמר מלא סטנדרט",".GMS",IF(N307="גמר מלא טיוב חומרים",".GMC",IF(N307="גמר מינימלי",".GM",IF(N307="דירת שיווק",".DS","")))),""),".",VLOOKUP(Check[[#This Row],[טיפוס]],Tipus[],5,FALSE),".",VLOOKUP(Check[[#This Row],[מגדל]],Tower,2,FALSE),".Ap.",Check[[#This Row],[מספר דירה]])</f>
        <v>O.P.4F.TS.Ap.305</v>
      </c>
      <c r="B307" s="13" t="str">
        <f>_xlfn.CONCAT(VLOOKUP(Check[[#This Row],[סטטוס]],Sold,2,FALSE),IF(Check[[#This Row],[סטטוס]]="פנויה",IF(N307="גמר מלא סטנדרט",".GMS",IF(N307="גמר מלא טיוב חומרים",".GMC",IF(N307="גמר מינימלי",".GM",IF(N307="דירת שיווק",".DS","")))),""),IF(M307="זומן לטרום",".ZLT",IF(M307="טרום מסירה",".TM",IF(M307="טרום מסירה מהנדס",".TMM",IF(M307="מסירת חזקה",".MH",IF(M307="מסירת חזקה מהנדס",".MHM",""))))),".",VLOOKUP(Check[[#This Row],[טיפוס]],Tipus[],5,FALSE),".",VLOOKUP(Check[[#This Row],[מגדל]],Tower,2,FALSE),".Ap.",Check[[#This Row],[מספר דירה]])</f>
        <v>O.P.4F.TS.Ap.305</v>
      </c>
      <c r="C307" s="3" t="s">
        <v>55</v>
      </c>
      <c r="D307" s="3">
        <v>42</v>
      </c>
      <c r="E307" s="4">
        <v>305</v>
      </c>
      <c r="F307" s="3">
        <v>4203</v>
      </c>
      <c r="G307" s="3" t="s">
        <v>29</v>
      </c>
      <c r="H307" s="3">
        <f>VLOOKUP(Check[[#This Row],[טיפוס]],Tipus[],2,FALSE)</f>
        <v>4</v>
      </c>
      <c r="I307" s="3" t="str">
        <f>VLOOKUP(Check[[#This Row],[טיפוס]],Tipus[],3,FALSE)</f>
        <v>פרימיום</v>
      </c>
      <c r="J307" s="3" t="str">
        <f>VLOOKUP(Check[[#This Row],[טיפוס]],Tipus[],4,FALSE)</f>
        <v>A (P)</v>
      </c>
      <c r="K307" s="3" t="str">
        <f>IF(Check[[#This Row],[סטטוס2]]="הולד","פנויה",Check[[#This Row],[סטטוס2]])</f>
        <v>בעלים</v>
      </c>
      <c r="L307" s="382" t="s">
        <v>91</v>
      </c>
      <c r="M307" s="382"/>
      <c r="N307" s="383"/>
      <c r="O307" s="383"/>
      <c r="P307" s="418"/>
      <c r="Q307" s="418"/>
      <c r="R307" s="400"/>
      <c r="S307" s="384">
        <v>44040</v>
      </c>
      <c r="T307" s="384" t="s">
        <v>502</v>
      </c>
      <c r="U307" s="385" t="s">
        <v>503</v>
      </c>
      <c r="V307" s="385" t="s">
        <v>504</v>
      </c>
      <c r="W307" s="385" t="s">
        <v>214</v>
      </c>
    </row>
    <row r="308" spans="1:23" ht="47.25" x14ac:dyDescent="0.2">
      <c r="A308" s="13" t="str">
        <f>_xlfn.CONCAT(VLOOKUP(Check[[#This Row],[סטטוס]],Sold,2,FALSE),IF(Check[[#This Row],[סטטוס]]="פנויה",IF(N308="גמר מלא סטנדרט",".GMS",IF(N308="גמר מלא טיוב חומרים",".GMC",IF(N308="גמר מינימלי",".GM",IF(N308="דירת שיווק",".DS","")))),""),".",VLOOKUP(Check[[#This Row],[טיפוס]],Tipus[],5,FALSE),".",VLOOKUP(Check[[#This Row],[מגדל]],Tower,2,FALSE),".Ap.",Check[[#This Row],[מספר דירה]])</f>
        <v>S.P.5CP.TS.Ap.306</v>
      </c>
      <c r="B308" s="13" t="str">
        <f>_xlfn.CONCAT(VLOOKUP(Check[[#This Row],[סטטוס]],Sold,2,FALSE),IF(Check[[#This Row],[סטטוס]]="פנויה",IF(N308="גמר מלא סטנדרט",".GMS",IF(N308="גמר מלא טיוב חומרים",".GMC",IF(N308="גמר מינימלי",".GM",IF(N308="דירת שיווק",".DS","")))),""),IF(M308="זומן לטרום",".ZLT",IF(M308="טרום מסירה",".TM",IF(M308="טרום מסירה מהנדס",".TMM",IF(M308="מסירת חזקה",".MH",IF(M308="מסירת חזקה מהנדס",".MHM",""))))),".",VLOOKUP(Check[[#This Row],[טיפוס]],Tipus[],5,FALSE),".",VLOOKUP(Check[[#This Row],[מגדל]],Tower,2,FALSE),".Ap.",Check[[#This Row],[מספר דירה]])</f>
        <v>S.P.5CP.TS.Ap.306</v>
      </c>
      <c r="C308" s="3" t="s">
        <v>55</v>
      </c>
      <c r="D308" s="3">
        <v>42</v>
      </c>
      <c r="E308" s="4">
        <v>306</v>
      </c>
      <c r="F308" s="3">
        <v>4204</v>
      </c>
      <c r="G308" s="3" t="s">
        <v>1269</v>
      </c>
      <c r="H308" s="3">
        <f>VLOOKUP(Check[[#This Row],[טיפוס]],Tipus[],2,FALSE)</f>
        <v>5</v>
      </c>
      <c r="I308" s="3" t="str">
        <f>VLOOKUP(Check[[#This Row],[טיפוס]],Tipus[],3,FALSE)</f>
        <v>פרימיום</v>
      </c>
      <c r="J308" s="3" t="str">
        <f>VLOOKUP(Check[[#This Row],[טיפוס]],Tipus[],4,FALSE)</f>
        <v>J</v>
      </c>
      <c r="K308" s="3" t="str">
        <f>IF(Check[[#This Row],[סטטוס2]]="הולד","פנויה",Check[[#This Row],[סטטוס2]])</f>
        <v>מכורה</v>
      </c>
      <c r="L308" s="397" t="s">
        <v>130</v>
      </c>
      <c r="M308" s="397"/>
      <c r="N308" s="408" t="s">
        <v>1380</v>
      </c>
      <c r="O308" s="406" t="s">
        <v>1409</v>
      </c>
      <c r="P308" s="417"/>
      <c r="Q308" s="421"/>
      <c r="R308" s="400"/>
      <c r="S308" s="384"/>
      <c r="T308" s="384" t="s">
        <v>214</v>
      </c>
      <c r="U308" s="385"/>
      <c r="V308" s="385"/>
      <c r="W308" s="387"/>
    </row>
    <row r="309" spans="1:23" ht="47.25" x14ac:dyDescent="0.2">
      <c r="A309" s="13" t="str">
        <f>_xlfn.CONCAT(VLOOKUP(Check[[#This Row],[סטטוס]],Sold,2,FALSE),IF(Check[[#This Row],[סטטוס]]="פנויה",IF(N309="גמר מלא סטנדרט",".GMS",IF(N309="גמר מלא טיוב חומרים",".GMC",IF(N309="גמר מינימלי",".GM",IF(N309="דירת שיווק",".DS","")))),""),".",VLOOKUP(Check[[#This Row],[טיפוס]],Tipus[],5,FALSE),".",VLOOKUP(Check[[#This Row],[מגדל]],Tower,2,FALSE),".Ap.",Check[[#This Row],[מספר דירה]])</f>
        <v>V.GM.P.4BP.TS.Ap.307</v>
      </c>
      <c r="B309" s="13" t="str">
        <f>_xlfn.CONCAT(VLOOKUP(Check[[#This Row],[סטטוס]],Sold,2,FALSE),IF(Check[[#This Row],[סטטוס]]="פנויה",IF(N309="גמר מלא סטנדרט",".GMS",IF(N309="גמר מלא טיוב חומרים",".GMC",IF(N309="גמר מינימלי",".GM",IF(N309="דירת שיווק",".DS","")))),""),IF(M309="זומן לטרום",".ZLT",IF(M309="טרום מסירה",".TM",IF(M309="טרום מסירה מהנדס",".TMM",IF(M309="מסירת חזקה",".MH",IF(M309="מסירת חזקה מהנדס",".MHM",""))))),".",VLOOKUP(Check[[#This Row],[טיפוס]],Tipus[],5,FALSE),".",VLOOKUP(Check[[#This Row],[מגדל]],Tower,2,FALSE),".Ap.",Check[[#This Row],[מספר דירה]])</f>
        <v>V.GM.P.4BP.TS.Ap.307</v>
      </c>
      <c r="C309" s="3" t="s">
        <v>55</v>
      </c>
      <c r="D309" s="3">
        <v>42</v>
      </c>
      <c r="E309" s="4">
        <v>307</v>
      </c>
      <c r="F309" s="3">
        <v>4205</v>
      </c>
      <c r="G309" s="3" t="s">
        <v>1271</v>
      </c>
      <c r="H309" s="3">
        <f>VLOOKUP(Check[[#This Row],[טיפוס]],Tipus[],2,FALSE)</f>
        <v>4</v>
      </c>
      <c r="I309" s="3" t="str">
        <f>VLOOKUP(Check[[#This Row],[טיפוס]],Tipus[],3,FALSE)</f>
        <v>פרימיום</v>
      </c>
      <c r="J309" s="3" t="str">
        <f>VLOOKUP(Check[[#This Row],[טיפוס]],Tipus[],4,FALSE)</f>
        <v>H</v>
      </c>
      <c r="K309" s="3" t="str">
        <f>IF(Check[[#This Row],[סטטוס2]]="הולד","פנויה",Check[[#This Row],[סטטוס2]])</f>
        <v>פנויה</v>
      </c>
      <c r="L309" s="382" t="s">
        <v>108</v>
      </c>
      <c r="M309" s="382"/>
      <c r="N309" t="s">
        <v>1366</v>
      </c>
      <c r="O309" s="404" t="s">
        <v>1406</v>
      </c>
      <c r="P309" s="410" t="s">
        <v>1385</v>
      </c>
      <c r="Q309" s="410" t="s">
        <v>1403</v>
      </c>
      <c r="R309" s="400"/>
      <c r="S309" s="384"/>
      <c r="T309" s="398"/>
      <c r="U309" s="385"/>
      <c r="V309" s="385"/>
      <c r="W309" s="387"/>
    </row>
    <row r="310" spans="1:23" x14ac:dyDescent="0.2">
      <c r="A310" s="13" t="str">
        <f>_xlfn.CONCAT(VLOOKUP(Check[[#This Row],[סטטוס]],Sold,2,FALSE),IF(Check[[#This Row],[סטטוס]]="פנויה",IF(N310="גמר מלא סטנדרט",".GMS",IF(N310="גמר מלא טיוב חומרים",".GMC",IF(N310="גמר מינימלי",".GM",IF(N310="דירת שיווק",".DS","")))),""),".",VLOOKUP(Check[[#This Row],[טיפוס]],Tipus[],5,FALSE),".",VLOOKUP(Check[[#This Row],[מגדל]],Tower,2,FALSE),".Ap.",Check[[#This Row],[מספר דירה]])</f>
        <v>V.GMS.P.4D.TS.Ap.308</v>
      </c>
      <c r="B310" s="13" t="str">
        <f>_xlfn.CONCAT(VLOOKUP(Check[[#This Row],[סטטוס]],Sold,2,FALSE),IF(Check[[#This Row],[סטטוס]]="פנויה",IF(N310="גמר מלא סטנדרט",".GMS",IF(N310="גמר מלא טיוב חומרים",".GMC",IF(N310="גמר מינימלי",".GM",IF(N310="דירת שיווק",".DS","")))),""),IF(M310="זומן לטרום",".ZLT",IF(M310="טרום מסירה",".TM",IF(M310="טרום מסירה מהנדס",".TMM",IF(M310="מסירת חזקה",".MH",IF(M310="מסירת חזקה מהנדס",".MHM",""))))),".",VLOOKUP(Check[[#This Row],[טיפוס]],Tipus[],5,FALSE),".",VLOOKUP(Check[[#This Row],[מגדל]],Tower,2,FALSE),".Ap.",Check[[#This Row],[מספר דירה]])</f>
        <v>V.GMS.P.4D.TS.Ap.308</v>
      </c>
      <c r="C310" s="3" t="s">
        <v>55</v>
      </c>
      <c r="D310" s="3">
        <v>43</v>
      </c>
      <c r="E310" s="4">
        <v>308</v>
      </c>
      <c r="F310" s="3">
        <v>4301</v>
      </c>
      <c r="G310" s="3" t="s">
        <v>27</v>
      </c>
      <c r="H310" s="3">
        <f>VLOOKUP(Check[[#This Row],[טיפוס]],Tipus[],2,FALSE)</f>
        <v>4</v>
      </c>
      <c r="I310" s="3" t="str">
        <f>VLOOKUP(Check[[#This Row],[טיפוס]],Tipus[],3,FALSE)</f>
        <v>פרימיום</v>
      </c>
      <c r="J310" s="3" t="str">
        <f>VLOOKUP(Check[[#This Row],[טיפוס]],Tipus[],4,FALSE)</f>
        <v>G (P)</v>
      </c>
      <c r="K310" s="3" t="str">
        <f>IF(Check[[#This Row],[סטטוס2]]="הולד","פנויה",Check[[#This Row],[סטטוס2]])</f>
        <v>פנויה</v>
      </c>
      <c r="L310" s="397" t="s">
        <v>108</v>
      </c>
      <c r="M310" s="397"/>
      <c r="N310" t="s">
        <v>1367</v>
      </c>
      <c r="O310" s="383" t="s">
        <v>1390</v>
      </c>
      <c r="P310" s="410" t="s">
        <v>1389</v>
      </c>
      <c r="Q310" s="410" t="s">
        <v>1403</v>
      </c>
      <c r="R310" s="383"/>
      <c r="S310" s="384"/>
      <c r="T310" s="384" t="s">
        <v>214</v>
      </c>
      <c r="U310" s="385"/>
      <c r="V310" s="385"/>
      <c r="W310" s="387"/>
    </row>
    <row r="311" spans="1:23" x14ac:dyDescent="0.2">
      <c r="A311" s="13" t="str">
        <f>_xlfn.CONCAT(VLOOKUP(Check[[#This Row],[סטטוס]],Sold,2,FALSE),IF(Check[[#This Row],[סטטוס]]="פנויה",IF(N311="גמר מלא סטנדרט",".GMS",IF(N311="גמר מלא טיוב חומרים",".GMC",IF(N311="גמר מינימלי",".GM",IF(N311="דירת שיווק",".DS","")))),""),".",VLOOKUP(Check[[#This Row],[טיפוס]],Tipus[],5,FALSE),".",VLOOKUP(Check[[#This Row],[מגדל]],Tower,2,FALSE),".Ap.",Check[[#This Row],[מספר דירה]])</f>
        <v>O.P.4E.TS.Ap.309</v>
      </c>
      <c r="B311" s="13" t="str">
        <f>_xlfn.CONCAT(VLOOKUP(Check[[#This Row],[סטטוס]],Sold,2,FALSE),IF(Check[[#This Row],[סטטוס]]="פנויה",IF(N311="גמר מלא סטנדרט",".GMS",IF(N311="גמר מלא טיוב חומרים",".GMC",IF(N311="גמר מינימלי",".GM",IF(N311="דירת שיווק",".DS","")))),""),IF(M311="זומן לטרום",".ZLT",IF(M311="טרום מסירה",".TM",IF(M311="טרום מסירה מהנדס",".TMM",IF(M311="מסירת חזקה",".MH",IF(M311="מסירת חזקה מהנדס",".MHM",""))))),".",VLOOKUP(Check[[#This Row],[טיפוס]],Tipus[],5,FALSE),".",VLOOKUP(Check[[#This Row],[מגדל]],Tower,2,FALSE),".Ap.",Check[[#This Row],[מספר דירה]])</f>
        <v>O.P.4E.TS.Ap.309</v>
      </c>
      <c r="C311" s="3" t="s">
        <v>55</v>
      </c>
      <c r="D311" s="3">
        <v>43</v>
      </c>
      <c r="E311" s="4">
        <v>309</v>
      </c>
      <c r="F311" s="3">
        <v>4302</v>
      </c>
      <c r="G311" s="3" t="s">
        <v>28</v>
      </c>
      <c r="H311" s="3">
        <f>VLOOKUP(Check[[#This Row],[טיפוס]],Tipus[],2,FALSE)</f>
        <v>4</v>
      </c>
      <c r="I311" s="3" t="str">
        <f>VLOOKUP(Check[[#This Row],[טיפוס]],Tipus[],3,FALSE)</f>
        <v>פרימיום</v>
      </c>
      <c r="J311" s="3" t="str">
        <f>VLOOKUP(Check[[#This Row],[טיפוס]],Tipus[],4,FALSE)</f>
        <v>C+D</v>
      </c>
      <c r="K311" s="3" t="str">
        <f>IF(Check[[#This Row],[סטטוס2]]="הולד","פנויה",Check[[#This Row],[סטטוס2]])</f>
        <v>בעלים</v>
      </c>
      <c r="L311" s="382" t="s">
        <v>91</v>
      </c>
      <c r="M311" s="382"/>
      <c r="N311" s="383"/>
      <c r="O311" s="383"/>
      <c r="P311" s="411"/>
      <c r="Q311" s="411"/>
      <c r="R311" s="383"/>
      <c r="S311" s="384">
        <v>44040</v>
      </c>
      <c r="T311" s="384" t="s">
        <v>505</v>
      </c>
      <c r="U311" s="385" t="s">
        <v>506</v>
      </c>
      <c r="V311" s="385" t="s">
        <v>507</v>
      </c>
      <c r="W311" s="385" t="s">
        <v>508</v>
      </c>
    </row>
    <row r="312" spans="1:23" x14ac:dyDescent="0.2">
      <c r="A312" s="13" t="str">
        <f>_xlfn.CONCAT(VLOOKUP(Check[[#This Row],[סטטוס]],Sold,2,FALSE),IF(Check[[#This Row],[סטטוס]]="פנויה",IF(N312="גמר מלא סטנדרט",".GMS",IF(N312="גמר מלא טיוב חומרים",".GMC",IF(N312="גמר מינימלי",".GM",IF(N312="דירת שיווק",".DS","")))),""),".",VLOOKUP(Check[[#This Row],[טיפוס]],Tipus[],5,FALSE),".",VLOOKUP(Check[[#This Row],[מגדל]],Tower,2,FALSE),".Ap.",Check[[#This Row],[מספר דירה]])</f>
        <v>O.P.4F.TS.Ap.310</v>
      </c>
      <c r="B312" s="13" t="str">
        <f>_xlfn.CONCAT(VLOOKUP(Check[[#This Row],[סטטוס]],Sold,2,FALSE),IF(Check[[#This Row],[סטטוס]]="פנויה",IF(N312="גמר מלא סטנדרט",".GMS",IF(N312="גמר מלא טיוב חומרים",".GMC",IF(N312="גמר מינימלי",".GM",IF(N312="דירת שיווק",".DS","")))),""),IF(M312="זומן לטרום",".ZLT",IF(M312="טרום מסירה",".TM",IF(M312="טרום מסירה מהנדס",".TMM",IF(M312="מסירת חזקה",".MH",IF(M312="מסירת חזקה מהנדס",".MHM",""))))),".",VLOOKUP(Check[[#This Row],[טיפוס]],Tipus[],5,FALSE),".",VLOOKUP(Check[[#This Row],[מגדל]],Tower,2,FALSE),".Ap.",Check[[#This Row],[מספר דירה]])</f>
        <v>O.P.4F.TS.Ap.310</v>
      </c>
      <c r="C312" s="3" t="s">
        <v>55</v>
      </c>
      <c r="D312" s="3">
        <v>43</v>
      </c>
      <c r="E312" s="4">
        <v>310</v>
      </c>
      <c r="F312" s="3">
        <v>4303</v>
      </c>
      <c r="G312" s="3" t="s">
        <v>29</v>
      </c>
      <c r="H312" s="3">
        <f>VLOOKUP(Check[[#This Row],[טיפוס]],Tipus[],2,FALSE)</f>
        <v>4</v>
      </c>
      <c r="I312" s="3" t="str">
        <f>VLOOKUP(Check[[#This Row],[טיפוס]],Tipus[],3,FALSE)</f>
        <v>פרימיום</v>
      </c>
      <c r="J312" s="3" t="str">
        <f>VLOOKUP(Check[[#This Row],[טיפוס]],Tipus[],4,FALSE)</f>
        <v>A (P)</v>
      </c>
      <c r="K312" s="3" t="str">
        <f>IF(Check[[#This Row],[סטטוס2]]="הולד","פנויה",Check[[#This Row],[סטטוס2]])</f>
        <v>בעלים</v>
      </c>
      <c r="L312" s="382" t="s">
        <v>91</v>
      </c>
      <c r="M312" s="382"/>
      <c r="N312" s="383"/>
      <c r="O312" s="383"/>
      <c r="P312" s="418"/>
      <c r="Q312" s="418"/>
      <c r="R312" s="400"/>
      <c r="S312" s="384">
        <v>44040</v>
      </c>
      <c r="T312" s="384" t="s">
        <v>468</v>
      </c>
      <c r="U312" s="385" t="s">
        <v>509</v>
      </c>
      <c r="V312" s="385" t="s">
        <v>510</v>
      </c>
      <c r="W312" s="385" t="s">
        <v>511</v>
      </c>
    </row>
    <row r="313" spans="1:23" ht="140.44999999999999" customHeight="1" x14ac:dyDescent="0.2">
      <c r="A313" s="13" t="str">
        <f>_xlfn.CONCAT(VLOOKUP(Check[[#This Row],[סטטוס]],Sold,2,FALSE),IF(Check[[#This Row],[סטטוס]]="פנויה",IF(N313="גמר מלא סטנדרט",".GMS",IF(N313="גמר מלא טיוב חומרים",".GMC",IF(N313="גמר מינימלי",".GM",IF(N313="דירת שיווק",".DS","")))),""),".",VLOOKUP(Check[[#This Row],[טיפוס]],Tipus[],5,FALSE),".",VLOOKUP(Check[[#This Row],[מגדל]],Tower,2,FALSE),".Ap.",Check[[#This Row],[מספר דירה]])</f>
        <v>S.P.5CP.TS.Ap.311</v>
      </c>
      <c r="B313" s="13" t="str">
        <f>_xlfn.CONCAT(VLOOKUP(Check[[#This Row],[סטטוס]],Sold,2,FALSE),IF(Check[[#This Row],[סטטוס]]="פנויה",IF(N313="גמר מלא סטנדרט",".GMS",IF(N313="גמר מלא טיוב חומרים",".GMC",IF(N313="גמר מינימלי",".GM",IF(N313="דירת שיווק",".DS","")))),""),IF(M313="זומן לטרום",".ZLT",IF(M313="טרום מסירה",".TM",IF(M313="טרום מסירה מהנדס",".TMM",IF(M313="מסירת חזקה",".MH",IF(M313="מסירת חזקה מהנדס",".MHM",""))))),".",VLOOKUP(Check[[#This Row],[טיפוס]],Tipus[],5,FALSE),".",VLOOKUP(Check[[#This Row],[מגדל]],Tower,2,FALSE),".Ap.",Check[[#This Row],[מספר דירה]])</f>
        <v>S.P.5CP.TS.Ap.311</v>
      </c>
      <c r="C313" s="3" t="s">
        <v>55</v>
      </c>
      <c r="D313" s="3">
        <v>43</v>
      </c>
      <c r="E313" s="4">
        <v>311</v>
      </c>
      <c r="F313" s="3">
        <v>4304</v>
      </c>
      <c r="G313" s="3" t="s">
        <v>1269</v>
      </c>
      <c r="H313" s="3">
        <f>VLOOKUP(Check[[#This Row],[טיפוס]],Tipus[],2,FALSE)</f>
        <v>5</v>
      </c>
      <c r="I313" s="3" t="str">
        <f>VLOOKUP(Check[[#This Row],[טיפוס]],Tipus[],3,FALSE)</f>
        <v>פרימיום</v>
      </c>
      <c r="J313" s="3" t="str">
        <f>VLOOKUP(Check[[#This Row],[טיפוס]],Tipus[],4,FALSE)</f>
        <v>J</v>
      </c>
      <c r="K313" s="3" t="str">
        <f>IF(Check[[#This Row],[סטטוס2]]="הולד","פנויה",Check[[#This Row],[סטטוס2]])</f>
        <v>מכורה</v>
      </c>
      <c r="L313" s="382" t="s">
        <v>130</v>
      </c>
      <c r="M313" s="382"/>
      <c r="N313" s="408" t="s">
        <v>1380</v>
      </c>
      <c r="O313" s="406" t="s">
        <v>1409</v>
      </c>
      <c r="P313" s="417"/>
      <c r="Q313" s="421"/>
      <c r="R313" s="400"/>
      <c r="S313" s="384"/>
      <c r="T313" s="384" t="s">
        <v>1371</v>
      </c>
      <c r="U313" s="385"/>
      <c r="V313" s="385"/>
      <c r="W313" s="387"/>
    </row>
    <row r="314" spans="1:23" ht="30.75" customHeight="1" x14ac:dyDescent="0.2">
      <c r="A314" s="13" t="str">
        <f>_xlfn.CONCAT(VLOOKUP(Check[[#This Row],[סטטוס]],Sold,2,FALSE),IF(Check[[#This Row],[סטטוס]]="פנויה",IF(N314="גמר מלא סטנדרט",".GMS",IF(N314="גמר מלא טיוב חומרים",".GMC",IF(N314="גמר מינימלי",".GM",IF(N314="דירת שיווק",".DS","")))),""),".",VLOOKUP(Check[[#This Row],[טיפוס]],Tipus[],5,FALSE),".",VLOOKUP(Check[[#This Row],[מגדל]],Tower,2,FALSE),".Ap.",Check[[#This Row],[מספר דירה]])</f>
        <v>S.P.4BP.TS.Ap.312</v>
      </c>
      <c r="B314" s="13" t="str">
        <f>_xlfn.CONCAT(VLOOKUP(Check[[#This Row],[סטטוס]],Sold,2,FALSE),IF(Check[[#This Row],[סטטוס]]="פנויה",IF(N314="גמר מלא סטנדרט",".GMS",IF(N314="גמר מלא טיוב חומרים",".GMC",IF(N314="גמר מינימלי",".GM",IF(N314="דירת שיווק",".DS","")))),""),IF(M314="זומן לטרום",".ZLT",IF(M314="טרום מסירה",".TM",IF(M314="טרום מסירה מהנדס",".TMM",IF(M314="מסירת חזקה",".MH",IF(M314="מסירת חזקה מהנדס",".MHM",""))))),".",VLOOKUP(Check[[#This Row],[טיפוס]],Tipus[],5,FALSE),".",VLOOKUP(Check[[#This Row],[מגדל]],Tower,2,FALSE),".Ap.",Check[[#This Row],[מספר דירה]])</f>
        <v>S.P.4BP.TS.Ap.312</v>
      </c>
      <c r="C314" s="3" t="s">
        <v>55</v>
      </c>
      <c r="D314" s="3">
        <v>43</v>
      </c>
      <c r="E314" s="4">
        <v>312</v>
      </c>
      <c r="F314" s="3">
        <v>4305</v>
      </c>
      <c r="G314" s="3" t="s">
        <v>1271</v>
      </c>
      <c r="H314" s="3">
        <f>VLOOKUP(Check[[#This Row],[טיפוס]],Tipus[],2,FALSE)</f>
        <v>4</v>
      </c>
      <c r="I314" s="3" t="str">
        <f>VLOOKUP(Check[[#This Row],[טיפוס]],Tipus[],3,FALSE)</f>
        <v>פרימיום</v>
      </c>
      <c r="J314" s="3" t="str">
        <f>VLOOKUP(Check[[#This Row],[טיפוס]],Tipus[],4,FALSE)</f>
        <v>H</v>
      </c>
      <c r="K314" s="3" t="str">
        <f>IF(Check[[#This Row],[סטטוס2]]="הולד","פנויה",Check[[#This Row],[סטטוס2]])</f>
        <v>מכורה</v>
      </c>
      <c r="L314" s="382" t="s">
        <v>130</v>
      </c>
      <c r="M314" s="382"/>
      <c r="N314" s="420" t="s">
        <v>1392</v>
      </c>
      <c r="O314" s="422" t="s">
        <v>1410</v>
      </c>
      <c r="P314" s="413" t="s">
        <v>1384</v>
      </c>
      <c r="Q314" s="413"/>
      <c r="R314" s="400"/>
      <c r="S314" s="384"/>
      <c r="T314" s="384" t="s">
        <v>1371</v>
      </c>
      <c r="U314" s="385"/>
      <c r="V314" s="385"/>
      <c r="W314" s="387"/>
    </row>
    <row r="315" spans="1:23" x14ac:dyDescent="0.2">
      <c r="A315" s="13" t="str">
        <f>_xlfn.CONCAT(VLOOKUP(Check[[#This Row],[סטטוס]],Sold,2,FALSE),IF(Check[[#This Row],[סטטוס]]="פנויה",IF(N315="גמר מלא סטנדרט",".GMS",IF(N315="גמר מלא טיוב חומרים",".GMC",IF(N315="גמר מינימלי",".GM",IF(N315="דירת שיווק",".DS","")))),""),".",VLOOKUP(Check[[#This Row],[טיפוס]],Tipus[],5,FALSE),".",VLOOKUP(Check[[#This Row],[מגדל]],Tower,2,FALSE),".Ap.",Check[[#This Row],[מספר דירה]])</f>
        <v>S.P.4D.TS.Ap.313</v>
      </c>
      <c r="B315" s="13" t="str">
        <f>_xlfn.CONCAT(VLOOKUP(Check[[#This Row],[סטטוס]],Sold,2,FALSE),IF(Check[[#This Row],[סטטוס]]="פנויה",IF(N315="גמר מלא סטנדרט",".GMS",IF(N315="גמר מלא טיוב חומרים",".GMC",IF(N315="גמר מינימלי",".GM",IF(N315="דירת שיווק",".DS","")))),""),IF(M315="זומן לטרום",".ZLT",IF(M315="טרום מסירה",".TM",IF(M315="טרום מסירה מהנדס",".TMM",IF(M315="מסירת חזקה",".MH",IF(M315="מסירת חזקה מהנדס",".MHM",""))))),".",VLOOKUP(Check[[#This Row],[טיפוס]],Tipus[],5,FALSE),".",VLOOKUP(Check[[#This Row],[מגדל]],Tower,2,FALSE),".Ap.",Check[[#This Row],[מספר דירה]])</f>
        <v>S.P.4D.TS.Ap.313</v>
      </c>
      <c r="C315" s="3" t="s">
        <v>55</v>
      </c>
      <c r="D315" s="3">
        <v>44</v>
      </c>
      <c r="E315" s="4">
        <v>313</v>
      </c>
      <c r="F315" s="3">
        <v>4401</v>
      </c>
      <c r="G315" s="3" t="s">
        <v>27</v>
      </c>
      <c r="H315" s="3">
        <f>VLOOKUP(Check[[#This Row],[טיפוס]],Tipus[],2,FALSE)</f>
        <v>4</v>
      </c>
      <c r="I315" s="3" t="str">
        <f>VLOOKUP(Check[[#This Row],[טיפוס]],Tipus[],3,FALSE)</f>
        <v>פרימיום</v>
      </c>
      <c r="J315" s="3" t="str">
        <f>VLOOKUP(Check[[#This Row],[טיפוס]],Tipus[],4,FALSE)</f>
        <v>G (P)</v>
      </c>
      <c r="K315" s="3" t="str">
        <f>IF(Check[[#This Row],[סטטוס2]]="הולד","פנויה",Check[[#This Row],[סטטוס2]])</f>
        <v>מכורה</v>
      </c>
      <c r="L315" s="382" t="s">
        <v>130</v>
      </c>
      <c r="M315" s="382"/>
      <c r="N315" s="383"/>
      <c r="O315" s="383"/>
      <c r="P315" s="418"/>
      <c r="Q315" s="418"/>
      <c r="R315" s="400"/>
      <c r="S315" s="386">
        <v>44923</v>
      </c>
      <c r="T315" s="386" t="s">
        <v>1324</v>
      </c>
      <c r="U315" s="385" t="s">
        <v>1064</v>
      </c>
      <c r="V315" s="385" t="s">
        <v>1065</v>
      </c>
      <c r="W315" s="387"/>
    </row>
    <row r="316" spans="1:23" x14ac:dyDescent="0.2">
      <c r="A316" s="13" t="str">
        <f>_xlfn.CONCAT(VLOOKUP(Check[[#This Row],[סטטוס]],Sold,2,FALSE),IF(Check[[#This Row],[סטטוס]]="פנויה",IF(N316="גמר מלא סטנדרט",".GMS",IF(N316="גמר מלא טיוב חומרים",".GMC",IF(N316="גמר מינימלי",".GM",IF(N316="דירת שיווק",".DS","")))),""),".",VLOOKUP(Check[[#This Row],[טיפוס]],Tipus[],5,FALSE),".",VLOOKUP(Check[[#This Row],[מגדל]],Tower,2,FALSE),".Ap.",Check[[#This Row],[מספר דירה]])</f>
        <v>S.P.4E.TS.Ap.314</v>
      </c>
      <c r="B316" s="13" t="str">
        <f>_xlfn.CONCAT(VLOOKUP(Check[[#This Row],[סטטוס]],Sold,2,FALSE),IF(Check[[#This Row],[סטטוס]]="פנויה",IF(N316="גמר מלא סטנדרט",".GMS",IF(N316="גמר מלא טיוב חומרים",".GMC",IF(N316="גמר מינימלי",".GM",IF(N316="דירת שיווק",".DS","")))),""),IF(M316="זומן לטרום",".ZLT",IF(M316="טרום מסירה",".TM",IF(M316="טרום מסירה מהנדס",".TMM",IF(M316="מסירת חזקה",".MH",IF(M316="מסירת חזקה מהנדס",".MHM",""))))),".",VLOOKUP(Check[[#This Row],[טיפוס]],Tipus[],5,FALSE),".",VLOOKUP(Check[[#This Row],[מגדל]],Tower,2,FALSE),".Ap.",Check[[#This Row],[מספר דירה]])</f>
        <v>S.P.4E.TS.Ap.314</v>
      </c>
      <c r="C316" s="3" t="s">
        <v>55</v>
      </c>
      <c r="D316" s="3">
        <v>44</v>
      </c>
      <c r="E316" s="4">
        <v>314</v>
      </c>
      <c r="F316" s="3">
        <v>4402</v>
      </c>
      <c r="G316" s="3" t="s">
        <v>28</v>
      </c>
      <c r="H316" s="3">
        <f>VLOOKUP(Check[[#This Row],[טיפוס]],Tipus[],2,FALSE)</f>
        <v>4</v>
      </c>
      <c r="I316" s="3" t="str">
        <f>VLOOKUP(Check[[#This Row],[טיפוס]],Tipus[],3,FALSE)</f>
        <v>פרימיום</v>
      </c>
      <c r="J316" s="3" t="str">
        <f>VLOOKUP(Check[[#This Row],[טיפוס]],Tipus[],4,FALSE)</f>
        <v>C+D</v>
      </c>
      <c r="K316" s="3" t="str">
        <f>IF(Check[[#This Row],[סטטוס2]]="הולד","פנויה",Check[[#This Row],[סטטוס2]])</f>
        <v>מכורה</v>
      </c>
      <c r="L316" s="382" t="s">
        <v>130</v>
      </c>
      <c r="M316" s="382"/>
      <c r="N316" s="396"/>
      <c r="O316" s="396"/>
      <c r="P316" s="419"/>
      <c r="Q316" s="419"/>
      <c r="R316" s="401"/>
      <c r="S316" s="386">
        <v>44683</v>
      </c>
      <c r="T316" s="386" t="s">
        <v>1032</v>
      </c>
      <c r="U316" s="385" t="s">
        <v>1066</v>
      </c>
      <c r="V316" s="385" t="s">
        <v>1067</v>
      </c>
      <c r="W316" s="387"/>
    </row>
    <row r="317" spans="1:23" x14ac:dyDescent="0.2">
      <c r="A317" s="13" t="str">
        <f>_xlfn.CONCAT(VLOOKUP(Check[[#This Row],[סטטוס]],Sold,2,FALSE),IF(Check[[#This Row],[סטטוס]]="פנויה",IF(N317="גמר מלא סטנדרט",".GMS",IF(N317="גמר מלא טיוב חומרים",".GMC",IF(N317="גמר מינימלי",".GM",IF(N317="דירת שיווק",".DS","")))),""),".",VLOOKUP(Check[[#This Row],[טיפוס]],Tipus[],5,FALSE),".",VLOOKUP(Check[[#This Row],[מגדל]],Tower,2,FALSE),".Ap.",Check[[#This Row],[מספר דירה]])</f>
        <v>O.P.4F.TS.Ap.315</v>
      </c>
      <c r="B317" s="13" t="str">
        <f>_xlfn.CONCAT(VLOOKUP(Check[[#This Row],[סטטוס]],Sold,2,FALSE),IF(Check[[#This Row],[סטטוס]]="פנויה",IF(N317="גמר מלא סטנדרט",".GMS",IF(N317="גמר מלא טיוב חומרים",".GMC",IF(N317="גמר מינימלי",".GM",IF(N317="דירת שיווק",".DS","")))),""),IF(M317="זומן לטרום",".ZLT",IF(M317="טרום מסירה",".TM",IF(M317="טרום מסירה מהנדס",".TMM",IF(M317="מסירת חזקה",".MH",IF(M317="מסירת חזקה מהנדס",".MHM",""))))),".",VLOOKUP(Check[[#This Row],[טיפוס]],Tipus[],5,FALSE),".",VLOOKUP(Check[[#This Row],[מגדל]],Tower,2,FALSE),".Ap.",Check[[#This Row],[מספר דירה]])</f>
        <v>O.P.4F.TS.Ap.315</v>
      </c>
      <c r="C317" s="3" t="s">
        <v>55</v>
      </c>
      <c r="D317" s="3">
        <v>44</v>
      </c>
      <c r="E317" s="4">
        <v>315</v>
      </c>
      <c r="F317" s="3">
        <v>4403</v>
      </c>
      <c r="G317" s="3" t="s">
        <v>29</v>
      </c>
      <c r="H317" s="3">
        <f>VLOOKUP(Check[[#This Row],[טיפוס]],Tipus[],2,FALSE)</f>
        <v>4</v>
      </c>
      <c r="I317" s="3" t="str">
        <f>VLOOKUP(Check[[#This Row],[טיפוס]],Tipus[],3,FALSE)</f>
        <v>פרימיום</v>
      </c>
      <c r="J317" s="3" t="str">
        <f>VLOOKUP(Check[[#This Row],[טיפוס]],Tipus[],4,FALSE)</f>
        <v>A (P)</v>
      </c>
      <c r="K317" s="3" t="str">
        <f>IF(Check[[#This Row],[סטטוס2]]="הולד","פנויה",Check[[#This Row],[סטטוס2]])</f>
        <v>בעלים</v>
      </c>
      <c r="L317" s="382" t="s">
        <v>91</v>
      </c>
      <c r="M317" s="382"/>
      <c r="N317" s="383"/>
      <c r="O317" s="383"/>
      <c r="P317" s="411"/>
      <c r="Q317" s="411"/>
      <c r="R317" s="383"/>
      <c r="S317" s="384">
        <v>44040</v>
      </c>
      <c r="T317" s="384" t="s">
        <v>432</v>
      </c>
      <c r="U317" s="385" t="s">
        <v>512</v>
      </c>
      <c r="V317" s="385" t="s">
        <v>513</v>
      </c>
      <c r="W317" s="385" t="s">
        <v>214</v>
      </c>
    </row>
    <row r="318" spans="1:23" x14ac:dyDescent="0.2">
      <c r="A318" s="13" t="str">
        <f>_xlfn.CONCAT(VLOOKUP(Check[[#This Row],[סטטוס]],Sold,2,FALSE),IF(Check[[#This Row],[סטטוס]]="פנויה",IF(N318="גמר מלא סטנדרט",".GMS",IF(N318="גמר מלא טיוב חומרים",".GMC",IF(N318="גמר מינימלי",".GM",IF(N318="דירת שיווק",".DS","")))),""),".",VLOOKUP(Check[[#This Row],[טיפוס]],Tipus[],5,FALSE),".",VLOOKUP(Check[[#This Row],[מגדל]],Tower,2,FALSE),".Ap.",Check[[#This Row],[מספר דירה]])</f>
        <v>O.P.5AP.TS.Ap.316</v>
      </c>
      <c r="B318" s="13" t="str">
        <f>_xlfn.CONCAT(VLOOKUP(Check[[#This Row],[סטטוס]],Sold,2,FALSE),IF(Check[[#This Row],[סטטוס]]="פנויה",IF(N318="גמר מלא סטנדרט",".GMS",IF(N318="גמר מלא טיוב חומרים",".GMC",IF(N318="גמר מינימלי",".GM",IF(N318="דירת שיווק",".DS","")))),""),IF(M318="זומן לטרום",".ZLT",IF(M318="טרום מסירה",".TM",IF(M318="טרום מסירה מהנדס",".TMM",IF(M318="מסירת חזקה",".MH",IF(M318="מסירת חזקה מהנדס",".MHM",""))))),".",VLOOKUP(Check[[#This Row],[טיפוס]],Tipus[],5,FALSE),".",VLOOKUP(Check[[#This Row],[מגדל]],Tower,2,FALSE),".Ap.",Check[[#This Row],[מספר דירה]])</f>
        <v>O.P.5AP.TS.Ap.316</v>
      </c>
      <c r="C318" s="3" t="s">
        <v>55</v>
      </c>
      <c r="D318" s="3">
        <v>44</v>
      </c>
      <c r="E318" s="4">
        <v>316</v>
      </c>
      <c r="F318" s="3">
        <v>4404</v>
      </c>
      <c r="G318" s="3" t="s">
        <v>30</v>
      </c>
      <c r="H318" s="3">
        <f>VLOOKUP(Check[[#This Row],[טיפוס]],Tipus[],2,FALSE)</f>
        <v>5</v>
      </c>
      <c r="I318" s="3" t="str">
        <f>VLOOKUP(Check[[#This Row],[טיפוס]],Tipus[],3,FALSE)</f>
        <v>פרימיום</v>
      </c>
      <c r="J318" s="3" t="str">
        <f>VLOOKUP(Check[[#This Row],[טיפוס]],Tipus[],4,FALSE)</f>
        <v>J</v>
      </c>
      <c r="K318" s="3" t="str">
        <f>IF(Check[[#This Row],[סטטוס2]]="הולד","פנויה",Check[[#This Row],[סטטוס2]])</f>
        <v>בעלים</v>
      </c>
      <c r="L318" s="382" t="s">
        <v>91</v>
      </c>
      <c r="M318" s="382"/>
      <c r="N318" s="383" t="s">
        <v>1235</v>
      </c>
      <c r="O318" s="383"/>
      <c r="P318" s="411"/>
      <c r="Q318" s="411"/>
      <c r="R318" s="383"/>
      <c r="S318" s="384">
        <v>44040</v>
      </c>
      <c r="T318" s="384" t="s">
        <v>1325</v>
      </c>
      <c r="U318" s="385" t="s">
        <v>514</v>
      </c>
      <c r="V318" s="385" t="s">
        <v>515</v>
      </c>
      <c r="W318" s="385" t="s">
        <v>434</v>
      </c>
    </row>
    <row r="319" spans="1:23" x14ac:dyDescent="0.2">
      <c r="A319" s="13" t="str">
        <f>_xlfn.CONCAT(VLOOKUP(Check[[#This Row],[סטטוס]],Sold,2,FALSE),IF(Check[[#This Row],[סטטוס]]="פנויה",IF(N319="גמר מלא סטנדרט",".GMS",IF(N319="גמר מלא טיוב חומרים",".GMC",IF(N319="גמר מינימלי",".GM",IF(N319="דירת שיווק",".DS","")))),""),".",VLOOKUP(Check[[#This Row],[טיפוס]],Tipus[],5,FALSE),".",VLOOKUP(Check[[#This Row],[מגדל]],Tower,2,FALSE),".Ap.",Check[[#This Row],[מספר דירה]])</f>
        <v>O.P.5BP.TS.Ap.317</v>
      </c>
      <c r="B319" s="13" t="str">
        <f>_xlfn.CONCAT(VLOOKUP(Check[[#This Row],[סטטוס]],Sold,2,FALSE),IF(Check[[#This Row],[סטטוס]]="פנויה",IF(N319="גמר מלא סטנדרט",".GMS",IF(N319="גמר מלא טיוב חומרים",".GMC",IF(N319="גמר מינימלי",".GM",IF(N319="דירת שיווק",".DS","")))),""),IF(M319="זומן לטרום",".ZLT",IF(M319="טרום מסירה",".TM",IF(M319="טרום מסירה מהנדס",".TMM",IF(M319="מסירת חזקה",".MH",IF(M319="מסירת חזקה מהנדס",".MHM",""))))),".",VLOOKUP(Check[[#This Row],[טיפוס]],Tipus[],5,FALSE),".",VLOOKUP(Check[[#This Row],[מגדל]],Tower,2,FALSE),".Ap.",Check[[#This Row],[מספר דירה]])</f>
        <v>O.P.5BP.TS.Ap.317</v>
      </c>
      <c r="C319" s="3" t="s">
        <v>55</v>
      </c>
      <c r="D319" s="3">
        <v>44</v>
      </c>
      <c r="E319" s="4">
        <v>317</v>
      </c>
      <c r="F319" s="3">
        <v>4405</v>
      </c>
      <c r="G319" s="3" t="s">
        <v>31</v>
      </c>
      <c r="H319" s="3">
        <f>VLOOKUP(Check[[#This Row],[טיפוס]],Tipus[],2,FALSE)</f>
        <v>5</v>
      </c>
      <c r="I319" s="3" t="str">
        <f>VLOOKUP(Check[[#This Row],[טיפוס]],Tipus[],3,FALSE)</f>
        <v>פרימיום</v>
      </c>
      <c r="J319" s="3" t="str">
        <f>VLOOKUP(Check[[#This Row],[טיפוס]],Tipus[],4,FALSE)</f>
        <v>H</v>
      </c>
      <c r="K319" s="3" t="str">
        <f>IF(Check[[#This Row],[סטטוס2]]="הולד","פנויה",Check[[#This Row],[סטטוס2]])</f>
        <v>בעלים</v>
      </c>
      <c r="L319" s="382" t="s">
        <v>91</v>
      </c>
      <c r="M319" s="382"/>
      <c r="N319" s="383" t="s">
        <v>1235</v>
      </c>
      <c r="O319" s="383"/>
      <c r="P319" s="411"/>
      <c r="Q319" s="411"/>
      <c r="R319" s="383"/>
      <c r="S319" s="384">
        <v>44040</v>
      </c>
      <c r="T319" s="384" t="s">
        <v>1325</v>
      </c>
      <c r="U319" s="385" t="s">
        <v>516</v>
      </c>
      <c r="V319" s="385" t="s">
        <v>517</v>
      </c>
      <c r="W319" s="385" t="s">
        <v>214</v>
      </c>
    </row>
    <row r="320" spans="1:23" x14ac:dyDescent="0.2">
      <c r="A320" s="13" t="str">
        <f>_xlfn.CONCAT(VLOOKUP(Check[[#This Row],[סטטוס]],Sold,2,FALSE),IF(Check[[#This Row],[סטטוס]]="פנויה",IF(N320="גמר מלא סטנדרט",".GMS",IF(N320="גמר מלא טיוב חומרים",".GMC",IF(N320="גמר מינימלי",".GM",IF(N320="דירת שיווק",".DS","")))),""),".",VLOOKUP(Check[[#This Row],[טיפוס]],Tipus[],5,FALSE),".",VLOOKUP(Check[[#This Row],[מגדל]],Tower,2,FALSE),".Ap.",Check[[#This Row],[מספר דירה]])</f>
        <v>O.P.4D.TS.Ap.318</v>
      </c>
      <c r="B320" s="13" t="str">
        <f>_xlfn.CONCAT(VLOOKUP(Check[[#This Row],[סטטוס]],Sold,2,FALSE),IF(Check[[#This Row],[סטטוס]]="פנויה",IF(N320="גמר מלא סטנדרט",".GMS",IF(N320="גמר מלא טיוב חומרים",".GMC",IF(N320="גמר מינימלי",".GM",IF(N320="דירת שיווק",".DS","")))),""),IF(M320="זומן לטרום",".ZLT",IF(M320="טרום מסירה",".TM",IF(M320="טרום מסירה מהנדס",".TMM",IF(M320="מסירת חזקה",".MH",IF(M320="מסירת חזקה מהנדס",".MHM",""))))),".",VLOOKUP(Check[[#This Row],[טיפוס]],Tipus[],5,FALSE),".",VLOOKUP(Check[[#This Row],[מגדל]],Tower,2,FALSE),".Ap.",Check[[#This Row],[מספר דירה]])</f>
        <v>O.P.4D.TS.Ap.318</v>
      </c>
      <c r="C320" s="3" t="s">
        <v>55</v>
      </c>
      <c r="D320" s="3">
        <v>45</v>
      </c>
      <c r="E320" s="4">
        <v>318</v>
      </c>
      <c r="F320" s="3">
        <v>4501</v>
      </c>
      <c r="G320" s="3" t="s">
        <v>27</v>
      </c>
      <c r="H320" s="3">
        <f>VLOOKUP(Check[[#This Row],[טיפוס]],Tipus[],2,FALSE)</f>
        <v>4</v>
      </c>
      <c r="I320" s="3" t="str">
        <f>VLOOKUP(Check[[#This Row],[טיפוס]],Tipus[],3,FALSE)</f>
        <v>פרימיום</v>
      </c>
      <c r="J320" s="3" t="str">
        <f>VLOOKUP(Check[[#This Row],[טיפוס]],Tipus[],4,FALSE)</f>
        <v>G (P)</v>
      </c>
      <c r="K320" s="3" t="str">
        <f>IF(Check[[#This Row],[סטטוס2]]="הולד","פנויה",Check[[#This Row],[סטטוס2]])</f>
        <v>בעלים</v>
      </c>
      <c r="L320" s="382" t="s">
        <v>91</v>
      </c>
      <c r="M320" s="382"/>
      <c r="N320" s="383"/>
      <c r="O320" s="383"/>
      <c r="P320" s="411"/>
      <c r="Q320" s="411"/>
      <c r="R320" s="383"/>
      <c r="S320" s="384">
        <v>44040</v>
      </c>
      <c r="T320" s="384" t="s">
        <v>233</v>
      </c>
      <c r="U320" s="385" t="s">
        <v>518</v>
      </c>
      <c r="V320" s="385" t="s">
        <v>519</v>
      </c>
      <c r="W320" s="385" t="s">
        <v>214</v>
      </c>
    </row>
    <row r="321" spans="1:23" x14ac:dyDescent="0.2">
      <c r="A321" s="13" t="str">
        <f>_xlfn.CONCAT(VLOOKUP(Check[[#This Row],[סטטוס]],Sold,2,FALSE),IF(Check[[#This Row],[סטטוס]]="פנויה",IF(N321="גמר מלא סטנדרט",".GMS",IF(N321="גמר מלא טיוב חומרים",".GMC",IF(N321="גמר מינימלי",".GM",IF(N321="דירת שיווק",".DS","")))),""),".",VLOOKUP(Check[[#This Row],[טיפוס]],Tipus[],5,FALSE),".",VLOOKUP(Check[[#This Row],[מגדל]],Tower,2,FALSE),".Ap.",Check[[#This Row],[מספר דירה]])</f>
        <v>S.P.4E.TS.Ap.319</v>
      </c>
      <c r="B321" s="13" t="str">
        <f>_xlfn.CONCAT(VLOOKUP(Check[[#This Row],[סטטוס]],Sold,2,FALSE),IF(Check[[#This Row],[סטטוס]]="פנויה",IF(N321="גמר מלא סטנדרט",".GMS",IF(N321="גמר מלא טיוב חומרים",".GMC",IF(N321="גמר מינימלי",".GM",IF(N321="דירת שיווק",".DS","")))),""),IF(M321="זומן לטרום",".ZLT",IF(M321="טרום מסירה",".TM",IF(M321="טרום מסירה מהנדס",".TMM",IF(M321="מסירת חזקה",".MH",IF(M321="מסירת חזקה מהנדס",".MHM",""))))),".",VLOOKUP(Check[[#This Row],[טיפוס]],Tipus[],5,FALSE),".",VLOOKUP(Check[[#This Row],[מגדל]],Tower,2,FALSE),".Ap.",Check[[#This Row],[מספר דירה]])</f>
        <v>S.P.4E.TS.Ap.319</v>
      </c>
      <c r="C321" s="3" t="s">
        <v>55</v>
      </c>
      <c r="D321" s="3">
        <v>45</v>
      </c>
      <c r="E321" s="4">
        <v>319</v>
      </c>
      <c r="F321" s="3">
        <v>4502</v>
      </c>
      <c r="G321" s="3" t="s">
        <v>28</v>
      </c>
      <c r="H321" s="3">
        <f>VLOOKUP(Check[[#This Row],[טיפוס]],Tipus[],2,FALSE)</f>
        <v>4</v>
      </c>
      <c r="I321" s="3" t="str">
        <f>VLOOKUP(Check[[#This Row],[טיפוס]],Tipus[],3,FALSE)</f>
        <v>פרימיום</v>
      </c>
      <c r="J321" s="3" t="str">
        <f>VLOOKUP(Check[[#This Row],[טיפוס]],Tipus[],4,FALSE)</f>
        <v>C+D</v>
      </c>
      <c r="K321" s="3" t="str">
        <f>IF(Check[[#This Row],[סטטוס2]]="הולד","פנויה",Check[[#This Row],[סטטוס2]])</f>
        <v>מכורה</v>
      </c>
      <c r="L321" s="382" t="s">
        <v>130</v>
      </c>
      <c r="M321" s="382"/>
      <c r="N321" s="383"/>
      <c r="O321" s="383"/>
      <c r="P321" s="411"/>
      <c r="Q321" s="411"/>
      <c r="R321" s="383"/>
      <c r="S321" s="386">
        <v>45069</v>
      </c>
      <c r="T321" s="386" t="s">
        <v>1068</v>
      </c>
      <c r="U321" s="385" t="s">
        <v>1069</v>
      </c>
      <c r="V321" s="385" t="s">
        <v>1070</v>
      </c>
      <c r="W321" s="387"/>
    </row>
    <row r="322" spans="1:23" x14ac:dyDescent="0.2">
      <c r="A322" s="13" t="str">
        <f>_xlfn.CONCAT(VLOOKUP(Check[[#This Row],[סטטוס]],Sold,2,FALSE),IF(Check[[#This Row],[סטטוס]]="פנויה",IF(N322="גמר מלא סטנדרט",".GMS",IF(N322="גמר מלא טיוב חומרים",".GMC",IF(N322="גמר מינימלי",".GM",IF(N322="דירת שיווק",".DS","")))),""),".",VLOOKUP(Check[[#This Row],[טיפוס]],Tipus[],5,FALSE),".",VLOOKUP(Check[[#This Row],[מגדל]],Tower,2,FALSE),".Ap.",Check[[#This Row],[מספר דירה]])</f>
        <v>O.P.4F.TS.Ap.320</v>
      </c>
      <c r="B322" s="13" t="str">
        <f>_xlfn.CONCAT(VLOOKUP(Check[[#This Row],[סטטוס]],Sold,2,FALSE),IF(Check[[#This Row],[סטטוס]]="פנויה",IF(N322="גמר מלא סטנדרט",".GMS",IF(N322="גמר מלא טיוב חומרים",".GMC",IF(N322="גמר מינימלי",".GM",IF(N322="דירת שיווק",".DS","")))),""),IF(M322="זומן לטרום",".ZLT",IF(M322="טרום מסירה",".TM",IF(M322="טרום מסירה מהנדס",".TMM",IF(M322="מסירת חזקה",".MH",IF(M322="מסירת חזקה מהנדס",".MHM",""))))),".",VLOOKUP(Check[[#This Row],[טיפוס]],Tipus[],5,FALSE),".",VLOOKUP(Check[[#This Row],[מגדל]],Tower,2,FALSE),".Ap.",Check[[#This Row],[מספר דירה]])</f>
        <v>O.P.4F.TS.Ap.320</v>
      </c>
      <c r="C322" s="3" t="s">
        <v>55</v>
      </c>
      <c r="D322" s="3">
        <v>45</v>
      </c>
      <c r="E322" s="4">
        <v>320</v>
      </c>
      <c r="F322" s="3">
        <v>4503</v>
      </c>
      <c r="G322" s="3" t="s">
        <v>29</v>
      </c>
      <c r="H322" s="3">
        <f>VLOOKUP(Check[[#This Row],[טיפוס]],Tipus[],2,FALSE)</f>
        <v>4</v>
      </c>
      <c r="I322" s="3" t="str">
        <f>VLOOKUP(Check[[#This Row],[טיפוס]],Tipus[],3,FALSE)</f>
        <v>פרימיום</v>
      </c>
      <c r="J322" s="3" t="str">
        <f>VLOOKUP(Check[[#This Row],[טיפוס]],Tipus[],4,FALSE)</f>
        <v>A (P)</v>
      </c>
      <c r="K322" s="3" t="str">
        <f>IF(Check[[#This Row],[סטטוס2]]="הולד","פנויה",Check[[#This Row],[סטטוס2]])</f>
        <v>בעלים</v>
      </c>
      <c r="L322" s="382" t="s">
        <v>91</v>
      </c>
      <c r="M322" s="382"/>
      <c r="N322" s="383"/>
      <c r="O322" s="383"/>
      <c r="P322" s="411"/>
      <c r="Q322" s="411"/>
      <c r="R322" s="383"/>
      <c r="S322" s="384">
        <v>44040</v>
      </c>
      <c r="T322" s="384" t="s">
        <v>1326</v>
      </c>
      <c r="U322" s="385" t="s">
        <v>520</v>
      </c>
      <c r="V322" s="385" t="s">
        <v>521</v>
      </c>
      <c r="W322" s="385" t="s">
        <v>522</v>
      </c>
    </row>
    <row r="323" spans="1:23" x14ac:dyDescent="0.2">
      <c r="A323" s="13" t="str">
        <f>_xlfn.CONCAT(VLOOKUP(Check[[#This Row],[סטטוס]],Sold,2,FALSE),IF(Check[[#This Row],[סטטוס]]="פנויה",IF(N323="גמר מלא סטנדרט",".GMS",IF(N323="גמר מלא טיוב חומרים",".GMC",IF(N323="גמר מינימלי",".GM",IF(N323="דירת שיווק",".DS","")))),""),".",VLOOKUP(Check[[#This Row],[טיפוס]],Tipus[],5,FALSE),".",VLOOKUP(Check[[#This Row],[מגדל]],Tower,2,FALSE),".Ap.",Check[[#This Row],[מספר דירה]])</f>
        <v>O.P.5AP.TS.Ap.321</v>
      </c>
      <c r="B323" s="13" t="str">
        <f>_xlfn.CONCAT(VLOOKUP(Check[[#This Row],[סטטוס]],Sold,2,FALSE),IF(Check[[#This Row],[סטטוס]]="פנויה",IF(N323="גמר מלא סטנדרט",".GMS",IF(N323="גמר מלא טיוב חומרים",".GMC",IF(N323="גמר מינימלי",".GM",IF(N323="דירת שיווק",".DS","")))),""),IF(M323="זומן לטרום",".ZLT",IF(M323="טרום מסירה",".TM",IF(M323="טרום מסירה מהנדס",".TMM",IF(M323="מסירת חזקה",".MH",IF(M323="מסירת חזקה מהנדס",".MHM",""))))),".",VLOOKUP(Check[[#This Row],[טיפוס]],Tipus[],5,FALSE),".",VLOOKUP(Check[[#This Row],[מגדל]],Tower,2,FALSE),".Ap.",Check[[#This Row],[מספר דירה]])</f>
        <v>O.P.5AP.TS.Ap.321</v>
      </c>
      <c r="C323" s="3" t="s">
        <v>55</v>
      </c>
      <c r="D323" s="3">
        <v>45</v>
      </c>
      <c r="E323" s="4">
        <v>321</v>
      </c>
      <c r="F323" s="3">
        <v>4504</v>
      </c>
      <c r="G323" s="3" t="s">
        <v>30</v>
      </c>
      <c r="H323" s="3">
        <f>VLOOKUP(Check[[#This Row],[טיפוס]],Tipus[],2,FALSE)</f>
        <v>5</v>
      </c>
      <c r="I323" s="3" t="str">
        <f>VLOOKUP(Check[[#This Row],[טיפוס]],Tipus[],3,FALSE)</f>
        <v>פרימיום</v>
      </c>
      <c r="J323" s="3" t="str">
        <f>VLOOKUP(Check[[#This Row],[טיפוס]],Tipus[],4,FALSE)</f>
        <v>J</v>
      </c>
      <c r="K323" s="3" t="str">
        <f>IF(Check[[#This Row],[סטטוס2]]="הולד","פנויה",Check[[#This Row],[סטטוס2]])</f>
        <v>בעלים</v>
      </c>
      <c r="L323" s="382" t="s">
        <v>91</v>
      </c>
      <c r="M323" s="382"/>
      <c r="N323" s="383"/>
      <c r="O323" s="383"/>
      <c r="P323" s="411"/>
      <c r="Q323" s="411"/>
      <c r="R323" s="400"/>
      <c r="S323" s="384">
        <v>44040</v>
      </c>
      <c r="T323" s="384" t="s">
        <v>523</v>
      </c>
      <c r="U323" s="385" t="s">
        <v>524</v>
      </c>
      <c r="V323" s="385" t="s">
        <v>525</v>
      </c>
      <c r="W323" s="385" t="s">
        <v>214</v>
      </c>
    </row>
    <row r="324" spans="1:23" ht="141.75" x14ac:dyDescent="0.2">
      <c r="A324" s="13" t="str">
        <f>_xlfn.CONCAT(VLOOKUP(Check[[#This Row],[סטטוס]],Sold,2,FALSE),IF(Check[[#This Row],[סטטוס]]="פנויה",IF(N324="גמר מלא סטנדרט",".GMS",IF(N324="גמר מלא טיוב חומרים",".GMC",IF(N324="גמר מינימלי",".GM",IF(N324="דירת שיווק",".DS","")))),""),".",VLOOKUP(Check[[#This Row],[טיפוס]],Tipus[],5,FALSE),".",VLOOKUP(Check[[#This Row],[מגדל]],Tower,2,FALSE),".Ap.",Check[[#This Row],[מספר דירה]])</f>
        <v>V.GMC.P.5BP.TS.Ap.322</v>
      </c>
      <c r="B324" s="13" t="str">
        <f>_xlfn.CONCAT(VLOOKUP(Check[[#This Row],[סטטוס]],Sold,2,FALSE),IF(Check[[#This Row],[סטטוס]]="פנויה",IF(N324="גמר מלא סטנדרט",".GMS",IF(N324="גמר מלא טיוב חומרים",".GMC",IF(N324="גמר מינימלי",".GM",IF(N324="דירת שיווק",".DS","")))),""),IF(M324="זומן לטרום",".ZLT",IF(M324="טרום מסירה",".TM",IF(M324="טרום מסירה מהנדס",".TMM",IF(M324="מסירת חזקה",".MH",IF(M324="מסירת חזקה מהנדס",".MHM",""))))),".",VLOOKUP(Check[[#This Row],[טיפוס]],Tipus[],5,FALSE),".",VLOOKUP(Check[[#This Row],[מגדל]],Tower,2,FALSE),".Ap.",Check[[#This Row],[מספר דירה]])</f>
        <v>V.GMC.P.5BP.TS.Ap.322</v>
      </c>
      <c r="C324" s="3" t="s">
        <v>55</v>
      </c>
      <c r="D324" s="3">
        <v>45</v>
      </c>
      <c r="E324" s="4">
        <v>322</v>
      </c>
      <c r="F324" s="3">
        <v>4505</v>
      </c>
      <c r="G324" s="3" t="s">
        <v>31</v>
      </c>
      <c r="H324" s="3">
        <f>VLOOKUP(Check[[#This Row],[טיפוס]],Tipus[],2,FALSE)</f>
        <v>5</v>
      </c>
      <c r="I324" s="3" t="str">
        <f>VLOOKUP(Check[[#This Row],[טיפוס]],Tipus[],3,FALSE)</f>
        <v>פרימיום</v>
      </c>
      <c r="J324" s="3" t="str">
        <f>VLOOKUP(Check[[#This Row],[טיפוס]],Tipus[],4,FALSE)</f>
        <v>H</v>
      </c>
      <c r="K324" s="3" t="str">
        <f>IF(Check[[#This Row],[סטטוס2]]="הולד","פנויה",Check[[#This Row],[סטטוס2]])</f>
        <v>פנויה</v>
      </c>
      <c r="L324" s="382" t="s">
        <v>108</v>
      </c>
      <c r="M324" s="382"/>
      <c r="N324" t="s">
        <v>1417</v>
      </c>
      <c r="O324" s="404" t="s">
        <v>1398</v>
      </c>
      <c r="P324" s="415" t="s">
        <v>1386</v>
      </c>
      <c r="Q324" s="423" t="s">
        <v>1397</v>
      </c>
      <c r="R324" s="399"/>
      <c r="S324" s="384"/>
      <c r="T324" s="398"/>
      <c r="U324" s="385"/>
      <c r="V324" s="385"/>
      <c r="W324" s="387"/>
    </row>
    <row r="325" spans="1:23" x14ac:dyDescent="0.2">
      <c r="A325" s="13" t="str">
        <f>_xlfn.CONCAT(VLOOKUP(Check[[#This Row],[סטטוס]],Sold,2,FALSE),IF(Check[[#This Row],[סטטוס]]="פנויה",IF(N325="גמר מלא סטנדרט",".GMS",IF(N325="גמר מלא טיוב חומרים",".GMC",IF(N325="גמר מינימלי",".GM",IF(N325="דירת שיווק",".DS","")))),""),".",VLOOKUP(Check[[#This Row],[טיפוס]],Tipus[],5,FALSE),".",VLOOKUP(Check[[#This Row],[מגדל]],Tower,2,FALSE),".Ap.",Check[[#This Row],[מספר דירה]])</f>
        <v>O.P.4D.TS.Ap.323</v>
      </c>
      <c r="B325" s="13" t="str">
        <f>_xlfn.CONCAT(VLOOKUP(Check[[#This Row],[סטטוס]],Sold,2,FALSE),IF(Check[[#This Row],[סטטוס]]="פנויה",IF(N325="גמר מלא סטנדרט",".GMS",IF(N325="גמר מלא טיוב חומרים",".GMC",IF(N325="גמר מינימלי",".GM",IF(N325="דירת שיווק",".DS","")))),""),IF(M325="זומן לטרום",".ZLT",IF(M325="טרום מסירה",".TM",IF(M325="טרום מסירה מהנדס",".TMM",IF(M325="מסירת חזקה",".MH",IF(M325="מסירת חזקה מהנדס",".MHM",""))))),".",VLOOKUP(Check[[#This Row],[טיפוס]],Tipus[],5,FALSE),".",VLOOKUP(Check[[#This Row],[מגדל]],Tower,2,FALSE),".Ap.",Check[[#This Row],[מספר דירה]])</f>
        <v>O.P.4D.TS.Ap.323</v>
      </c>
      <c r="C325" s="3" t="s">
        <v>55</v>
      </c>
      <c r="D325" s="3">
        <v>46</v>
      </c>
      <c r="E325" s="4">
        <v>323</v>
      </c>
      <c r="F325" s="3">
        <v>4601</v>
      </c>
      <c r="G325" s="3" t="s">
        <v>27</v>
      </c>
      <c r="H325" s="3">
        <f>VLOOKUP(Check[[#This Row],[טיפוס]],Tipus[],2,FALSE)</f>
        <v>4</v>
      </c>
      <c r="I325" s="3" t="str">
        <f>VLOOKUP(Check[[#This Row],[טיפוס]],Tipus[],3,FALSE)</f>
        <v>פרימיום</v>
      </c>
      <c r="J325" s="3" t="str">
        <f>VLOOKUP(Check[[#This Row],[טיפוס]],Tipus[],4,FALSE)</f>
        <v>G (P)</v>
      </c>
      <c r="K325" s="3" t="str">
        <f>IF(Check[[#This Row],[סטטוס2]]="הולד","פנויה",Check[[#This Row],[סטטוס2]])</f>
        <v>בעלים</v>
      </c>
      <c r="L325" s="382" t="s">
        <v>91</v>
      </c>
      <c r="M325" s="382"/>
      <c r="N325" s="383"/>
      <c r="O325" s="383"/>
      <c r="P325" s="411"/>
      <c r="Q325" s="411"/>
      <c r="R325" s="400"/>
      <c r="S325" s="384">
        <v>44040</v>
      </c>
      <c r="T325" s="384" t="s">
        <v>233</v>
      </c>
      <c r="U325" s="385" t="s">
        <v>526</v>
      </c>
      <c r="V325" s="385" t="s">
        <v>527</v>
      </c>
      <c r="W325" s="385" t="s">
        <v>214</v>
      </c>
    </row>
    <row r="326" spans="1:23" x14ac:dyDescent="0.2">
      <c r="A326" s="13" t="str">
        <f>_xlfn.CONCAT(VLOOKUP(Check[[#This Row],[סטטוס]],Sold,2,FALSE),IF(Check[[#This Row],[סטטוס]]="פנויה",IF(N326="גמר מלא סטנדרט",".GMS",IF(N326="גמר מלא טיוב חומרים",".GMC",IF(N326="גמר מינימלי",".GM",IF(N326="דירת שיווק",".DS","")))),""),".",VLOOKUP(Check[[#This Row],[טיפוס]],Tipus[],5,FALSE),".",VLOOKUP(Check[[#This Row],[מגדל]],Tower,2,FALSE),".Ap.",Check[[#This Row],[מספר דירה]])</f>
        <v>O.P.4E.TS.Ap.324</v>
      </c>
      <c r="B326" s="13" t="str">
        <f>_xlfn.CONCAT(VLOOKUP(Check[[#This Row],[סטטוס]],Sold,2,FALSE),IF(Check[[#This Row],[סטטוס]]="פנויה",IF(N326="גמר מלא סטנדרט",".GMS",IF(N326="גמר מלא טיוב חומרים",".GMC",IF(N326="גמר מינימלי",".GM",IF(N326="דירת שיווק",".DS","")))),""),IF(M326="זומן לטרום",".ZLT",IF(M326="טרום מסירה",".TM",IF(M326="טרום מסירה מהנדס",".TMM",IF(M326="מסירת חזקה",".MH",IF(M326="מסירת חזקה מהנדס",".MHM",""))))),".",VLOOKUP(Check[[#This Row],[טיפוס]],Tipus[],5,FALSE),".",VLOOKUP(Check[[#This Row],[מגדל]],Tower,2,FALSE),".Ap.",Check[[#This Row],[מספר דירה]])</f>
        <v>O.P.4E.TS.Ap.324</v>
      </c>
      <c r="C326" s="3" t="s">
        <v>55</v>
      </c>
      <c r="D326" s="3">
        <v>46</v>
      </c>
      <c r="E326" s="4">
        <v>324</v>
      </c>
      <c r="F326" s="3">
        <v>4602</v>
      </c>
      <c r="G326" s="3" t="s">
        <v>28</v>
      </c>
      <c r="H326" s="3">
        <f>VLOOKUP(Check[[#This Row],[טיפוס]],Tipus[],2,FALSE)</f>
        <v>4</v>
      </c>
      <c r="I326" s="3" t="str">
        <f>VLOOKUP(Check[[#This Row],[טיפוס]],Tipus[],3,FALSE)</f>
        <v>פרימיום</v>
      </c>
      <c r="J326" s="3" t="str">
        <f>VLOOKUP(Check[[#This Row],[טיפוס]],Tipus[],4,FALSE)</f>
        <v>C+D</v>
      </c>
      <c r="K326" s="3" t="str">
        <f>IF(Check[[#This Row],[סטטוס2]]="הולד","פנויה",Check[[#This Row],[סטטוס2]])</f>
        <v>בעלים</v>
      </c>
      <c r="L326" s="382" t="s">
        <v>91</v>
      </c>
      <c r="M326" s="382"/>
      <c r="N326" s="383"/>
      <c r="O326" s="383"/>
      <c r="P326" s="411"/>
      <c r="Q326" s="411"/>
      <c r="R326" s="400"/>
      <c r="S326" s="384">
        <v>44040</v>
      </c>
      <c r="T326" s="384" t="s">
        <v>1327</v>
      </c>
      <c r="U326" s="385" t="s">
        <v>528</v>
      </c>
      <c r="V326" s="385" t="s">
        <v>529</v>
      </c>
      <c r="W326" s="385"/>
    </row>
    <row r="327" spans="1:23" x14ac:dyDescent="0.2">
      <c r="A327" s="13" t="str">
        <f>_xlfn.CONCAT(VLOOKUP(Check[[#This Row],[סטטוס]],Sold,2,FALSE),IF(Check[[#This Row],[סטטוס]]="פנויה",IF(N327="גמר מלא סטנדרט",".GMS",IF(N327="גמר מלא טיוב חומרים",".GMC",IF(N327="גמר מינימלי",".GM",IF(N327="דירת שיווק",".DS","")))),""),".",VLOOKUP(Check[[#This Row],[טיפוס]],Tipus[],5,FALSE),".",VLOOKUP(Check[[#This Row],[מגדל]],Tower,2,FALSE),".Ap.",Check[[#This Row],[מספר דירה]])</f>
        <v>O.P.4F.TS.Ap.325</v>
      </c>
      <c r="B327" s="13" t="str">
        <f>_xlfn.CONCAT(VLOOKUP(Check[[#This Row],[סטטוס]],Sold,2,FALSE),IF(Check[[#This Row],[סטטוס]]="פנויה",IF(N327="גמר מלא סטנדרט",".GMS",IF(N327="גמר מלא טיוב חומרים",".GMC",IF(N327="גמר מינימלי",".GM",IF(N327="דירת שיווק",".DS","")))),""),IF(M327="זומן לטרום",".ZLT",IF(M327="טרום מסירה",".TM",IF(M327="טרום מסירה מהנדס",".TMM",IF(M327="מסירת חזקה",".MH",IF(M327="מסירת חזקה מהנדס",".MHM",""))))),".",VLOOKUP(Check[[#This Row],[טיפוס]],Tipus[],5,FALSE),".",VLOOKUP(Check[[#This Row],[מגדל]],Tower,2,FALSE),".Ap.",Check[[#This Row],[מספר דירה]])</f>
        <v>O.P.4F.TS.Ap.325</v>
      </c>
      <c r="C327" s="3" t="s">
        <v>55</v>
      </c>
      <c r="D327" s="3">
        <v>46</v>
      </c>
      <c r="E327" s="4">
        <v>325</v>
      </c>
      <c r="F327" s="3">
        <v>4603</v>
      </c>
      <c r="G327" s="3" t="s">
        <v>29</v>
      </c>
      <c r="H327" s="3">
        <f>VLOOKUP(Check[[#This Row],[טיפוס]],Tipus[],2,FALSE)</f>
        <v>4</v>
      </c>
      <c r="I327" s="3" t="str">
        <f>VLOOKUP(Check[[#This Row],[טיפוס]],Tipus[],3,FALSE)</f>
        <v>פרימיום</v>
      </c>
      <c r="J327" s="3" t="str">
        <f>VLOOKUP(Check[[#This Row],[טיפוס]],Tipus[],4,FALSE)</f>
        <v>A (P)</v>
      </c>
      <c r="K327" s="3" t="str">
        <f>IF(Check[[#This Row],[סטטוס2]]="הולד","פנויה",Check[[#This Row],[סטטוס2]])</f>
        <v>בעלים</v>
      </c>
      <c r="L327" s="382" t="s">
        <v>91</v>
      </c>
      <c r="M327" s="382"/>
      <c r="N327" s="383"/>
      <c r="O327" s="383"/>
      <c r="P327" s="411"/>
      <c r="Q327" s="411"/>
      <c r="R327" s="400"/>
      <c r="S327" s="384">
        <v>44040</v>
      </c>
      <c r="T327" s="384" t="s">
        <v>1327</v>
      </c>
      <c r="U327" s="385" t="s">
        <v>530</v>
      </c>
      <c r="V327" s="385" t="s">
        <v>531</v>
      </c>
      <c r="W327" s="385" t="s">
        <v>532</v>
      </c>
    </row>
    <row r="328" spans="1:23" x14ac:dyDescent="0.2">
      <c r="A328" s="13" t="str">
        <f>_xlfn.CONCAT(VLOOKUP(Check[[#This Row],[סטטוס]],Sold,2,FALSE),IF(Check[[#This Row],[סטטוס]]="פנויה",IF(N328="גמר מלא סטנדרט",".GMS",IF(N328="גמר מלא טיוב חומרים",".GMC",IF(N328="גמר מינימלי",".GM",IF(N328="דירת שיווק",".DS","")))),""),".",VLOOKUP(Check[[#This Row],[טיפוס]],Tipus[],5,FALSE),".",VLOOKUP(Check[[#This Row],[מגדל]],Tower,2,FALSE),".Ap.",Check[[#This Row],[מספר דירה]])</f>
        <v>O.P.5AP.TS.Ap.326</v>
      </c>
      <c r="B328" s="13" t="str">
        <f>_xlfn.CONCAT(VLOOKUP(Check[[#This Row],[סטטוס]],Sold,2,FALSE),IF(Check[[#This Row],[סטטוס]]="פנויה",IF(N328="גמר מלא סטנדרט",".GMS",IF(N328="גמר מלא טיוב חומרים",".GMC",IF(N328="גמר מינימלי",".GM",IF(N328="דירת שיווק",".DS","")))),""),IF(M328="זומן לטרום",".ZLT",IF(M328="טרום מסירה",".TM",IF(M328="טרום מסירה מהנדס",".TMM",IF(M328="מסירת חזקה",".MH",IF(M328="מסירת חזקה מהנדס",".MHM",""))))),".",VLOOKUP(Check[[#This Row],[טיפוס]],Tipus[],5,FALSE),".",VLOOKUP(Check[[#This Row],[מגדל]],Tower,2,FALSE),".Ap.",Check[[#This Row],[מספר דירה]])</f>
        <v>O.P.5AP.TS.Ap.326</v>
      </c>
      <c r="C328" s="3" t="s">
        <v>55</v>
      </c>
      <c r="D328" s="3">
        <v>46</v>
      </c>
      <c r="E328" s="4">
        <v>326</v>
      </c>
      <c r="F328" s="3">
        <v>4604</v>
      </c>
      <c r="G328" s="3" t="s">
        <v>30</v>
      </c>
      <c r="H328" s="3">
        <f>VLOOKUP(Check[[#This Row],[טיפוס]],Tipus[],2,FALSE)</f>
        <v>5</v>
      </c>
      <c r="I328" s="3" t="str">
        <f>VLOOKUP(Check[[#This Row],[טיפוס]],Tipus[],3,FALSE)</f>
        <v>פרימיום</v>
      </c>
      <c r="J328" s="3" t="str">
        <f>VLOOKUP(Check[[#This Row],[טיפוס]],Tipus[],4,FALSE)</f>
        <v>J</v>
      </c>
      <c r="K328" s="3" t="str">
        <f>IF(Check[[#This Row],[סטטוס2]]="הולד","פנויה",Check[[#This Row],[סטטוס2]])</f>
        <v>בעלים</v>
      </c>
      <c r="L328" s="382" t="s">
        <v>91</v>
      </c>
      <c r="M328" s="382"/>
      <c r="N328" s="383"/>
      <c r="O328" s="383"/>
      <c r="P328" s="411"/>
      <c r="Q328" s="411"/>
      <c r="R328" s="400"/>
      <c r="S328" s="384">
        <v>44040</v>
      </c>
      <c r="T328" s="384" t="s">
        <v>233</v>
      </c>
      <c r="U328" s="385" t="s">
        <v>533</v>
      </c>
      <c r="V328" s="385" t="s">
        <v>534</v>
      </c>
      <c r="W328" s="385" t="s">
        <v>214</v>
      </c>
    </row>
    <row r="329" spans="1:23" ht="141.75" x14ac:dyDescent="0.2">
      <c r="A329" s="13" t="str">
        <f>_xlfn.CONCAT(VLOOKUP(Check[[#This Row],[סטטוס]],Sold,2,FALSE),IF(Check[[#This Row],[סטטוס]]="פנויה",IF(N329="גמר מלא סטנדרט",".GMS",IF(N329="גמר מלא טיוב חומרים",".GMC",IF(N329="גמר מינימלי",".GM",IF(N329="דירת שיווק",".DS","")))),""),".",VLOOKUP(Check[[#This Row],[טיפוס]],Tipus[],5,FALSE),".",VLOOKUP(Check[[#This Row],[מגדל]],Tower,2,FALSE),".Ap.",Check[[#This Row],[מספר דירה]])</f>
        <v>V.GMC.P.5BP.TS.Ap.327</v>
      </c>
      <c r="B329" s="13" t="str">
        <f>_xlfn.CONCAT(VLOOKUP(Check[[#This Row],[סטטוס]],Sold,2,FALSE),IF(Check[[#This Row],[סטטוס]]="פנויה",IF(N329="גמר מלא סטנדרט",".GMS",IF(N329="גמר מלא טיוב חומרים",".GMC",IF(N329="גמר מינימלי",".GM",IF(N329="דירת שיווק",".DS","")))),""),IF(M329="זומן לטרום",".ZLT",IF(M329="טרום מסירה",".TM",IF(M329="טרום מסירה מהנדס",".TMM",IF(M329="מסירת חזקה",".MH",IF(M329="מסירת חזקה מהנדס",".MHM",""))))),".",VLOOKUP(Check[[#This Row],[טיפוס]],Tipus[],5,FALSE),".",VLOOKUP(Check[[#This Row],[מגדל]],Tower,2,FALSE),".Ap.",Check[[#This Row],[מספר דירה]])</f>
        <v>V.GMC.P.5BP.TS.Ap.327</v>
      </c>
      <c r="C329" s="3" t="s">
        <v>55</v>
      </c>
      <c r="D329" s="3">
        <v>46</v>
      </c>
      <c r="E329" s="4">
        <v>327</v>
      </c>
      <c r="F329" s="3">
        <v>4605</v>
      </c>
      <c r="G329" s="3" t="s">
        <v>31</v>
      </c>
      <c r="H329" s="3">
        <f>VLOOKUP(Check[[#This Row],[טיפוס]],Tipus[],2,FALSE)</f>
        <v>5</v>
      </c>
      <c r="I329" s="3" t="str">
        <f>VLOOKUP(Check[[#This Row],[טיפוס]],Tipus[],3,FALSE)</f>
        <v>פרימיום</v>
      </c>
      <c r="J329" s="3" t="str">
        <f>VLOOKUP(Check[[#This Row],[טיפוס]],Tipus[],4,FALSE)</f>
        <v>H</v>
      </c>
      <c r="K329" s="3" t="str">
        <f>IF(Check[[#This Row],[סטטוס2]]="הולד","פנויה",Check[[#This Row],[סטטוס2]])</f>
        <v>פנויה</v>
      </c>
      <c r="L329" s="382" t="s">
        <v>108</v>
      </c>
      <c r="M329" s="382"/>
      <c r="N329" t="s">
        <v>1417</v>
      </c>
      <c r="O329" s="404" t="s">
        <v>1398</v>
      </c>
      <c r="P329" s="415" t="s">
        <v>1386</v>
      </c>
      <c r="Q329" s="423" t="s">
        <v>1397</v>
      </c>
      <c r="R329" s="399"/>
      <c r="S329" s="384"/>
      <c r="T329" s="398"/>
      <c r="U329" s="385"/>
      <c r="V329" s="385"/>
      <c r="W329" s="387"/>
    </row>
    <row r="330" spans="1:23" x14ac:dyDescent="0.2">
      <c r="A330" s="13" t="str">
        <f>_xlfn.CONCAT(VLOOKUP(Check[[#This Row],[סטטוס]],Sold,2,FALSE),IF(Check[[#This Row],[סטטוס]]="פנויה",IF(N330="גמר מלא סטנדרט",".GMS",IF(N330="גמר מלא טיוב חומרים",".GMC",IF(N330="גמר מינימלי",".GM",IF(N330="דירת שיווק",".DS","")))),""),".",VLOOKUP(Check[[#This Row],[טיפוס]],Tipus[],5,FALSE),".",VLOOKUP(Check[[#This Row],[מגדל]],Tower,2,FALSE),".Ap.",Check[[#This Row],[מספר דירה]])</f>
        <v>O.P.4D.TS.Ap.328</v>
      </c>
      <c r="B330" s="13" t="str">
        <f>_xlfn.CONCAT(VLOOKUP(Check[[#This Row],[סטטוס]],Sold,2,FALSE),IF(Check[[#This Row],[סטטוס]]="פנויה",IF(N330="גמר מלא סטנדרט",".GMS",IF(N330="גמר מלא טיוב חומרים",".GMC",IF(N330="גמר מינימלי",".GM",IF(N330="דירת שיווק",".DS","")))),""),IF(M330="זומן לטרום",".ZLT",IF(M330="טרום מסירה",".TM",IF(M330="טרום מסירה מהנדס",".TMM",IF(M330="מסירת חזקה",".MH",IF(M330="מסירת חזקה מהנדס",".MHM",""))))),".",VLOOKUP(Check[[#This Row],[טיפוס]],Tipus[],5,FALSE),".",VLOOKUP(Check[[#This Row],[מגדל]],Tower,2,FALSE),".Ap.",Check[[#This Row],[מספר דירה]])</f>
        <v>O.P.4D.TS.Ap.328</v>
      </c>
      <c r="C330" s="3" t="s">
        <v>55</v>
      </c>
      <c r="D330" s="3">
        <v>47</v>
      </c>
      <c r="E330" s="4">
        <v>328</v>
      </c>
      <c r="F330" s="3">
        <v>4701</v>
      </c>
      <c r="G330" s="3" t="s">
        <v>27</v>
      </c>
      <c r="H330" s="3">
        <f>VLOOKUP(Check[[#This Row],[טיפוס]],Tipus[],2,FALSE)</f>
        <v>4</v>
      </c>
      <c r="I330" s="3" t="str">
        <f>VLOOKUP(Check[[#This Row],[טיפוס]],Tipus[],3,FALSE)</f>
        <v>פרימיום</v>
      </c>
      <c r="J330" s="3" t="str">
        <f>VLOOKUP(Check[[#This Row],[טיפוס]],Tipus[],4,FALSE)</f>
        <v>G (P)</v>
      </c>
      <c r="K330" s="3" t="str">
        <f>IF(Check[[#This Row],[סטטוס2]]="הולד","פנויה",Check[[#This Row],[סטטוס2]])</f>
        <v>בעלים</v>
      </c>
      <c r="L330" s="382" t="s">
        <v>91</v>
      </c>
      <c r="M330" s="382"/>
      <c r="N330" s="383"/>
      <c r="O330" s="383"/>
      <c r="P330" s="411"/>
      <c r="Q330" s="411"/>
      <c r="R330" s="400"/>
      <c r="S330" s="384">
        <v>44040</v>
      </c>
      <c r="T330" s="384" t="s">
        <v>535</v>
      </c>
      <c r="U330" s="385" t="s">
        <v>536</v>
      </c>
      <c r="V330" s="385" t="s">
        <v>537</v>
      </c>
      <c r="W330" s="385" t="s">
        <v>214</v>
      </c>
    </row>
    <row r="331" spans="1:23" x14ac:dyDescent="0.2">
      <c r="A331" s="13" t="str">
        <f>_xlfn.CONCAT(VLOOKUP(Check[[#This Row],[סטטוס]],Sold,2,FALSE),IF(Check[[#This Row],[סטטוס]]="פנויה",IF(N331="גמר מלא סטנדרט",".GMS",IF(N331="גמר מלא טיוב חומרים",".GMC",IF(N331="גמר מינימלי",".GM",IF(N331="דירת שיווק",".DS","")))),""),".",VLOOKUP(Check[[#This Row],[טיפוס]],Tipus[],5,FALSE),".",VLOOKUP(Check[[#This Row],[מגדל]],Tower,2,FALSE),".Ap.",Check[[#This Row],[מספר דירה]])</f>
        <v>O.P.4E.TS.Ap.329</v>
      </c>
      <c r="B331" s="13" t="str">
        <f>_xlfn.CONCAT(VLOOKUP(Check[[#This Row],[סטטוס]],Sold,2,FALSE),IF(Check[[#This Row],[סטטוס]]="פנויה",IF(N331="גמר מלא סטנדרט",".GMS",IF(N331="גמר מלא טיוב חומרים",".GMC",IF(N331="גמר מינימלי",".GM",IF(N331="דירת שיווק",".DS","")))),""),IF(M331="זומן לטרום",".ZLT",IF(M331="טרום מסירה",".TM",IF(M331="טרום מסירה מהנדס",".TMM",IF(M331="מסירת חזקה",".MH",IF(M331="מסירת חזקה מהנדס",".MHM",""))))),".",VLOOKUP(Check[[#This Row],[טיפוס]],Tipus[],5,FALSE),".",VLOOKUP(Check[[#This Row],[מגדל]],Tower,2,FALSE),".Ap.",Check[[#This Row],[מספר דירה]])</f>
        <v>O.P.4E.TS.Ap.329</v>
      </c>
      <c r="C331" s="3" t="s">
        <v>55</v>
      </c>
      <c r="D331" s="3">
        <v>47</v>
      </c>
      <c r="E331" s="4">
        <v>329</v>
      </c>
      <c r="F331" s="3">
        <v>4702</v>
      </c>
      <c r="G331" s="3" t="s">
        <v>28</v>
      </c>
      <c r="H331" s="3">
        <f>VLOOKUP(Check[[#This Row],[טיפוס]],Tipus[],2,FALSE)</f>
        <v>4</v>
      </c>
      <c r="I331" s="3" t="str">
        <f>VLOOKUP(Check[[#This Row],[טיפוס]],Tipus[],3,FALSE)</f>
        <v>פרימיום</v>
      </c>
      <c r="J331" s="3" t="str">
        <f>VLOOKUP(Check[[#This Row],[טיפוס]],Tipus[],4,FALSE)</f>
        <v>C+D</v>
      </c>
      <c r="K331" s="3" t="str">
        <f>IF(Check[[#This Row],[סטטוס2]]="הולד","פנויה",Check[[#This Row],[סטטוס2]])</f>
        <v>בעלים</v>
      </c>
      <c r="L331" s="382" t="s">
        <v>91</v>
      </c>
      <c r="M331" s="382"/>
      <c r="N331" s="383"/>
      <c r="O331" s="383"/>
      <c r="P331" s="411"/>
      <c r="Q331" s="411"/>
      <c r="R331" s="400"/>
      <c r="S331" s="384">
        <v>44040</v>
      </c>
      <c r="T331" s="384" t="s">
        <v>523</v>
      </c>
      <c r="U331" s="385" t="s">
        <v>538</v>
      </c>
      <c r="V331" s="385" t="s">
        <v>539</v>
      </c>
      <c r="W331" s="385" t="s">
        <v>214</v>
      </c>
    </row>
    <row r="332" spans="1:23" x14ac:dyDescent="0.2">
      <c r="A332" s="13" t="str">
        <f>_xlfn.CONCAT(VLOOKUP(Check[[#This Row],[סטטוס]],Sold,2,FALSE),IF(Check[[#This Row],[סטטוס]]="פנויה",IF(N332="גמר מלא סטנדרט",".GMS",IF(N332="גמר מלא טיוב חומרים",".GMC",IF(N332="גמר מינימלי",".GM",IF(N332="דירת שיווק",".DS","")))),""),".",VLOOKUP(Check[[#This Row],[טיפוס]],Tipus[],5,FALSE),".",VLOOKUP(Check[[#This Row],[מגדל]],Tower,2,FALSE),".Ap.",Check[[#This Row],[מספר דירה]])</f>
        <v>O.P.4F.TS.Ap.330</v>
      </c>
      <c r="B332" s="13" t="str">
        <f>_xlfn.CONCAT(VLOOKUP(Check[[#This Row],[סטטוס]],Sold,2,FALSE),IF(Check[[#This Row],[סטטוס]]="פנויה",IF(N332="גמר מלא סטנדרט",".GMS",IF(N332="גמר מלא טיוב חומרים",".GMC",IF(N332="גמר מינימלי",".GM",IF(N332="דירת שיווק",".DS","")))),""),IF(M332="זומן לטרום",".ZLT",IF(M332="טרום מסירה",".TM",IF(M332="טרום מסירה מהנדס",".TMM",IF(M332="מסירת חזקה",".MH",IF(M332="מסירת חזקה מהנדס",".MHM",""))))),".",VLOOKUP(Check[[#This Row],[טיפוס]],Tipus[],5,FALSE),".",VLOOKUP(Check[[#This Row],[מגדל]],Tower,2,FALSE),".Ap.",Check[[#This Row],[מספר דירה]])</f>
        <v>O.P.4F.TS.Ap.330</v>
      </c>
      <c r="C332" s="3" t="s">
        <v>55</v>
      </c>
      <c r="D332" s="3">
        <v>47</v>
      </c>
      <c r="E332" s="4">
        <v>330</v>
      </c>
      <c r="F332" s="3">
        <v>4703</v>
      </c>
      <c r="G332" s="3" t="s">
        <v>29</v>
      </c>
      <c r="H332" s="3">
        <f>VLOOKUP(Check[[#This Row],[טיפוס]],Tipus[],2,FALSE)</f>
        <v>4</v>
      </c>
      <c r="I332" s="3" t="str">
        <f>VLOOKUP(Check[[#This Row],[טיפוס]],Tipus[],3,FALSE)</f>
        <v>פרימיום</v>
      </c>
      <c r="J332" s="3" t="str">
        <f>VLOOKUP(Check[[#This Row],[טיפוס]],Tipus[],4,FALSE)</f>
        <v>A (P)</v>
      </c>
      <c r="K332" s="3" t="str">
        <f>IF(Check[[#This Row],[סטטוס2]]="הולד","פנויה",Check[[#This Row],[סטטוס2]])</f>
        <v>בעלים</v>
      </c>
      <c r="L332" s="382" t="s">
        <v>91</v>
      </c>
      <c r="M332" s="382"/>
      <c r="N332" s="383"/>
      <c r="O332" s="383"/>
      <c r="P332" s="411"/>
      <c r="Q332" s="411"/>
      <c r="R332" s="400"/>
      <c r="S332" s="384">
        <v>44040</v>
      </c>
      <c r="T332" s="384" t="s">
        <v>540</v>
      </c>
      <c r="U332" s="385" t="s">
        <v>541</v>
      </c>
      <c r="V332" s="385" t="s">
        <v>542</v>
      </c>
      <c r="W332" s="385" t="s">
        <v>370</v>
      </c>
    </row>
    <row r="333" spans="1:23" x14ac:dyDescent="0.2">
      <c r="A333" s="13" t="str">
        <f>_xlfn.CONCAT(VLOOKUP(Check[[#This Row],[סטטוס]],Sold,2,FALSE),IF(Check[[#This Row],[סטטוס]]="פנויה",IF(N333="גמר מלא סטנדרט",".GMS",IF(N333="גמר מלא טיוב חומרים",".GMC",IF(N333="גמר מינימלי",".GM",IF(N333="דירת שיווק",".DS","")))),""),".",VLOOKUP(Check[[#This Row],[טיפוס]],Tipus[],5,FALSE),".",VLOOKUP(Check[[#This Row],[מגדל]],Tower,2,FALSE),".Ap.",Check[[#This Row],[מספר דירה]])</f>
        <v>O.P.5AP.TS.Ap.331</v>
      </c>
      <c r="B333" s="13" t="str">
        <f>_xlfn.CONCAT(VLOOKUP(Check[[#This Row],[סטטוס]],Sold,2,FALSE),IF(Check[[#This Row],[סטטוס]]="פנויה",IF(N333="גמר מלא סטנדרט",".GMS",IF(N333="גמר מלא טיוב חומרים",".GMC",IF(N333="גמר מינימלי",".GM",IF(N333="דירת שיווק",".DS","")))),""),IF(M333="זומן לטרום",".ZLT",IF(M333="טרום מסירה",".TM",IF(M333="טרום מסירה מהנדס",".TMM",IF(M333="מסירת חזקה",".MH",IF(M333="מסירת חזקה מהנדס",".MHM",""))))),".",VLOOKUP(Check[[#This Row],[טיפוס]],Tipus[],5,FALSE),".",VLOOKUP(Check[[#This Row],[מגדל]],Tower,2,FALSE),".Ap.",Check[[#This Row],[מספר דירה]])</f>
        <v>O.P.5AP.TS.Ap.331</v>
      </c>
      <c r="C333" s="3" t="s">
        <v>55</v>
      </c>
      <c r="D333" s="3">
        <v>47</v>
      </c>
      <c r="E333" s="4">
        <v>331</v>
      </c>
      <c r="F333" s="3">
        <v>4704</v>
      </c>
      <c r="G333" s="3" t="s">
        <v>30</v>
      </c>
      <c r="H333" s="3">
        <f>VLOOKUP(Check[[#This Row],[טיפוס]],Tipus[],2,FALSE)</f>
        <v>5</v>
      </c>
      <c r="I333" s="3" t="str">
        <f>VLOOKUP(Check[[#This Row],[טיפוס]],Tipus[],3,FALSE)</f>
        <v>פרימיום</v>
      </c>
      <c r="J333" s="3" t="str">
        <f>VLOOKUP(Check[[#This Row],[טיפוס]],Tipus[],4,FALSE)</f>
        <v>J</v>
      </c>
      <c r="K333" s="3" t="str">
        <f>IF(Check[[#This Row],[סטטוס2]]="הולד","פנויה",Check[[#This Row],[סטטוס2]])</f>
        <v>בעלים</v>
      </c>
      <c r="L333" s="382" t="s">
        <v>91</v>
      </c>
      <c r="M333" s="382"/>
      <c r="N333" s="383"/>
      <c r="O333" s="383"/>
      <c r="P333" s="411"/>
      <c r="Q333" s="411"/>
      <c r="R333" s="400"/>
      <c r="S333" s="384">
        <v>44040</v>
      </c>
      <c r="T333" s="384" t="s">
        <v>223</v>
      </c>
      <c r="U333" s="385" t="s">
        <v>543</v>
      </c>
      <c r="V333" s="385" t="s">
        <v>544</v>
      </c>
      <c r="W333" s="385" t="s">
        <v>214</v>
      </c>
    </row>
    <row r="334" spans="1:23" ht="141.75" x14ac:dyDescent="0.2">
      <c r="A334" s="13" t="str">
        <f>_xlfn.CONCAT(VLOOKUP(Check[[#This Row],[סטטוס]],Sold,2,FALSE),IF(Check[[#This Row],[סטטוס]]="פנויה",IF(N334="גמר מלא סטנדרט",".GMS",IF(N334="גמר מלא טיוב חומרים",".GMC",IF(N334="גמר מינימלי",".GM",IF(N334="דירת שיווק",".DS","")))),""),".",VLOOKUP(Check[[#This Row],[טיפוס]],Tipus[],5,FALSE),".",VLOOKUP(Check[[#This Row],[מגדל]],Tower,2,FALSE),".Ap.",Check[[#This Row],[מספר דירה]])</f>
        <v>V.GMC.P.5BP.TS.Ap.332</v>
      </c>
      <c r="B334" s="13" t="str">
        <f>_xlfn.CONCAT(VLOOKUP(Check[[#This Row],[סטטוס]],Sold,2,FALSE),IF(Check[[#This Row],[סטטוס]]="פנויה",IF(N334="גמר מלא סטנדרט",".GMS",IF(N334="גמר מלא טיוב חומרים",".GMC",IF(N334="גמר מינימלי",".GM",IF(N334="דירת שיווק",".DS","")))),""),IF(M334="זומן לטרום",".ZLT",IF(M334="טרום מסירה",".TM",IF(M334="טרום מסירה מהנדס",".TMM",IF(M334="מסירת חזקה",".MH",IF(M334="מסירת חזקה מהנדס",".MHM",""))))),".",VLOOKUP(Check[[#This Row],[טיפוס]],Tipus[],5,FALSE),".",VLOOKUP(Check[[#This Row],[מגדל]],Tower,2,FALSE),".Ap.",Check[[#This Row],[מספר דירה]])</f>
        <v>V.GMC.P.5BP.TS.Ap.332</v>
      </c>
      <c r="C334" s="3" t="s">
        <v>55</v>
      </c>
      <c r="D334" s="3">
        <v>47</v>
      </c>
      <c r="E334" s="4">
        <v>332</v>
      </c>
      <c r="F334" s="3">
        <v>4705</v>
      </c>
      <c r="G334" s="3" t="s">
        <v>31</v>
      </c>
      <c r="H334" s="3">
        <f>VLOOKUP(Check[[#This Row],[טיפוס]],Tipus[],2,FALSE)</f>
        <v>5</v>
      </c>
      <c r="I334" s="3" t="str">
        <f>VLOOKUP(Check[[#This Row],[טיפוס]],Tipus[],3,FALSE)</f>
        <v>פרימיום</v>
      </c>
      <c r="J334" s="3" t="str">
        <f>VLOOKUP(Check[[#This Row],[טיפוס]],Tipus[],4,FALSE)</f>
        <v>H</v>
      </c>
      <c r="K334" s="3" t="str">
        <f>IF(Check[[#This Row],[סטטוס2]]="הולד","פנויה",Check[[#This Row],[סטטוס2]])</f>
        <v>פנויה</v>
      </c>
      <c r="L334" s="397" t="s">
        <v>108</v>
      </c>
      <c r="M334" s="397"/>
      <c r="N334" t="s">
        <v>1417</v>
      </c>
      <c r="O334" s="404" t="s">
        <v>1398</v>
      </c>
      <c r="P334" s="415" t="s">
        <v>1386</v>
      </c>
      <c r="Q334" s="423" t="s">
        <v>1397</v>
      </c>
      <c r="R334" s="399"/>
      <c r="S334" s="384"/>
      <c r="T334" s="398"/>
      <c r="U334" s="385"/>
      <c r="V334" s="385"/>
      <c r="W334" s="387"/>
    </row>
    <row r="335" spans="1:23" x14ac:dyDescent="0.2">
      <c r="A335" s="13" t="str">
        <f>_xlfn.CONCAT(VLOOKUP(Check[[#This Row],[סטטוס]],Sold,2,FALSE),IF(Check[[#This Row],[סטטוס]]="פנויה",IF(N335="גמר מלא סטנדרט",".GMS",IF(N335="גמר מלא טיוב חומרים",".GMC",IF(N335="גמר מינימלי",".GM",IF(N335="דירת שיווק",".DS","")))),""),".",VLOOKUP(Check[[#This Row],[טיפוס]],Tipus[],5,FALSE),".",VLOOKUP(Check[[#This Row],[מגדל]],Tower,2,FALSE),".Ap.",Check[[#This Row],[מספר דירה]])</f>
        <v>V.GM.PH1.TS.Ap.333</v>
      </c>
      <c r="B335" s="13" t="str">
        <f>_xlfn.CONCAT(VLOOKUP(Check[[#This Row],[סטטוס]],Sold,2,FALSE),IF(Check[[#This Row],[סטטוס]]="פנויה",IF(N335="גמר מלא סטנדרט",".GMS",IF(N335="גמר מלא טיוב חומרים",".GMC",IF(N335="גמר מינימלי",".GM",IF(N335="דירת שיווק",".DS","")))),""),IF(M335="זומן לטרום",".ZLT",IF(M335="טרום מסירה",".TM",IF(M335="טרום מסירה מהנדס",".TMM",IF(M335="מסירת חזקה",".MH",IF(M335="מסירת חזקה מהנדס",".MHM",""))))),".",VLOOKUP(Check[[#This Row],[טיפוס]],Tipus[],5,FALSE),".",VLOOKUP(Check[[#This Row],[מגדל]],Tower,2,FALSE),".Ap.",Check[[#This Row],[מספר דירה]])</f>
        <v>V.GM.PH1.TS.Ap.333</v>
      </c>
      <c r="C335" s="3" t="s">
        <v>55</v>
      </c>
      <c r="D335" s="3">
        <v>48</v>
      </c>
      <c r="E335" s="4">
        <v>333</v>
      </c>
      <c r="F335" s="3">
        <v>4802</v>
      </c>
      <c r="G335" s="3" t="s">
        <v>32</v>
      </c>
      <c r="H335" s="3">
        <f>VLOOKUP(Check[[#This Row],[טיפוס]],Tipus[],2,FALSE)</f>
        <v>6</v>
      </c>
      <c r="I335" s="3" t="str">
        <f>VLOOKUP(Check[[#This Row],[טיפוס]],Tipus[],3,FALSE)</f>
        <v>פנטהאוס</v>
      </c>
      <c r="J335" s="3" t="str">
        <f>VLOOKUP(Check[[#This Row],[טיפוס]],Tipus[],4,FALSE)</f>
        <v>PH1</v>
      </c>
      <c r="K335" s="3" t="str">
        <f>IF(Check[[#This Row],[סטטוס2]]="הולד","פנויה",Check[[#This Row],[סטטוס2]])</f>
        <v>פנויה</v>
      </c>
      <c r="L335" s="397" t="s">
        <v>108</v>
      </c>
      <c r="M335" s="397"/>
      <c r="N335" t="s">
        <v>1366</v>
      </c>
      <c r="O335" s="404" t="s">
        <v>1388</v>
      </c>
      <c r="P335" s="413" t="s">
        <v>1384</v>
      </c>
      <c r="Q335" s="413"/>
      <c r="R335" s="400"/>
      <c r="S335" s="384"/>
      <c r="T335" s="384" t="s">
        <v>214</v>
      </c>
      <c r="U335" s="385"/>
      <c r="V335" s="385"/>
      <c r="W335" s="387"/>
    </row>
    <row r="336" spans="1:23" x14ac:dyDescent="0.2">
      <c r="A336" s="13" t="str">
        <f>_xlfn.CONCAT(VLOOKUP(Check[[#This Row],[סטטוס]],Sold,2,FALSE),IF(Check[[#This Row],[סטטוס]]="פנויה",IF(N336="גמר מלא סטנדרט",".GMS",IF(N336="גמר מלא טיוב חומרים",".GMC",IF(N336="גמר מינימלי",".GM",IF(N336="דירת שיווק",".DS","")))),""),".",VLOOKUP(Check[[#This Row],[טיפוס]],Tipus[],5,FALSE),".",VLOOKUP(Check[[#This Row],[מגדל]],Tower,2,FALSE),".Ap.",Check[[#This Row],[מספר דירה]])</f>
        <v>V.GM.PH2.TS.Ap.334</v>
      </c>
      <c r="B336" s="13" t="str">
        <f>_xlfn.CONCAT(VLOOKUP(Check[[#This Row],[סטטוס]],Sold,2,FALSE),IF(Check[[#This Row],[סטטוס]]="פנויה",IF(N336="גמר מלא סטנדרט",".GMS",IF(N336="גמר מלא טיוב חומרים",".GMC",IF(N336="גמר מינימלי",".GM",IF(N336="דירת שיווק",".DS","")))),""),IF(M336="זומן לטרום",".ZLT",IF(M336="טרום מסירה",".TM",IF(M336="טרום מסירה מהנדס",".TMM",IF(M336="מסירת חזקה",".MH",IF(M336="מסירת חזקה מהנדס",".MHM",""))))),".",VLOOKUP(Check[[#This Row],[טיפוס]],Tipus[],5,FALSE),".",VLOOKUP(Check[[#This Row],[מגדל]],Tower,2,FALSE),".Ap.",Check[[#This Row],[מספר דירה]])</f>
        <v>V.GM.PH2.TS.Ap.334</v>
      </c>
      <c r="C336" s="3" t="s">
        <v>55</v>
      </c>
      <c r="D336" s="3">
        <v>48</v>
      </c>
      <c r="E336" s="4">
        <v>334</v>
      </c>
      <c r="F336" s="3">
        <v>4801</v>
      </c>
      <c r="G336" s="3" t="s">
        <v>33</v>
      </c>
      <c r="H336" s="3">
        <f>VLOOKUP(Check[[#This Row],[טיפוס]],Tipus[],2,FALSE)</f>
        <v>6</v>
      </c>
      <c r="I336" s="3" t="str">
        <f>VLOOKUP(Check[[#This Row],[טיפוס]],Tipus[],3,FALSE)</f>
        <v>פנטהאוס</v>
      </c>
      <c r="J336" s="3" t="str">
        <f>VLOOKUP(Check[[#This Row],[טיפוס]],Tipus[],4,FALSE)</f>
        <v>PH2</v>
      </c>
      <c r="K336" s="3" t="str">
        <f>IF(Check[[#This Row],[סטטוס2]]="הולד","פנויה",Check[[#This Row],[סטטוס2]])</f>
        <v>פנויה</v>
      </c>
      <c r="L336" s="397" t="s">
        <v>108</v>
      </c>
      <c r="M336" s="397"/>
      <c r="N336" t="s">
        <v>1366</v>
      </c>
      <c r="O336" s="404" t="s">
        <v>1388</v>
      </c>
      <c r="P336" s="413" t="s">
        <v>1384</v>
      </c>
      <c r="Q336" s="413"/>
      <c r="R336" s="400"/>
      <c r="S336" s="384"/>
      <c r="T336" s="384" t="s">
        <v>214</v>
      </c>
      <c r="U336" s="385"/>
      <c r="V336" s="385"/>
      <c r="W336" s="387"/>
    </row>
    <row r="337" spans="1:23" x14ac:dyDescent="0.2">
      <c r="A337" s="13" t="str">
        <f>_xlfn.CONCAT(VLOOKUP(Check[[#This Row],[סטטוס]],Sold,2,FALSE),IF(Check[[#This Row],[סטטוס]]="פנויה",IF(N337="גמר מלא סטנדרט",".GMS",IF(N337="גמר מלא טיוב חומרים",".GMC",IF(N337="גמר מינימלי",".GM",IF(N337="דירת שיווק",".DS","")))),""),".",VLOOKUP(Check[[#This Row],[טיפוס]],Tipus[],5,FALSE),".",VLOOKUP(Check[[#This Row],[מגדל]],Tower,2,FALSE),".Ap.",Check[[#This Row],[מספר דירה]])</f>
        <v>O.PH3.TS.Ap.335</v>
      </c>
      <c r="B337" s="13" t="str">
        <f>_xlfn.CONCAT(VLOOKUP(Check[[#This Row],[סטטוס]],Sold,2,FALSE),IF(Check[[#This Row],[סטטוס]]="פנויה",IF(N337="גמר מלא סטנדרט",".GMS",IF(N337="גמר מלא טיוב חומרים",".GMC",IF(N337="גמר מינימלי",".GM",IF(N337="דירת שיווק",".DS","")))),""),IF(M337="זומן לטרום",".ZLT",IF(M337="טרום מסירה",".TM",IF(M337="טרום מסירה מהנדס",".TMM",IF(M337="מסירת חזקה",".MH",IF(M337="מסירת חזקה מהנדס",".MHM",""))))),".",VLOOKUP(Check[[#This Row],[טיפוס]],Tipus[],5,FALSE),".",VLOOKUP(Check[[#This Row],[מגדל]],Tower,2,FALSE),".Ap.",Check[[#This Row],[מספר דירה]])</f>
        <v>O.PH3.TS.Ap.335</v>
      </c>
      <c r="C337" s="3" t="s">
        <v>55</v>
      </c>
      <c r="D337" s="3">
        <v>49</v>
      </c>
      <c r="E337" s="4">
        <v>335</v>
      </c>
      <c r="F337" s="3">
        <v>4902</v>
      </c>
      <c r="G337" s="3" t="s">
        <v>34</v>
      </c>
      <c r="H337" s="3">
        <f>VLOOKUP(Check[[#This Row],[טיפוס]],Tipus[],2,FALSE)</f>
        <v>5</v>
      </c>
      <c r="I337" s="3" t="str">
        <f>VLOOKUP(Check[[#This Row],[טיפוס]],Tipus[],3,FALSE)</f>
        <v>פנטהאוס</v>
      </c>
      <c r="J337" s="3" t="str">
        <f>VLOOKUP(Check[[#This Row],[טיפוס]],Tipus[],4,FALSE)</f>
        <v>PH3</v>
      </c>
      <c r="K337" s="3" t="str">
        <f>IF(Check[[#This Row],[סטטוס2]]="הולד","פנויה",Check[[#This Row],[סטטוס2]])</f>
        <v>בעלים</v>
      </c>
      <c r="L337" s="382" t="s">
        <v>91</v>
      </c>
      <c r="M337" s="382"/>
      <c r="N337" s="383"/>
      <c r="O337" s="383"/>
      <c r="P337" s="418"/>
      <c r="Q337" s="418"/>
      <c r="R337" s="400"/>
      <c r="S337" s="384">
        <v>44040</v>
      </c>
      <c r="T337" s="384" t="s">
        <v>1290</v>
      </c>
      <c r="U337" s="385" t="s">
        <v>545</v>
      </c>
      <c r="V337" s="385" t="s">
        <v>546</v>
      </c>
      <c r="W337" s="385" t="s">
        <v>508</v>
      </c>
    </row>
    <row r="338" spans="1:23" x14ac:dyDescent="0.2">
      <c r="A338" s="13" t="str">
        <f>_xlfn.CONCAT(VLOOKUP(Check[[#This Row],[סטטוס]],Sold,2,FALSE),IF(Check[[#This Row],[סטטוס]]="פנויה",IF(N338="גמר מלא סטנדרט",".GMS",IF(N338="גמר מלא טיוב חומרים",".GMC",IF(N338="גמר מינימלי",".GM",IF(N338="דירת שיווק",".DS","")))),""),".",VLOOKUP(Check[[#This Row],[טיפוס]],Tipus[],5,FALSE),".",VLOOKUP(Check[[#This Row],[מגדל]],Tower,2,FALSE),".Ap.",Check[[#This Row],[מספר דירה]])</f>
        <v>O.PH4.TS.Ap.336</v>
      </c>
      <c r="B338" s="13" t="str">
        <f>_xlfn.CONCAT(VLOOKUP(Check[[#This Row],[סטטוס]],Sold,2,FALSE),IF(Check[[#This Row],[סטטוס]]="פנויה",IF(N338="גמר מלא סטנדרט",".GMS",IF(N338="גמר מלא טיוב חומרים",".GMC",IF(N338="גמר מינימלי",".GM",IF(N338="דירת שיווק",".DS","")))),""),IF(M338="זומן לטרום",".ZLT",IF(M338="טרום מסירה",".TM",IF(M338="טרום מסירה מהנדס",".TMM",IF(M338="מסירת חזקה",".MH",IF(M338="מסירת חזקה מהנדס",".MHM",""))))),".",VLOOKUP(Check[[#This Row],[טיפוס]],Tipus[],5,FALSE),".",VLOOKUP(Check[[#This Row],[מגדל]],Tower,2,FALSE),".Ap.",Check[[#This Row],[מספר דירה]])</f>
        <v>O.PH4.TS.Ap.336</v>
      </c>
      <c r="C338" s="3" t="s">
        <v>55</v>
      </c>
      <c r="D338" s="3">
        <v>49</v>
      </c>
      <c r="E338" s="4">
        <v>336</v>
      </c>
      <c r="F338" s="3">
        <v>4901</v>
      </c>
      <c r="G338" s="3" t="s">
        <v>35</v>
      </c>
      <c r="H338" s="3">
        <f>VLOOKUP(Check[[#This Row],[טיפוס]],Tipus[],2,FALSE)</f>
        <v>5</v>
      </c>
      <c r="I338" s="3" t="str">
        <f>VLOOKUP(Check[[#This Row],[טיפוס]],Tipus[],3,FALSE)</f>
        <v>פנטהאוס</v>
      </c>
      <c r="J338" s="3" t="str">
        <f>VLOOKUP(Check[[#This Row],[טיפוס]],Tipus[],4,FALSE)</f>
        <v>PH4</v>
      </c>
      <c r="K338" s="3" t="str">
        <f>IF(Check[[#This Row],[סטטוס2]]="הולד","פנויה",Check[[#This Row],[סטטוס2]])</f>
        <v>בעלים</v>
      </c>
      <c r="L338" s="382" t="s">
        <v>91</v>
      </c>
      <c r="M338" s="382"/>
      <c r="N338" s="383"/>
      <c r="O338" s="383"/>
      <c r="P338" s="411"/>
      <c r="Q338" s="411"/>
      <c r="R338" s="383"/>
      <c r="S338" s="384">
        <v>44040</v>
      </c>
      <c r="T338" s="384" t="s">
        <v>1328</v>
      </c>
      <c r="U338" s="385" t="s">
        <v>547</v>
      </c>
      <c r="V338" s="385" t="s">
        <v>548</v>
      </c>
      <c r="W338" s="385" t="s">
        <v>549</v>
      </c>
    </row>
    <row r="339" spans="1:23" x14ac:dyDescent="0.2">
      <c r="A339" s="13" t="str">
        <f>_xlfn.CONCAT(VLOOKUP(Check[[#This Row],[סטטוס]],Sold,2,FALSE),IF(Check[[#This Row],[סטטוס]]="פנויה",IF(N339="גמר מלא סטנדרט",".GMS",IF(N339="גמר מלא טיוב חומרים",".GMC",IF(N339="גמר מינימלי",".GM",IF(N339="דירת שיווק",".DS","")))),""),".",VLOOKUP(Check[[#This Row],[טיפוס]],Tipus[],5,FALSE),".",VLOOKUP(Check[[#This Row],[מגדל]],Tower,2,FALSE),".Ap.",Check[[#This Row],[מספר דירה]])</f>
        <v>O.PH5.TS.Ap.337</v>
      </c>
      <c r="B339" s="13" t="str">
        <f>_xlfn.CONCAT(VLOOKUP(Check[[#This Row],[סטטוס]],Sold,2,FALSE),IF(Check[[#This Row],[סטטוס]]="פנויה",IF(N339="גמר מלא סטנדרט",".GMS",IF(N339="גמר מלא טיוב חומרים",".GMC",IF(N339="גמר מינימלי",".GM",IF(N339="דירת שיווק",".DS","")))),""),IF(M339="זומן לטרום",".ZLT",IF(M339="טרום מסירה",".TM",IF(M339="טרום מסירה מהנדס",".TMM",IF(M339="מסירת חזקה",".MH",IF(M339="מסירת חזקה מהנדס",".MHM",""))))),".",VLOOKUP(Check[[#This Row],[טיפוס]],Tipus[],5,FALSE),".",VLOOKUP(Check[[#This Row],[מגדל]],Tower,2,FALSE),".Ap.",Check[[#This Row],[מספר דירה]])</f>
        <v>O.PH5.TS.Ap.337</v>
      </c>
      <c r="C339" s="3" t="s">
        <v>55</v>
      </c>
      <c r="D339" s="3">
        <v>50</v>
      </c>
      <c r="E339" s="4">
        <v>337</v>
      </c>
      <c r="F339" s="3">
        <v>5001</v>
      </c>
      <c r="G339" s="3" t="s">
        <v>5</v>
      </c>
      <c r="H339" s="3">
        <f>VLOOKUP(Check[[#This Row],[טיפוס]],Tipus[],2,FALSE)</f>
        <v>5</v>
      </c>
      <c r="I339" s="3" t="str">
        <f>VLOOKUP(Check[[#This Row],[טיפוס]],Tipus[],3,FALSE)</f>
        <v>פנטהאוס</v>
      </c>
      <c r="J339" s="3" t="str">
        <f>VLOOKUP(Check[[#This Row],[טיפוס]],Tipus[],4,FALSE)</f>
        <v>PH5</v>
      </c>
      <c r="K339" s="3" t="str">
        <f>IF(Check[[#This Row],[סטטוס2]]="הולד","פנויה",Check[[#This Row],[סטטוס2]])</f>
        <v>בעלים</v>
      </c>
      <c r="L339" s="382" t="s">
        <v>91</v>
      </c>
      <c r="M339" s="382"/>
      <c r="N339" s="383"/>
      <c r="O339" s="383"/>
      <c r="P339" s="411"/>
      <c r="Q339" s="411"/>
      <c r="R339" s="383"/>
      <c r="S339" s="384">
        <v>44040</v>
      </c>
      <c r="T339" s="384" t="s">
        <v>1329</v>
      </c>
      <c r="U339" s="385" t="s">
        <v>550</v>
      </c>
      <c r="V339" s="385" t="s">
        <v>551</v>
      </c>
      <c r="W339" s="385" t="s">
        <v>552</v>
      </c>
    </row>
    <row r="340" spans="1:23" x14ac:dyDescent="0.2">
      <c r="A340" s="13" t="str">
        <f>_xlfn.CONCAT(VLOOKUP(Check[[#This Row],[סטטוס]],Sold,2,FALSE),IF(Check[[#This Row],[סטטוס]]="פנויה",IF(N340="גמר מלא סטנדרט",".GMS",IF(N340="גמר מלא טיוב חומרים",".GMC",IF(N340="גמר מינימלי",".GM",IF(N340="דירת שיווק",".DS","")))),""),".",VLOOKUP(Check[[#This Row],[טיפוס]],Tipus[],5,FALSE),".",VLOOKUP(Check[[#This Row],[מגדל]],Tower,2,FALSE),".Ap.",Check[[#This Row],[מספר דירה]])</f>
        <v>O.S.4G.TN.Ap.1</v>
      </c>
      <c r="B340" s="13" t="str">
        <f>_xlfn.CONCAT(VLOOKUP(Check[[#This Row],[סטטוס]],Sold,2,FALSE),IF(Check[[#This Row],[סטטוס]]="פנויה",IF(N340="גמר מלא סטנדרט",".GMS",IF(N340="גמר מלא טיוב חומרים",".GMC",IF(N340="גמר מינימלי",".GM",IF(N340="דירת שיווק",".DS","")))),""),IF(M340="זומן לטרום",".ZLT",IF(M340="טרום מסירה",".TM",IF(M340="טרום מסירה מהנדס",".TMM",IF(M340="מסירת חזקה",".MH",IF(M340="מסירת חזקה מהנדס",".MHM",""))))),".",VLOOKUP(Check[[#This Row],[טיפוס]],Tipus[],5,FALSE),".",VLOOKUP(Check[[#This Row],[מגדל]],Tower,2,FALSE),".Ap.",Check[[#This Row],[מספר דירה]])</f>
        <v>O.S.4G.TN.Ap.1</v>
      </c>
      <c r="C340" s="3" t="s">
        <v>56</v>
      </c>
      <c r="D340" s="3">
        <v>2</v>
      </c>
      <c r="E340" s="4">
        <v>1</v>
      </c>
      <c r="F340" s="3">
        <v>206</v>
      </c>
      <c r="G340" s="3" t="s">
        <v>13</v>
      </c>
      <c r="H340" s="3">
        <f>VLOOKUP(Check[[#This Row],[טיפוס]],Tipus[],2,FALSE)</f>
        <v>4</v>
      </c>
      <c r="I340" s="3" t="str">
        <f>VLOOKUP(Check[[#This Row],[טיפוס]],Tipus[],3,FALSE)</f>
        <v>סטנדרט</v>
      </c>
      <c r="J340" s="3" t="str">
        <f>VLOOKUP(Check[[#This Row],[טיפוס]],Tipus[],4,FALSE)</f>
        <v>4G</v>
      </c>
      <c r="K340" s="3" t="str">
        <f>IF(Check[[#This Row],[סטטוס2]]="הולד","פנויה",Check[[#This Row],[סטטוס2]])</f>
        <v>בעלים</v>
      </c>
      <c r="L340" s="382" t="s">
        <v>91</v>
      </c>
      <c r="M340" s="382"/>
      <c r="N340" s="383"/>
      <c r="O340" s="383"/>
      <c r="P340" s="411"/>
      <c r="Q340" s="411"/>
      <c r="R340" s="383"/>
      <c r="S340" s="390">
        <v>44040</v>
      </c>
      <c r="T340" s="390" t="s">
        <v>1330</v>
      </c>
      <c r="U340" s="387" t="s">
        <v>219</v>
      </c>
      <c r="V340" s="387" t="s">
        <v>220</v>
      </c>
      <c r="W340" s="387" t="s">
        <v>221</v>
      </c>
    </row>
    <row r="341" spans="1:23" x14ac:dyDescent="0.2">
      <c r="A341" s="13" t="str">
        <f>_xlfn.CONCAT(VLOOKUP(Check[[#This Row],[סטטוס]],Sold,2,FALSE),IF(Check[[#This Row],[סטטוס]]="פנויה",IF(N341="גמר מלא סטנדרט",".GMS",IF(N341="גמר מלא טיוב חומרים",".GMC",IF(N341="גמר מינימלי",".GM",IF(N341="דירת שיווק",".DS","")))),""),".",VLOOKUP(Check[[#This Row],[טיפוס]],Tipus[],5,FALSE),".",VLOOKUP(Check[[#This Row],[מגדל]],Tower,2,FALSE),".Ap.",Check[[#This Row],[מספר דירה]])</f>
        <v>S.S.2C.TN.Ap.2</v>
      </c>
      <c r="B341" s="13" t="str">
        <f>_xlfn.CONCAT(VLOOKUP(Check[[#This Row],[סטטוס]],Sold,2,FALSE),IF(Check[[#This Row],[סטטוס]]="פנויה",IF(N341="גמר מלא סטנדרט",".GMS",IF(N341="גמר מלא טיוב חומרים",".GMC",IF(N341="גמר מינימלי",".GM",IF(N341="דירת שיווק",".DS","")))),""),IF(M341="זומן לטרום",".ZLT",IF(M341="טרום מסירה",".TM",IF(M341="טרום מסירה מהנדס",".TMM",IF(M341="מסירת חזקה",".MH",IF(M341="מסירת חזקה מהנדס",".MHM",""))))),".",VLOOKUP(Check[[#This Row],[טיפוס]],Tipus[],5,FALSE),".",VLOOKUP(Check[[#This Row],[מגדל]],Tower,2,FALSE),".Ap.",Check[[#This Row],[מספר דירה]])</f>
        <v>S.S.2C.TN.Ap.2</v>
      </c>
      <c r="C341" s="3" t="s">
        <v>56</v>
      </c>
      <c r="D341" s="3">
        <v>2</v>
      </c>
      <c r="E341" s="4">
        <v>2</v>
      </c>
      <c r="F341" s="3">
        <v>207</v>
      </c>
      <c r="G341" s="3" t="s">
        <v>8</v>
      </c>
      <c r="H341" s="3">
        <f>VLOOKUP(Check[[#This Row],[טיפוס]],Tipus[],2,FALSE)</f>
        <v>2</v>
      </c>
      <c r="I341" s="3" t="str">
        <f>VLOOKUP(Check[[#This Row],[טיפוס]],Tipus[],3,FALSE)</f>
        <v>סטנדרט</v>
      </c>
      <c r="J341" s="3" t="str">
        <f>VLOOKUP(Check[[#This Row],[טיפוס]],Tipus[],4,FALSE)</f>
        <v>E</v>
      </c>
      <c r="K341" s="3" t="str">
        <f>IF(Check[[#This Row],[סטטוס2]]="הולד","פנויה",Check[[#This Row],[סטטוס2]])</f>
        <v>מכורה</v>
      </c>
      <c r="L341" s="382" t="s">
        <v>130</v>
      </c>
      <c r="M341" s="382"/>
      <c r="N341" s="383"/>
      <c r="O341" s="383"/>
      <c r="P341" s="411"/>
      <c r="Q341" s="411"/>
      <c r="R341" s="383"/>
      <c r="S341" s="390">
        <v>44248</v>
      </c>
      <c r="T341" s="390" t="s">
        <v>553</v>
      </c>
      <c r="U341" s="387" t="s">
        <v>554</v>
      </c>
      <c r="V341" s="387"/>
      <c r="W341" s="387"/>
    </row>
    <row r="342" spans="1:23" x14ac:dyDescent="0.2">
      <c r="A342" s="13" t="str">
        <f>_xlfn.CONCAT(VLOOKUP(Check[[#This Row],[סטטוס]],Sold,2,FALSE),IF(Check[[#This Row],[סטטוס]]="פנויה",IF(N342="גמר מלא סטנדרט",".GMS",IF(N342="גמר מלא טיוב חומרים",".GMC",IF(N342="גמר מינימלי",".GM",IF(N342="דירת שיווק",".DS","")))),""),".",VLOOKUP(Check[[#This Row],[טיפוס]],Tipus[],5,FALSE),".",VLOOKUP(Check[[#This Row],[מגדל]],Tower,2,FALSE),".Ap.",Check[[#This Row],[מספר דירה]])</f>
        <v>S.S.2B.TN.Ap.3</v>
      </c>
      <c r="B342" s="13" t="str">
        <f>_xlfn.CONCAT(VLOOKUP(Check[[#This Row],[סטטוס]],Sold,2,FALSE),IF(Check[[#This Row],[סטטוס]]="פנויה",IF(N342="גמר מלא סטנדרט",".GMS",IF(N342="גמר מלא טיוב חומרים",".GMC",IF(N342="גמר מינימלי",".GM",IF(N342="דירת שיווק",".DS","")))),""),IF(M342="זומן לטרום",".ZLT",IF(M342="טרום מסירה",".TM",IF(M342="טרום מסירה מהנדס",".TMM",IF(M342="מסירת חזקה",".MH",IF(M342="מסירת חזקה מהנדס",".MHM",""))))),".",VLOOKUP(Check[[#This Row],[טיפוס]],Tipus[],5,FALSE),".",VLOOKUP(Check[[#This Row],[מגדל]],Tower,2,FALSE),".Ap.",Check[[#This Row],[מספר דירה]])</f>
        <v>S.S.2B.TN.Ap.3</v>
      </c>
      <c r="C342" s="3" t="s">
        <v>56</v>
      </c>
      <c r="D342" s="3">
        <v>2</v>
      </c>
      <c r="E342" s="4">
        <v>3</v>
      </c>
      <c r="F342" s="3">
        <v>208</v>
      </c>
      <c r="G342" s="5" t="s">
        <v>7</v>
      </c>
      <c r="H342" s="5">
        <f>VLOOKUP(Check[[#This Row],[טיפוס]],Tipus[],2,FALSE)</f>
        <v>2</v>
      </c>
      <c r="I342" s="5" t="str">
        <f>VLOOKUP(Check[[#This Row],[טיפוס]],Tipus[],3,FALSE)</f>
        <v>סטנדרט</v>
      </c>
      <c r="J342" s="5" t="str">
        <f>VLOOKUP(Check[[#This Row],[טיפוס]],Tipus[],4,FALSE)</f>
        <v>F</v>
      </c>
      <c r="K342" s="3" t="str">
        <f>IF(Check[[#This Row],[סטטוס2]]="הולד","פנויה",Check[[#This Row],[סטטוס2]])</f>
        <v>מכורה</v>
      </c>
      <c r="L342" s="382" t="s">
        <v>130</v>
      </c>
      <c r="M342" s="382"/>
      <c r="N342" s="383"/>
      <c r="O342" s="383"/>
      <c r="P342" s="411"/>
      <c r="Q342" s="411"/>
      <c r="R342" s="383"/>
      <c r="S342" s="390">
        <v>44244</v>
      </c>
      <c r="T342" s="390" t="s">
        <v>555</v>
      </c>
      <c r="U342" s="387" t="s">
        <v>556</v>
      </c>
      <c r="V342" s="387"/>
      <c r="W342" s="387"/>
    </row>
    <row r="343" spans="1:23" x14ac:dyDescent="0.2">
      <c r="A343" s="13" t="str">
        <f>_xlfn.CONCAT(VLOOKUP(Check[[#This Row],[סטטוס]],Sold,2,FALSE),IF(Check[[#This Row],[סטטוס]]="פנויה",IF(N343="גמר מלא סטנדרט",".GMS",IF(N343="גמר מלא טיוב חומרים",".GMC",IF(N343="גמר מינימלי",".GM",IF(N343="דירת שיווק",".DS","")))),""),".",VLOOKUP(Check[[#This Row],[טיפוס]],Tipus[],5,FALSE),".",VLOOKUP(Check[[#This Row],[מגדל]],Tower,2,FALSE),".Ap.",Check[[#This Row],[מספר דירה]])</f>
        <v>S.S.4B.TN.Ap.4</v>
      </c>
      <c r="B343" s="13" t="str">
        <f>_xlfn.CONCAT(VLOOKUP(Check[[#This Row],[סטטוס]],Sold,2,FALSE),IF(Check[[#This Row],[סטטוס]]="פנויה",IF(N343="גמר מלא סטנדרט",".GMS",IF(N343="גמר מלא טיוב חומרים",".GMC",IF(N343="גמר מינימלי",".GM",IF(N343="דירת שיווק",".DS","")))),""),IF(M343="זומן לטרום",".ZLT",IF(M343="טרום מסירה",".TM",IF(M343="טרום מסירה מהנדס",".TMM",IF(M343="מסירת חזקה",".MH",IF(M343="מסירת חזקה מהנדס",".MHM",""))))),".",VLOOKUP(Check[[#This Row],[טיפוס]],Tipus[],5,FALSE),".",VLOOKUP(Check[[#This Row],[מגדל]],Tower,2,FALSE),".Ap.",Check[[#This Row],[מספר דירה]])</f>
        <v>S.S.4B.TN.Ap.4</v>
      </c>
      <c r="C343" s="3" t="s">
        <v>56</v>
      </c>
      <c r="D343" s="3">
        <v>2</v>
      </c>
      <c r="E343" s="4">
        <v>4</v>
      </c>
      <c r="F343" s="3">
        <v>202</v>
      </c>
      <c r="G343" s="5" t="s">
        <v>16</v>
      </c>
      <c r="H343" s="5">
        <f>VLOOKUP(Check[[#This Row],[טיפוס]],Tipus[],2,FALSE)</f>
        <v>4</v>
      </c>
      <c r="I343" s="5" t="str">
        <f>VLOOKUP(Check[[#This Row],[טיפוס]],Tipus[],3,FALSE)</f>
        <v>סטנדרט</v>
      </c>
      <c r="J343" s="5" t="str">
        <f>VLOOKUP(Check[[#This Row],[טיפוס]],Tipus[],4,FALSE)</f>
        <v>H</v>
      </c>
      <c r="K343" s="3" t="str">
        <f>IF(Check[[#This Row],[סטטוס2]]="הולד","פנויה",Check[[#This Row],[סטטוס2]])</f>
        <v>מכורה</v>
      </c>
      <c r="L343" s="382" t="s">
        <v>130</v>
      </c>
      <c r="M343" s="382"/>
      <c r="N343" s="383"/>
      <c r="O343" s="383"/>
      <c r="P343" s="411"/>
      <c r="Q343" s="411"/>
      <c r="R343" s="383"/>
      <c r="S343" s="390">
        <v>44606</v>
      </c>
      <c r="T343" s="390" t="s">
        <v>557</v>
      </c>
      <c r="U343" s="387" t="s">
        <v>558</v>
      </c>
      <c r="V343" s="387"/>
      <c r="W343" s="387"/>
    </row>
    <row r="344" spans="1:23" x14ac:dyDescent="0.2">
      <c r="A344" s="13" t="str">
        <f>_xlfn.CONCAT(VLOOKUP(Check[[#This Row],[סטטוס]],Sold,2,FALSE),IF(Check[[#This Row],[סטטוס]]="פנויה",IF(N344="גמר מלא סטנדרט",".GMS",IF(N344="גמר מלא טיוב חומרים",".GMC",IF(N344="גמר מינימלי",".GM",IF(N344="דירת שיווק",".DS","")))),""),".",VLOOKUP(Check[[#This Row],[טיפוס]],Tipus[],5,FALSE),".",VLOOKUP(Check[[#This Row],[מגדל]],Tower,2,FALSE),".Ap.",Check[[#This Row],[מספר דירה]])</f>
        <v>O.S.2G.TN.Ap.5</v>
      </c>
      <c r="B344" s="13" t="str">
        <f>_xlfn.CONCAT(VLOOKUP(Check[[#This Row],[סטטוס]],Sold,2,FALSE),IF(Check[[#This Row],[סטטוס]]="פנויה",IF(N344="גמר מלא סטנדרט",".GMS",IF(N344="גמר מלא טיוב חומרים",".GMC",IF(N344="גמר מינימלי",".GM",IF(N344="דירת שיווק",".DS","")))),""),IF(M344="זומן לטרום",".ZLT",IF(M344="טרום מסירה",".TM",IF(M344="טרום מסירה מהנדס",".TMM",IF(M344="מסירת חזקה",".MH",IF(M344="מסירת חזקה מהנדס",".MHM",""))))),".",VLOOKUP(Check[[#This Row],[טיפוס]],Tipus[],5,FALSE),".",VLOOKUP(Check[[#This Row],[מגדל]],Tower,2,FALSE),".Ap.",Check[[#This Row],[מספר דירה]])</f>
        <v>O.TMM.S.2G.TN.Ap.5</v>
      </c>
      <c r="C344" s="3" t="s">
        <v>56</v>
      </c>
      <c r="D344" s="3">
        <v>2</v>
      </c>
      <c r="E344" s="4">
        <v>5</v>
      </c>
      <c r="F344" s="3">
        <v>203</v>
      </c>
      <c r="G344" s="3" t="s">
        <v>15</v>
      </c>
      <c r="H344" s="3">
        <f>VLOOKUP(Check[[#This Row],[טיפוס]],Tipus[],2,FALSE)</f>
        <v>2</v>
      </c>
      <c r="I344" s="3" t="str">
        <f>VLOOKUP(Check[[#This Row],[טיפוס]],Tipus[],3,FALSE)</f>
        <v>סטנדרט</v>
      </c>
      <c r="J344" s="3" t="str">
        <f>VLOOKUP(Check[[#This Row],[טיפוס]],Tipus[],4,FALSE)</f>
        <v>I</v>
      </c>
      <c r="K344" s="3" t="str">
        <f>IF(Check[[#This Row],[סטטוס2]]="הולד","פנויה",Check[[#This Row],[סטטוס2]])</f>
        <v>בעלים</v>
      </c>
      <c r="L344" s="382" t="s">
        <v>91</v>
      </c>
      <c r="M344" s="382" t="s">
        <v>1421</v>
      </c>
      <c r="N344" s="383"/>
      <c r="O344" s="383"/>
      <c r="P344" s="411"/>
      <c r="Q344" s="411"/>
      <c r="R344" s="383"/>
      <c r="S344" s="390">
        <v>44040</v>
      </c>
      <c r="T344" s="390" t="s">
        <v>1290</v>
      </c>
      <c r="U344" s="387" t="s">
        <v>222</v>
      </c>
      <c r="V344" s="387"/>
      <c r="W344" s="387" t="s">
        <v>214</v>
      </c>
    </row>
    <row r="345" spans="1:23" x14ac:dyDescent="0.2">
      <c r="A345" s="13" t="str">
        <f>_xlfn.CONCAT(VLOOKUP(Check[[#This Row],[סטטוס]],Sold,2,FALSE),IF(Check[[#This Row],[סטטוס]]="פנויה",IF(N345="גמר מלא סטנדרט",".GMS",IF(N345="גמר מלא טיוב חומרים",".GMC",IF(N345="גמר מינימלי",".GM",IF(N345="דירת שיווק",".DS","")))),""),".",VLOOKUP(Check[[#This Row],[טיפוס]],Tipus[],5,FALSE),".",VLOOKUP(Check[[#This Row],[מגדל]],Tower,2,FALSE),".Ap.",Check[[#This Row],[מספר דירה]])</f>
        <v>V.GMS.S.4A.TN.Ap.6</v>
      </c>
      <c r="B345" s="13" t="str">
        <f>_xlfn.CONCAT(VLOOKUP(Check[[#This Row],[סטטוס]],Sold,2,FALSE),IF(Check[[#This Row],[סטטוס]]="פנויה",IF(N345="גמר מלא סטנדרט",".GMS",IF(N345="גמר מלא טיוב חומרים",".GMC",IF(N345="גמר מינימלי",".GM",IF(N345="דירת שיווק",".DS","")))),""),IF(M345="זומן לטרום",".ZLT",IF(M345="טרום מסירה",".TM",IF(M345="טרום מסירה מהנדס",".TMM",IF(M345="מסירת חזקה",".MH",IF(M345="מסירת חזקה מהנדס",".MHM",""))))),".",VLOOKUP(Check[[#This Row],[טיפוס]],Tipus[],5,FALSE),".",VLOOKUP(Check[[#This Row],[מגדל]],Tower,2,FALSE),".Ap.",Check[[#This Row],[מספר דירה]])</f>
        <v>V.GMS.S.4A.TN.Ap.6</v>
      </c>
      <c r="C345" s="3" t="s">
        <v>56</v>
      </c>
      <c r="D345" s="3">
        <v>2</v>
      </c>
      <c r="E345" s="4">
        <v>6</v>
      </c>
      <c r="F345" s="3">
        <v>204</v>
      </c>
      <c r="G345" s="5" t="s">
        <v>14</v>
      </c>
      <c r="H345" s="5">
        <f>VLOOKUP(Check[[#This Row],[טיפוס]],Tipus[],2,FALSE)</f>
        <v>4</v>
      </c>
      <c r="I345" s="5" t="str">
        <f>VLOOKUP(Check[[#This Row],[טיפוס]],Tipus[],3,FALSE)</f>
        <v>סטנדרט</v>
      </c>
      <c r="J345" s="5" t="str">
        <f>VLOOKUP(Check[[#This Row],[טיפוס]],Tipus[],4,FALSE)</f>
        <v>J</v>
      </c>
      <c r="K345" s="3" t="str">
        <f>IF(Check[[#This Row],[סטטוס2]]="הולד","פנויה",Check[[#This Row],[סטטוס2]])</f>
        <v>פנויה</v>
      </c>
      <c r="L345" s="382" t="s">
        <v>108</v>
      </c>
      <c r="M345" s="382"/>
      <c r="N345" t="s">
        <v>1367</v>
      </c>
      <c r="O345" s="383" t="s">
        <v>1390</v>
      </c>
      <c r="P345" s="410" t="s">
        <v>1389</v>
      </c>
      <c r="Q345" s="410"/>
      <c r="R345" s="400"/>
      <c r="S345" s="390"/>
      <c r="T345" s="390" t="s">
        <v>214</v>
      </c>
      <c r="U345" s="387"/>
      <c r="V345" s="387"/>
      <c r="W345" s="387"/>
    </row>
    <row r="346" spans="1:23" x14ac:dyDescent="0.2">
      <c r="A346" s="13" t="str">
        <f>_xlfn.CONCAT(VLOOKUP(Check[[#This Row],[סטטוס]],Sold,2,FALSE),IF(Check[[#This Row],[סטטוס]]="פנויה",IF(N346="גמר מלא סטנדרט",".GMS",IF(N346="גמר מלא טיוב חומרים",".GMC",IF(N346="גמר מינימלי",".GM",IF(N346="דירת שיווק",".DS","")))),""),".",VLOOKUP(Check[[#This Row],[טיפוס]],Tipus[],5,FALSE),".",VLOOKUP(Check[[#This Row],[מגדל]],Tower,2,FALSE),".Ap.",Check[[#This Row],[מספר דירה]])</f>
        <v>O.S.4H.TN.Ap.7</v>
      </c>
      <c r="B346" s="13" t="str">
        <f>_xlfn.CONCAT(VLOOKUP(Check[[#This Row],[סטטוס]],Sold,2,FALSE),IF(Check[[#This Row],[סטטוס]]="פנויה",IF(N346="גמר מלא סטנדרט",".GMS",IF(N346="גמר מלא טיוב חומרים",".GMC",IF(N346="גמר מינימלי",".GM",IF(N346="דירת שיווק",".DS","")))),""),IF(M346="זומן לטרום",".ZLT",IF(M346="טרום מסירה",".TM",IF(M346="טרום מסירה מהנדס",".TMM",IF(M346="מסירת חזקה",".MH",IF(M346="מסירת חזקה מהנדס",".MHM",""))))),".",VLOOKUP(Check[[#This Row],[טיפוס]],Tipus[],5,FALSE),".",VLOOKUP(Check[[#This Row],[מגדל]],Tower,2,FALSE),".Ap.",Check[[#This Row],[מספר דירה]])</f>
        <v>O.S.4H.TN.Ap.7</v>
      </c>
      <c r="C346" s="3" t="s">
        <v>56</v>
      </c>
      <c r="D346" s="3">
        <v>2</v>
      </c>
      <c r="E346" s="4">
        <v>7</v>
      </c>
      <c r="F346" s="3">
        <v>205</v>
      </c>
      <c r="G346" s="3" t="s">
        <v>17</v>
      </c>
      <c r="H346" s="3">
        <f>VLOOKUP(Check[[#This Row],[טיפוס]],Tipus[],2,FALSE)</f>
        <v>4</v>
      </c>
      <c r="I346" s="3" t="str">
        <f>VLOOKUP(Check[[#This Row],[טיפוס]],Tipus[],3,FALSE)</f>
        <v>סטנדרט</v>
      </c>
      <c r="J346" s="3" t="str">
        <f>VLOOKUP(Check[[#This Row],[טיפוס]],Tipus[],4,FALSE)</f>
        <v>4H</v>
      </c>
      <c r="K346" s="3" t="str">
        <f>IF(Check[[#This Row],[סטטוס2]]="הולד","פנויה",Check[[#This Row],[סטטוס2]])</f>
        <v>בעלים</v>
      </c>
      <c r="L346" s="382" t="s">
        <v>91</v>
      </c>
      <c r="M346" s="382"/>
      <c r="N346" s="383"/>
      <c r="O346" s="383"/>
      <c r="P346" s="411"/>
      <c r="Q346" s="411"/>
      <c r="R346" s="383"/>
      <c r="S346" s="390">
        <v>44040</v>
      </c>
      <c r="T346" s="390" t="s">
        <v>223</v>
      </c>
      <c r="U346" s="387" t="s">
        <v>224</v>
      </c>
      <c r="V346" s="387" t="s">
        <v>225</v>
      </c>
      <c r="W346" s="387" t="s">
        <v>226</v>
      </c>
    </row>
    <row r="347" spans="1:23" x14ac:dyDescent="0.2">
      <c r="A347" s="13" t="str">
        <f>_xlfn.CONCAT(VLOOKUP(Check[[#This Row],[סטטוס]],Sold,2,FALSE),IF(Check[[#This Row],[סטטוס]]="פנויה",IF(N347="גמר מלא סטנדרט",".GMS",IF(N347="גמר מלא טיוב חומרים",".GMC",IF(N347="גמר מינימלי",".GM",IF(N347="דירת שיווק",".DS","")))),""),".",VLOOKUP(Check[[#This Row],[טיפוס]],Tipus[],5,FALSE),".",VLOOKUP(Check[[#This Row],[מגדל]],Tower,2,FALSE),".Ap.",Check[[#This Row],[מספר דירה]])</f>
        <v>S.S.2A.TN.Ap.8</v>
      </c>
      <c r="B347" s="13" t="str">
        <f>_xlfn.CONCAT(VLOOKUP(Check[[#This Row],[סטטוס]],Sold,2,FALSE),IF(Check[[#This Row],[סטטוס]]="פנויה",IF(N347="גמר מלא סטנדרט",".GMS",IF(N347="גמר מלא טיוב חומרים",".GMC",IF(N347="גמר מינימלי",".GM",IF(N347="דירת שיווק",".DS","")))),""),IF(M347="זומן לטרום",".ZLT",IF(M347="טרום מסירה",".TM",IF(M347="טרום מסירה מהנדס",".TMM",IF(M347="מסירת חזקה",".MH",IF(M347="מסירת חזקה מהנדס",".MHM",""))))),".",VLOOKUP(Check[[#This Row],[טיפוס]],Tipus[],5,FALSE),".",VLOOKUP(Check[[#This Row],[מגדל]],Tower,2,FALSE),".Ap.",Check[[#This Row],[מספר דירה]])</f>
        <v>S.S.2A.TN.Ap.8</v>
      </c>
      <c r="C347" s="3" t="s">
        <v>56</v>
      </c>
      <c r="D347" s="3">
        <v>2</v>
      </c>
      <c r="E347" s="4">
        <v>8</v>
      </c>
      <c r="F347" s="3">
        <v>201</v>
      </c>
      <c r="G347" s="5" t="s">
        <v>6</v>
      </c>
      <c r="H347" s="5">
        <f>VLOOKUP(Check[[#This Row],[טיפוס]],Tipus[],2,FALSE)</f>
        <v>2</v>
      </c>
      <c r="I347" s="5" t="str">
        <f>VLOOKUP(Check[[#This Row],[טיפוס]],Tipus[],3,FALSE)</f>
        <v>סטנדרט</v>
      </c>
      <c r="J347" s="5" t="str">
        <f>VLOOKUP(Check[[#This Row],[טיפוס]],Tipus[],4,FALSE)</f>
        <v>G</v>
      </c>
      <c r="K347" s="3" t="str">
        <f>IF(Check[[#This Row],[סטטוס2]]="הולד","פנויה",Check[[#This Row],[סטטוס2]])</f>
        <v>מכורה</v>
      </c>
      <c r="L347" s="382" t="s">
        <v>130</v>
      </c>
      <c r="M347" s="382"/>
      <c r="N347" s="383"/>
      <c r="O347" s="383"/>
      <c r="P347" s="411"/>
      <c r="Q347" s="411"/>
      <c r="R347" s="383"/>
      <c r="S347" s="390">
        <v>44224</v>
      </c>
      <c r="T347" s="390" t="s">
        <v>1153</v>
      </c>
      <c r="U347" s="387" t="s">
        <v>559</v>
      </c>
      <c r="V347" s="387"/>
      <c r="W347" s="387"/>
    </row>
    <row r="348" spans="1:23" x14ac:dyDescent="0.2">
      <c r="A348" s="13" t="str">
        <f>_xlfn.CONCAT(VLOOKUP(Check[[#This Row],[סטטוס]],Sold,2,FALSE),IF(Check[[#This Row],[סטטוס]]="פנויה",IF(N348="גמר מלא סטנדרט",".GMS",IF(N348="גמר מלא טיוב חומרים",".GMC",IF(N348="גמר מינימלי",".GM",IF(N348="דירת שיווק",".DS","")))),""),".",VLOOKUP(Check[[#This Row],[טיפוס]],Tipus[],5,FALSE),".",VLOOKUP(Check[[#This Row],[מגדל]],Tower,2,FALSE),".Ap.",Check[[#This Row],[מספר דירה]])</f>
        <v>S.S.3A.TN.Ap.9</v>
      </c>
      <c r="B348" s="13" t="str">
        <f>_xlfn.CONCAT(VLOOKUP(Check[[#This Row],[סטטוס]],Sold,2,FALSE),IF(Check[[#This Row],[סטטוס]]="פנויה",IF(N348="גמר מלא סטנדרט",".GMS",IF(N348="גמר מלא טיוב חומרים",".GMC",IF(N348="גמר מינימלי",".GM",IF(N348="דירת שיווק",".DS","")))),""),IF(M348="זומן לטרום",".ZLT",IF(M348="טרום מסירה",".TM",IF(M348="טרום מסירה מהנדס",".TMM",IF(M348="מסירת חזקה",".MH",IF(M348="מסירת חזקה מהנדס",".MHM",""))))),".",VLOOKUP(Check[[#This Row],[טיפוס]],Tipus[],5,FALSE),".",VLOOKUP(Check[[#This Row],[מגדל]],Tower,2,FALSE),".Ap.",Check[[#This Row],[מספר דירה]])</f>
        <v>S.TM.S.3A.TN.Ap.9</v>
      </c>
      <c r="C348" s="3" t="s">
        <v>56</v>
      </c>
      <c r="D348" s="3">
        <v>3</v>
      </c>
      <c r="E348" s="4">
        <v>9</v>
      </c>
      <c r="F348" s="3">
        <v>308</v>
      </c>
      <c r="G348" s="3" t="s">
        <v>9</v>
      </c>
      <c r="H348" s="3">
        <f>VLOOKUP(Check[[#This Row],[טיפוס]],Tipus[],2,FALSE)</f>
        <v>3</v>
      </c>
      <c r="I348" s="3" t="str">
        <f>VLOOKUP(Check[[#This Row],[טיפוס]],Tipus[],3,FALSE)</f>
        <v>סטנדרט</v>
      </c>
      <c r="J348" s="3" t="str">
        <f>VLOOKUP(Check[[#This Row],[טיפוס]],Tipus[],4,FALSE)</f>
        <v>D</v>
      </c>
      <c r="K348" s="3" t="str">
        <f>IF(Check[[#This Row],[סטטוס2]]="הולד","פנויה",Check[[#This Row],[סטטוס2]])</f>
        <v>מכורה</v>
      </c>
      <c r="L348" s="382" t="s">
        <v>130</v>
      </c>
      <c r="M348" s="382" t="s">
        <v>1420</v>
      </c>
      <c r="N348" s="383"/>
      <c r="O348" s="383"/>
      <c r="P348" s="411"/>
      <c r="Q348" s="411"/>
      <c r="R348" s="383"/>
      <c r="S348" s="390">
        <v>44432</v>
      </c>
      <c r="T348" s="390" t="s">
        <v>1331</v>
      </c>
      <c r="U348" s="387" t="s">
        <v>560</v>
      </c>
      <c r="V348" s="387"/>
      <c r="W348" s="387"/>
    </row>
    <row r="349" spans="1:23" x14ac:dyDescent="0.2">
      <c r="A349" s="13" t="str">
        <f>_xlfn.CONCAT(VLOOKUP(Check[[#This Row],[סטטוס]],Sold,2,FALSE),IF(Check[[#This Row],[סטטוס]]="פנויה",IF(N349="גמר מלא סטנדרט",".GMS",IF(N349="גמר מלא טיוב חומרים",".GMC",IF(N349="גמר מינימלי",".GM",IF(N349="דירת שיווק",".DS","")))),""),".",VLOOKUP(Check[[#This Row],[טיפוס]],Tipus[],5,FALSE),".",VLOOKUP(Check[[#This Row],[מגדל]],Tower,2,FALSE),".Ap.",Check[[#This Row],[מספר דירה]])</f>
        <v>S.S.2C.TN.Ap.10</v>
      </c>
      <c r="B349" s="13" t="str">
        <f>_xlfn.CONCAT(VLOOKUP(Check[[#This Row],[סטטוס]],Sold,2,FALSE),IF(Check[[#This Row],[סטטוס]]="פנויה",IF(N349="גמר מלא סטנדרט",".GMS",IF(N349="גמר מלא טיוב חומרים",".GMC",IF(N349="גמר מינימלי",".GM",IF(N349="דירת שיווק",".DS","")))),""),IF(M349="זומן לטרום",".ZLT",IF(M349="טרום מסירה",".TM",IF(M349="טרום מסירה מהנדס",".TMM",IF(M349="מסירת חזקה",".MH",IF(M349="מסירת חזקה מהנדס",".MHM",""))))),".",VLOOKUP(Check[[#This Row],[טיפוס]],Tipus[],5,FALSE),".",VLOOKUP(Check[[#This Row],[מגדל]],Tower,2,FALSE),".Ap.",Check[[#This Row],[מספר דירה]])</f>
        <v>S.S.2C.TN.Ap.10</v>
      </c>
      <c r="C349" s="3" t="s">
        <v>56</v>
      </c>
      <c r="D349" s="3">
        <v>3</v>
      </c>
      <c r="E349" s="4">
        <v>10</v>
      </c>
      <c r="F349" s="3">
        <v>309</v>
      </c>
      <c r="G349" s="3" t="s">
        <v>8</v>
      </c>
      <c r="H349" s="3">
        <f>VLOOKUP(Check[[#This Row],[טיפוס]],Tipus[],2,FALSE)</f>
        <v>2</v>
      </c>
      <c r="I349" s="3" t="str">
        <f>VLOOKUP(Check[[#This Row],[טיפוס]],Tipus[],3,FALSE)</f>
        <v>סטנדרט</v>
      </c>
      <c r="J349" s="3" t="str">
        <f>VLOOKUP(Check[[#This Row],[טיפוס]],Tipus[],4,FALSE)</f>
        <v>E</v>
      </c>
      <c r="K349" s="3" t="str">
        <f>IF(Check[[#This Row],[סטטוס2]]="הולד","פנויה",Check[[#This Row],[סטטוס2]])</f>
        <v>מכורה</v>
      </c>
      <c r="L349" s="382" t="s">
        <v>130</v>
      </c>
      <c r="M349" s="382"/>
      <c r="N349" s="383"/>
      <c r="O349" s="383"/>
      <c r="P349" s="411"/>
      <c r="Q349" s="411"/>
      <c r="R349" s="383"/>
      <c r="S349" s="390">
        <v>44279</v>
      </c>
      <c r="T349" s="390" t="s">
        <v>1154</v>
      </c>
      <c r="U349" s="387" t="s">
        <v>561</v>
      </c>
      <c r="V349" s="387"/>
      <c r="W349" s="387"/>
    </row>
    <row r="350" spans="1:23" x14ac:dyDescent="0.2">
      <c r="A350" s="13" t="str">
        <f>_xlfn.CONCAT(VLOOKUP(Check[[#This Row],[סטטוס]],Sold,2,FALSE),IF(Check[[#This Row],[סטטוס]]="פנויה",IF(N350="גמר מלא סטנדרט",".GMS",IF(N350="גמר מלא טיוב חומרים",".GMC",IF(N350="גמר מינימלי",".GM",IF(N350="דירת שיווק",".DS","")))),""),".",VLOOKUP(Check[[#This Row],[טיפוס]],Tipus[],5,FALSE),".",VLOOKUP(Check[[#This Row],[מגדל]],Tower,2,FALSE),".Ap.",Check[[#This Row],[מספר דירה]])</f>
        <v>O.S.2B.TN.Ap.11</v>
      </c>
      <c r="B350" s="13" t="str">
        <f>_xlfn.CONCAT(VLOOKUP(Check[[#This Row],[סטטוס]],Sold,2,FALSE),IF(Check[[#This Row],[סטטוס]]="פנויה",IF(N350="גמר מלא סטנדרט",".GMS",IF(N350="גמר מלא טיוב חומרים",".GMC",IF(N350="גמר מינימלי",".GM",IF(N350="דירת שיווק",".DS","")))),""),IF(M350="זומן לטרום",".ZLT",IF(M350="טרום מסירה",".TM",IF(M350="טרום מסירה מהנדס",".TMM",IF(M350="מסירת חזקה",".MH",IF(M350="מסירת חזקה מהנדס",".MHM",""))))),".",VLOOKUP(Check[[#This Row],[טיפוס]],Tipus[],5,FALSE),".",VLOOKUP(Check[[#This Row],[מגדל]],Tower,2,FALSE),".Ap.",Check[[#This Row],[מספר דירה]])</f>
        <v>O.S.2B.TN.Ap.11</v>
      </c>
      <c r="C350" s="3" t="s">
        <v>56</v>
      </c>
      <c r="D350" s="3">
        <v>3</v>
      </c>
      <c r="E350" s="4">
        <v>11</v>
      </c>
      <c r="F350" s="3">
        <v>310</v>
      </c>
      <c r="G350" s="5" t="s">
        <v>7</v>
      </c>
      <c r="H350" s="5">
        <f>VLOOKUP(Check[[#This Row],[טיפוס]],Tipus[],2,FALSE)</f>
        <v>2</v>
      </c>
      <c r="I350" s="5" t="str">
        <f>VLOOKUP(Check[[#This Row],[טיפוס]],Tipus[],3,FALSE)</f>
        <v>סטנדרט</v>
      </c>
      <c r="J350" s="5" t="str">
        <f>VLOOKUP(Check[[#This Row],[טיפוס]],Tipus[],4,FALSE)</f>
        <v>F</v>
      </c>
      <c r="K350" s="3" t="str">
        <f>IF(Check[[#This Row],[סטטוס2]]="הולד","פנויה",Check[[#This Row],[סטטוס2]])</f>
        <v>בעלים</v>
      </c>
      <c r="L350" s="382" t="s">
        <v>91</v>
      </c>
      <c r="M350" s="382"/>
      <c r="N350" s="383"/>
      <c r="O350" s="383"/>
      <c r="P350" s="411"/>
      <c r="Q350" s="411"/>
      <c r="R350" s="383"/>
      <c r="S350" s="390">
        <v>44040</v>
      </c>
      <c r="T350" s="390" t="s">
        <v>227</v>
      </c>
      <c r="U350" s="387" t="s">
        <v>228</v>
      </c>
      <c r="V350" s="387" t="s">
        <v>214</v>
      </c>
      <c r="W350" s="387" t="s">
        <v>229</v>
      </c>
    </row>
    <row r="351" spans="1:23" x14ac:dyDescent="0.2">
      <c r="A351" s="13" t="str">
        <f>_xlfn.CONCAT(VLOOKUP(Check[[#This Row],[סטטוס]],Sold,2,FALSE),IF(Check[[#This Row],[סטטוס]]="פנויה",IF(N351="גמר מלא סטנדרט",".GMS",IF(N351="גמר מלא טיוב חומרים",".GMC",IF(N351="גמר מינימלי",".GM",IF(N351="דירת שיווק",".DS","")))),""),".",VLOOKUP(Check[[#This Row],[טיפוס]],Tipus[],5,FALSE),".",VLOOKUP(Check[[#This Row],[מגדל]],Tower,2,FALSE),".Ap.",Check[[#This Row],[מספר דירה]])</f>
        <v>O.S.2A.TN.Ap.12</v>
      </c>
      <c r="B351" s="13" t="str">
        <f>_xlfn.CONCAT(VLOOKUP(Check[[#This Row],[סטטוס]],Sold,2,FALSE),IF(Check[[#This Row],[סטטוס]]="פנויה",IF(N351="גמר מלא סטנדרט",".GMS",IF(N351="גמר מלא טיוב חומרים",".GMC",IF(N351="גמר מינימלי",".GM",IF(N351="דירת שיווק",".DS","")))),""),IF(M351="זומן לטרום",".ZLT",IF(M351="טרום מסירה",".TM",IF(M351="טרום מסירה מהנדס",".TMM",IF(M351="מסירת חזקה",".MH",IF(M351="מסירת חזקה מהנדס",".MHM",""))))),".",VLOOKUP(Check[[#This Row],[טיפוס]],Tipus[],5,FALSE),".",VLOOKUP(Check[[#This Row],[מגדל]],Tower,2,FALSE),".Ap.",Check[[#This Row],[מספר דירה]])</f>
        <v>O.S.2A.TN.Ap.12</v>
      </c>
      <c r="C351" s="3" t="s">
        <v>56</v>
      </c>
      <c r="D351" s="3">
        <v>3</v>
      </c>
      <c r="E351" s="4">
        <v>12</v>
      </c>
      <c r="F351" s="3">
        <v>301</v>
      </c>
      <c r="G351" s="5" t="s">
        <v>6</v>
      </c>
      <c r="H351" s="5">
        <f>VLOOKUP(Check[[#This Row],[טיפוס]],Tipus[],2,FALSE)</f>
        <v>2</v>
      </c>
      <c r="I351" s="5" t="str">
        <f>VLOOKUP(Check[[#This Row],[טיפוס]],Tipus[],3,FALSE)</f>
        <v>סטנדרט</v>
      </c>
      <c r="J351" s="5" t="str">
        <f>VLOOKUP(Check[[#This Row],[טיפוס]],Tipus[],4,FALSE)</f>
        <v>G</v>
      </c>
      <c r="K351" s="3" t="str">
        <f>IF(Check[[#This Row],[סטטוס2]]="הולד","פנויה",Check[[#This Row],[סטטוס2]])</f>
        <v>בעלים</v>
      </c>
      <c r="L351" s="382" t="s">
        <v>91</v>
      </c>
      <c r="M351" s="382"/>
      <c r="N351" s="383"/>
      <c r="O351" s="383"/>
      <c r="P351" s="411"/>
      <c r="Q351" s="411"/>
      <c r="R351" s="383"/>
      <c r="S351" s="390">
        <v>44040</v>
      </c>
      <c r="T351" s="390" t="s">
        <v>230</v>
      </c>
      <c r="U351" s="387" t="s">
        <v>231</v>
      </c>
      <c r="V351" s="387" t="s">
        <v>214</v>
      </c>
      <c r="W351" s="387" t="s">
        <v>232</v>
      </c>
    </row>
    <row r="352" spans="1:23" x14ac:dyDescent="0.2">
      <c r="A352" s="13" t="str">
        <f>_xlfn.CONCAT(VLOOKUP(Check[[#This Row],[סטטוס]],Sold,2,FALSE),IF(Check[[#This Row],[סטטוס]]="פנויה",IF(N352="גמר מלא סטנדרט",".GMS",IF(N352="גמר מלא טיוב חומרים",".GMC",IF(N352="גמר מינימלי",".GM",IF(N352="דירת שיווק",".DS","")))),""),".",VLOOKUP(Check[[#This Row],[טיפוס]],Tipus[],5,FALSE),".",VLOOKUP(Check[[#This Row],[מגדל]],Tower,2,FALSE),".Ap.",Check[[#This Row],[מספר דירה]])</f>
        <v>S.S.4B.TN.Ap.13</v>
      </c>
      <c r="B352" s="13" t="str">
        <f>_xlfn.CONCAT(VLOOKUP(Check[[#This Row],[סטטוס]],Sold,2,FALSE),IF(Check[[#This Row],[סטטוס]]="פנויה",IF(N352="גמר מלא סטנדרט",".GMS",IF(N352="גמר מלא טיוב חומרים",".GMC",IF(N352="גמר מינימלי",".GM",IF(N352="דירת שיווק",".DS","")))),""),IF(M352="זומן לטרום",".ZLT",IF(M352="טרום מסירה",".TM",IF(M352="טרום מסירה מהנדס",".TMM",IF(M352="מסירת חזקה",".MH",IF(M352="מסירת חזקה מהנדס",".MHM",""))))),".",VLOOKUP(Check[[#This Row],[טיפוס]],Tipus[],5,FALSE),".",VLOOKUP(Check[[#This Row],[מגדל]],Tower,2,FALSE),".Ap.",Check[[#This Row],[מספר דירה]])</f>
        <v>S.S.4B.TN.Ap.13</v>
      </c>
      <c r="C352" s="3" t="s">
        <v>56</v>
      </c>
      <c r="D352" s="3">
        <v>3</v>
      </c>
      <c r="E352" s="4">
        <v>13</v>
      </c>
      <c r="F352" s="3">
        <v>302</v>
      </c>
      <c r="G352" s="5" t="s">
        <v>16</v>
      </c>
      <c r="H352" s="5">
        <f>VLOOKUP(Check[[#This Row],[טיפוס]],Tipus[],2,FALSE)</f>
        <v>4</v>
      </c>
      <c r="I352" s="5" t="str">
        <f>VLOOKUP(Check[[#This Row],[טיפוס]],Tipus[],3,FALSE)</f>
        <v>סטנדרט</v>
      </c>
      <c r="J352" s="5" t="str">
        <f>VLOOKUP(Check[[#This Row],[טיפוס]],Tipus[],4,FALSE)</f>
        <v>H</v>
      </c>
      <c r="K352" s="3" t="str">
        <f>IF(Check[[#This Row],[סטטוס2]]="הולד","פנויה",Check[[#This Row],[סטטוס2]])</f>
        <v>מכורה</v>
      </c>
      <c r="L352" s="382" t="s">
        <v>130</v>
      </c>
      <c r="M352" s="382"/>
      <c r="N352" s="383"/>
      <c r="O352" s="383"/>
      <c r="P352" s="411"/>
      <c r="Q352" s="411"/>
      <c r="R352" s="383"/>
      <c r="S352" s="390">
        <v>44398</v>
      </c>
      <c r="T352" s="390" t="s">
        <v>1155</v>
      </c>
      <c r="U352" s="387" t="s">
        <v>562</v>
      </c>
      <c r="V352" s="387"/>
      <c r="W352" s="387"/>
    </row>
    <row r="353" spans="1:23" x14ac:dyDescent="0.2">
      <c r="A353" s="13" t="str">
        <f>_xlfn.CONCAT(VLOOKUP(Check[[#This Row],[סטטוס]],Sold,2,FALSE),IF(Check[[#This Row],[סטטוס]]="פנויה",IF(N353="גמר מלא סטנדרט",".GMS",IF(N353="גמר מלא טיוב חומרים",".GMC",IF(N353="גמר מינימלי",".GM",IF(N353="דירת שיווק",".DS","")))),""),".",VLOOKUP(Check[[#This Row],[טיפוס]],Tipus[],5,FALSE),".",VLOOKUP(Check[[#This Row],[מגדל]],Tower,2,FALSE),".Ap.",Check[[#This Row],[מספר דירה]])</f>
        <v>O.S.2G.TN.Ap.14</v>
      </c>
      <c r="B353" s="13" t="str">
        <f>_xlfn.CONCAT(VLOOKUP(Check[[#This Row],[סטטוס]],Sold,2,FALSE),IF(Check[[#This Row],[סטטוס]]="פנויה",IF(N353="גמר מלא סטנדרט",".GMS",IF(N353="גמר מלא טיוב חומרים",".GMC",IF(N353="גמר מינימלי",".GM",IF(N353="דירת שיווק",".DS","")))),""),IF(M353="זומן לטרום",".ZLT",IF(M353="טרום מסירה",".TM",IF(M353="טרום מסירה מהנדס",".TMM",IF(M353="מסירת חזקה",".MH",IF(M353="מסירת חזקה מהנדס",".MHM",""))))),".",VLOOKUP(Check[[#This Row],[טיפוס]],Tipus[],5,FALSE),".",VLOOKUP(Check[[#This Row],[מגדל]],Tower,2,FALSE),".Ap.",Check[[#This Row],[מספר דירה]])</f>
        <v>O.S.2G.TN.Ap.14</v>
      </c>
      <c r="C353" s="3" t="s">
        <v>56</v>
      </c>
      <c r="D353" s="3">
        <v>3</v>
      </c>
      <c r="E353" s="4">
        <v>14</v>
      </c>
      <c r="F353" s="3">
        <v>303</v>
      </c>
      <c r="G353" s="3" t="s">
        <v>15</v>
      </c>
      <c r="H353" s="3">
        <f>VLOOKUP(Check[[#This Row],[טיפוס]],Tipus[],2,FALSE)</f>
        <v>2</v>
      </c>
      <c r="I353" s="3" t="str">
        <f>VLOOKUP(Check[[#This Row],[טיפוס]],Tipus[],3,FALSE)</f>
        <v>סטנדרט</v>
      </c>
      <c r="J353" s="3" t="str">
        <f>VLOOKUP(Check[[#This Row],[טיפוס]],Tipus[],4,FALSE)</f>
        <v>I</v>
      </c>
      <c r="K353" s="3" t="str">
        <f>IF(Check[[#This Row],[סטטוס2]]="הולד","פנויה",Check[[#This Row],[סטטוס2]])</f>
        <v>בעלים</v>
      </c>
      <c r="L353" s="382" t="s">
        <v>91</v>
      </c>
      <c r="M353" s="382"/>
      <c r="N353" s="383"/>
      <c r="O353" s="383"/>
      <c r="P353" s="411"/>
      <c r="Q353" s="411"/>
      <c r="R353" s="383"/>
      <c r="S353" s="390">
        <v>44040</v>
      </c>
      <c r="T353" s="390" t="s">
        <v>233</v>
      </c>
      <c r="U353" s="387" t="s">
        <v>234</v>
      </c>
      <c r="V353" s="387" t="s">
        <v>214</v>
      </c>
      <c r="W353" s="387" t="s">
        <v>235</v>
      </c>
    </row>
    <row r="354" spans="1:23" x14ac:dyDescent="0.2">
      <c r="A354" s="13" t="str">
        <f>_xlfn.CONCAT(VLOOKUP(Check[[#This Row],[סטטוס]],Sold,2,FALSE),IF(Check[[#This Row],[סטטוס]]="פנויה",IF(N354="גמר מלא סטנדרט",".GMS",IF(N354="גמר מלא טיוב חומרים",".GMC",IF(N354="גמר מינימלי",".GM",IF(N354="דירת שיווק",".DS","")))),""),".",VLOOKUP(Check[[#This Row],[טיפוס]],Tipus[],5,FALSE),".",VLOOKUP(Check[[#This Row],[מגדל]],Tower,2,FALSE),".Ap.",Check[[#This Row],[מספר דירה]])</f>
        <v>V.GMS.S.4A.TN.Ap.15</v>
      </c>
      <c r="B354" s="13" t="str">
        <f>_xlfn.CONCAT(VLOOKUP(Check[[#This Row],[סטטוס]],Sold,2,FALSE),IF(Check[[#This Row],[סטטוס]]="פנויה",IF(N354="גמר מלא סטנדרט",".GMS",IF(N354="גמר מלא טיוב חומרים",".GMC",IF(N354="גמר מינימלי",".GM",IF(N354="דירת שיווק",".DS","")))),""),IF(M354="זומן לטרום",".ZLT",IF(M354="טרום מסירה",".TM",IF(M354="טרום מסירה מהנדס",".TMM",IF(M354="מסירת חזקה",".MH",IF(M354="מסירת חזקה מהנדס",".MHM",""))))),".",VLOOKUP(Check[[#This Row],[טיפוס]],Tipus[],5,FALSE),".",VLOOKUP(Check[[#This Row],[מגדל]],Tower,2,FALSE),".Ap.",Check[[#This Row],[מספר דירה]])</f>
        <v>V.GMS.S.4A.TN.Ap.15</v>
      </c>
      <c r="C354" s="3" t="s">
        <v>56</v>
      </c>
      <c r="D354" s="3">
        <v>3</v>
      </c>
      <c r="E354" s="4">
        <v>15</v>
      </c>
      <c r="F354" s="3">
        <v>304</v>
      </c>
      <c r="G354" s="5" t="s">
        <v>14</v>
      </c>
      <c r="H354" s="5">
        <f>VLOOKUP(Check[[#This Row],[טיפוס]],Tipus[],2,FALSE)</f>
        <v>4</v>
      </c>
      <c r="I354" s="5" t="str">
        <f>VLOOKUP(Check[[#This Row],[טיפוס]],Tipus[],3,FALSE)</f>
        <v>סטנדרט</v>
      </c>
      <c r="J354" s="5" t="str">
        <f>VLOOKUP(Check[[#This Row],[טיפוס]],Tipus[],4,FALSE)</f>
        <v>J</v>
      </c>
      <c r="K354" s="3" t="str">
        <f>IF(Check[[#This Row],[סטטוס2]]="הולד","פנויה",Check[[#This Row],[סטטוס2]])</f>
        <v>פנויה</v>
      </c>
      <c r="L354" s="382" t="s">
        <v>108</v>
      </c>
      <c r="M354" s="382"/>
      <c r="N354" t="s">
        <v>1367</v>
      </c>
      <c r="O354" s="383" t="s">
        <v>1390</v>
      </c>
      <c r="P354" s="410" t="s">
        <v>1389</v>
      </c>
      <c r="Q354" s="410"/>
      <c r="R354" s="383"/>
      <c r="S354" s="390"/>
      <c r="T354" s="390" t="s">
        <v>214</v>
      </c>
      <c r="U354" s="387"/>
      <c r="V354" s="387"/>
      <c r="W354" s="387"/>
    </row>
    <row r="355" spans="1:23" x14ac:dyDescent="0.2">
      <c r="A355" s="13" t="str">
        <f>_xlfn.CONCAT(VLOOKUP(Check[[#This Row],[סטטוס]],Sold,2,FALSE),IF(Check[[#This Row],[סטטוס]]="פנויה",IF(N355="גמר מלא סטנדרט",".GMS",IF(N355="גמר מלא טיוב חומרים",".GMC",IF(N355="גמר מינימלי",".GM",IF(N355="דירת שיווק",".DS","")))),""),".",VLOOKUP(Check[[#This Row],[טיפוס]],Tipus[],5,FALSE),".",VLOOKUP(Check[[#This Row],[מגדל]],Tower,2,FALSE),".Ap.",Check[[#This Row],[מספר דירה]])</f>
        <v>S.S.2F.TN.Ap.16</v>
      </c>
      <c r="B355" s="13" t="str">
        <f>_xlfn.CONCAT(VLOOKUP(Check[[#This Row],[סטטוס]],Sold,2,FALSE),IF(Check[[#This Row],[סטטוס]]="פנויה",IF(N355="גמר מלא סטנדרט",".GMS",IF(N355="גמר מלא טיוב חומרים",".GMC",IF(N355="גמר מינימלי",".GM",IF(N355="דירת שיווק",".DS","")))),""),IF(M355="זומן לטרום",".ZLT",IF(M355="טרום מסירה",".TM",IF(M355="טרום מסירה מהנדס",".TMM",IF(M355="מסירת חזקה",".MH",IF(M355="מסירת חזקה מהנדס",".MHM",""))))),".",VLOOKUP(Check[[#This Row],[טיפוס]],Tipus[],5,FALSE),".",VLOOKUP(Check[[#This Row],[מגדל]],Tower,2,FALSE),".Ap.",Check[[#This Row],[מספר דירה]])</f>
        <v>S.S.2F.TN.Ap.16</v>
      </c>
      <c r="C355" s="3" t="s">
        <v>56</v>
      </c>
      <c r="D355" s="3">
        <v>3</v>
      </c>
      <c r="E355" s="4">
        <v>16</v>
      </c>
      <c r="F355" s="3">
        <v>305</v>
      </c>
      <c r="G355" s="5" t="s">
        <v>12</v>
      </c>
      <c r="H355" s="5">
        <f>VLOOKUP(Check[[#This Row],[טיפוס]],Tipus[],2,FALSE)</f>
        <v>2</v>
      </c>
      <c r="I355" s="5" t="str">
        <f>VLOOKUP(Check[[#This Row],[טיפוס]],Tipus[],3,FALSE)</f>
        <v>סטנדרט</v>
      </c>
      <c r="J355" s="5" t="str">
        <f>VLOOKUP(Check[[#This Row],[טיפוס]],Tipus[],4,FALSE)</f>
        <v>A</v>
      </c>
      <c r="K355" s="3" t="str">
        <f>IF(Check[[#This Row],[סטטוס2]]="הולד","פנויה",Check[[#This Row],[סטטוס2]])</f>
        <v>מכורה</v>
      </c>
      <c r="L355" s="382" t="s">
        <v>130</v>
      </c>
      <c r="M355" s="382"/>
      <c r="N355" s="383"/>
      <c r="O355" s="383"/>
      <c r="P355" s="411"/>
      <c r="Q355" s="411"/>
      <c r="R355" s="383"/>
      <c r="S355" s="390">
        <v>44452</v>
      </c>
      <c r="T355" s="390" t="s">
        <v>1156</v>
      </c>
      <c r="U355" s="387"/>
      <c r="V355" s="387"/>
      <c r="W355" s="387"/>
    </row>
    <row r="356" spans="1:23" x14ac:dyDescent="0.2">
      <c r="A356" s="13" t="str">
        <f>_xlfn.CONCAT(VLOOKUP(Check[[#This Row],[סטטוס]],Sold,2,FALSE),IF(Check[[#This Row],[סטטוס]]="פנויה",IF(N356="גמר מלא סטנדרט",".GMS",IF(N356="גמר מלא טיוב חומרים",".GMC",IF(N356="גמר מינימלי",".GM",IF(N356="דירת שיווק",".DS","")))),""),".",VLOOKUP(Check[[#This Row],[טיפוס]],Tipus[],5,FALSE),".",VLOOKUP(Check[[#This Row],[מגדל]],Tower,2,FALSE),".Ap.",Check[[#This Row],[מספר דירה]])</f>
        <v>S.S.2E.TN.Ap.17</v>
      </c>
      <c r="B356" s="13" t="str">
        <f>_xlfn.CONCAT(VLOOKUP(Check[[#This Row],[סטטוס]],Sold,2,FALSE),IF(Check[[#This Row],[סטטוס]]="פנויה",IF(N356="גמר מלא סטנדרט",".GMS",IF(N356="גמר מלא טיוב חומרים",".GMC",IF(N356="גמר מינימלי",".GM",IF(N356="דירת שיווק",".DS","")))),""),IF(M356="זומן לטרום",".ZLT",IF(M356="טרום מסירה",".TM",IF(M356="טרום מסירה מהנדס",".TMM",IF(M356="מסירת חזקה",".MH",IF(M356="מסירת חזקה מהנדס",".MHM",""))))),".",VLOOKUP(Check[[#This Row],[טיפוס]],Tipus[],5,FALSE),".",VLOOKUP(Check[[#This Row],[מגדל]],Tower,2,FALSE),".Ap.",Check[[#This Row],[מספר דירה]])</f>
        <v>S.S.2E.TN.Ap.17</v>
      </c>
      <c r="C356" s="3" t="s">
        <v>56</v>
      </c>
      <c r="D356" s="3">
        <v>3</v>
      </c>
      <c r="E356" s="4">
        <v>17</v>
      </c>
      <c r="F356" s="3">
        <v>306</v>
      </c>
      <c r="G356" s="5" t="s">
        <v>11</v>
      </c>
      <c r="H356" s="5">
        <f>VLOOKUP(Check[[#This Row],[טיפוס]],Tipus[],2,FALSE)</f>
        <v>2</v>
      </c>
      <c r="I356" s="5" t="str">
        <f>VLOOKUP(Check[[#This Row],[טיפוס]],Tipus[],3,FALSE)</f>
        <v>סטנדרט</v>
      </c>
      <c r="J356" s="5" t="str">
        <f>VLOOKUP(Check[[#This Row],[טיפוס]],Tipus[],4,FALSE)</f>
        <v>B</v>
      </c>
      <c r="K356" s="3" t="str">
        <f>IF(Check[[#This Row],[סטטוס2]]="הולד","פנויה",Check[[#This Row],[סטטוס2]])</f>
        <v>מכורה</v>
      </c>
      <c r="L356" s="382" t="s">
        <v>130</v>
      </c>
      <c r="M356" s="382"/>
      <c r="N356" s="383"/>
      <c r="O356" s="383"/>
      <c r="P356" s="411"/>
      <c r="Q356" s="411"/>
      <c r="R356" s="383"/>
      <c r="S356" s="390">
        <v>44259</v>
      </c>
      <c r="T356" s="390" t="s">
        <v>1332</v>
      </c>
      <c r="U356" s="387"/>
      <c r="V356" s="387"/>
      <c r="W356" s="387"/>
    </row>
    <row r="357" spans="1:23" x14ac:dyDescent="0.2">
      <c r="A357" s="13" t="str">
        <f>_xlfn.CONCAT(VLOOKUP(Check[[#This Row],[סטטוס]],Sold,2,FALSE),IF(Check[[#This Row],[סטטוס]]="פנויה",IF(N357="גמר מלא סטנדרט",".GMS",IF(N357="גמר מלא טיוב חומרים",".GMC",IF(N357="גמר מינימלי",".GM",IF(N357="דירת שיווק",".DS","")))),""),".",VLOOKUP(Check[[#This Row],[טיפוס]],Tipus[],5,FALSE),".",VLOOKUP(Check[[#This Row],[מגדל]],Tower,2,FALSE),".Ap.",Check[[#This Row],[מספר דירה]])</f>
        <v>S.S.2D.TN.Ap.18</v>
      </c>
      <c r="B357" s="13" t="str">
        <f>_xlfn.CONCAT(VLOOKUP(Check[[#This Row],[סטטוס]],Sold,2,FALSE),IF(Check[[#This Row],[סטטוס]]="פנויה",IF(N357="גמר מלא סטנדרט",".GMS",IF(N357="גמר מלא טיוב חומרים",".GMC",IF(N357="גמר מינימלי",".GM",IF(N357="דירת שיווק",".DS","")))),""),IF(M357="זומן לטרום",".ZLT",IF(M357="טרום מסירה",".TM",IF(M357="טרום מסירה מהנדס",".TMM",IF(M357="מסירת חזקה",".MH",IF(M357="מסירת חזקה מהנדס",".MHM",""))))),".",VLOOKUP(Check[[#This Row],[טיפוס]],Tipus[],5,FALSE),".",VLOOKUP(Check[[#This Row],[מגדל]],Tower,2,FALSE),".Ap.",Check[[#This Row],[מספר דירה]])</f>
        <v>S.S.2D.TN.Ap.18</v>
      </c>
      <c r="C357" s="3" t="s">
        <v>56</v>
      </c>
      <c r="D357" s="3">
        <v>3</v>
      </c>
      <c r="E357" s="4">
        <v>18</v>
      </c>
      <c r="F357" s="3">
        <v>307</v>
      </c>
      <c r="G357" s="3" t="s">
        <v>10</v>
      </c>
      <c r="H357" s="3">
        <f>VLOOKUP(Check[[#This Row],[טיפוס]],Tipus[],2,FALSE)</f>
        <v>2</v>
      </c>
      <c r="I357" s="3" t="str">
        <f>VLOOKUP(Check[[#This Row],[טיפוס]],Tipus[],3,FALSE)</f>
        <v>סטנדרט</v>
      </c>
      <c r="J357" s="3" t="str">
        <f>VLOOKUP(Check[[#This Row],[טיפוס]],Tipus[],4,FALSE)</f>
        <v>C</v>
      </c>
      <c r="K357" s="3" t="str">
        <f>IF(Check[[#This Row],[סטטוס2]]="הולד","פנויה",Check[[#This Row],[סטטוס2]])</f>
        <v>מכורה</v>
      </c>
      <c r="L357" s="382" t="s">
        <v>130</v>
      </c>
      <c r="M357" s="382"/>
      <c r="N357" s="383"/>
      <c r="O357" s="383"/>
      <c r="P357" s="411"/>
      <c r="Q357" s="411"/>
      <c r="R357" s="383"/>
      <c r="S357" s="390">
        <v>44221</v>
      </c>
      <c r="T357" s="390" t="s">
        <v>563</v>
      </c>
      <c r="U357" s="387" t="s">
        <v>564</v>
      </c>
      <c r="V357" s="387"/>
      <c r="W357" s="387"/>
    </row>
    <row r="358" spans="1:23" x14ac:dyDescent="0.2">
      <c r="A358" s="13" t="str">
        <f>_xlfn.CONCAT(VLOOKUP(Check[[#This Row],[סטטוס]],Sold,2,FALSE),IF(Check[[#This Row],[סטטוס]]="פנויה",IF(N358="גמר מלא סטנדרט",".GMS",IF(N358="גמר מלא טיוב חומרים",".GMC",IF(N358="גמר מינימלי",".GM",IF(N358="דירת שיווק",".DS","")))),""),".",VLOOKUP(Check[[#This Row],[טיפוס]],Tipus[],5,FALSE),".",VLOOKUP(Check[[#This Row],[מגדל]],Tower,2,FALSE),".Ap.",Check[[#This Row],[מספר דירה]])</f>
        <v>S.S.3A.TN.Ap.19</v>
      </c>
      <c r="B358" s="13" t="str">
        <f>_xlfn.CONCAT(VLOOKUP(Check[[#This Row],[סטטוס]],Sold,2,FALSE),IF(Check[[#This Row],[סטטוס]]="פנויה",IF(N358="גמר מלא סטנדרט",".GMS",IF(N358="גמר מלא טיוב חומרים",".GMC",IF(N358="גמר מינימלי",".GM",IF(N358="דירת שיווק",".DS","")))),""),IF(M358="זומן לטרום",".ZLT",IF(M358="טרום מסירה",".TM",IF(M358="טרום מסירה מהנדס",".TMM",IF(M358="מסירת חזקה",".MH",IF(M358="מסירת חזקה מהנדס",".MHM",""))))),".",VLOOKUP(Check[[#This Row],[טיפוס]],Tipus[],5,FALSE),".",VLOOKUP(Check[[#This Row],[מגדל]],Tower,2,FALSE),".Ap.",Check[[#This Row],[מספר דירה]])</f>
        <v>S.S.3A.TN.Ap.19</v>
      </c>
      <c r="C358" s="3" t="s">
        <v>56</v>
      </c>
      <c r="D358" s="3">
        <v>4</v>
      </c>
      <c r="E358" s="4">
        <v>19</v>
      </c>
      <c r="F358" s="3">
        <v>408</v>
      </c>
      <c r="G358" s="3" t="s">
        <v>9</v>
      </c>
      <c r="H358" s="3">
        <f>VLOOKUP(Check[[#This Row],[טיפוס]],Tipus[],2,FALSE)</f>
        <v>3</v>
      </c>
      <c r="I358" s="3" t="str">
        <f>VLOOKUP(Check[[#This Row],[טיפוס]],Tipus[],3,FALSE)</f>
        <v>סטנדרט</v>
      </c>
      <c r="J358" s="3" t="str">
        <f>VLOOKUP(Check[[#This Row],[טיפוס]],Tipus[],4,FALSE)</f>
        <v>D</v>
      </c>
      <c r="K358" s="3" t="str">
        <f>IF(Check[[#This Row],[סטטוס2]]="הולד","פנויה",Check[[#This Row],[סטטוס2]])</f>
        <v>מכורה</v>
      </c>
      <c r="L358" s="382" t="s">
        <v>130</v>
      </c>
      <c r="M358" s="382"/>
      <c r="N358" s="383"/>
      <c r="O358" s="383"/>
      <c r="P358" s="411"/>
      <c r="Q358" s="411"/>
      <c r="R358" s="383"/>
      <c r="S358" s="390">
        <v>44251</v>
      </c>
      <c r="T358" s="390" t="s">
        <v>1333</v>
      </c>
      <c r="U358" s="387" t="s">
        <v>565</v>
      </c>
      <c r="V358" s="387"/>
      <c r="W358" s="387"/>
    </row>
    <row r="359" spans="1:23" x14ac:dyDescent="0.2">
      <c r="A359" s="13" t="str">
        <f>_xlfn.CONCAT(VLOOKUP(Check[[#This Row],[סטטוס]],Sold,2,FALSE),IF(Check[[#This Row],[סטטוס]]="פנויה",IF(N359="גמר מלא סטנדרט",".GMS",IF(N359="גמר מלא טיוב חומרים",".GMC",IF(N359="גמר מינימלי",".GM",IF(N359="דירת שיווק",".DS","")))),""),".",VLOOKUP(Check[[#This Row],[טיפוס]],Tipus[],5,FALSE),".",VLOOKUP(Check[[#This Row],[מגדל]],Tower,2,FALSE),".Ap.",Check[[#This Row],[מספר דירה]])</f>
        <v>O.S.2C.TN.Ap.20</v>
      </c>
      <c r="B359" s="13" t="str">
        <f>_xlfn.CONCAT(VLOOKUP(Check[[#This Row],[סטטוס]],Sold,2,FALSE),IF(Check[[#This Row],[סטטוס]]="פנויה",IF(N359="גמר מלא סטנדרט",".GMS",IF(N359="גמר מלא טיוב חומרים",".GMC",IF(N359="גמר מינימלי",".GM",IF(N359="דירת שיווק",".DS","")))),""),IF(M359="זומן לטרום",".ZLT",IF(M359="טרום מסירה",".TM",IF(M359="טרום מסירה מהנדס",".TMM",IF(M359="מסירת חזקה",".MH",IF(M359="מסירת חזקה מהנדס",".MHM",""))))),".",VLOOKUP(Check[[#This Row],[טיפוס]],Tipus[],5,FALSE),".",VLOOKUP(Check[[#This Row],[מגדל]],Tower,2,FALSE),".Ap.",Check[[#This Row],[מספר דירה]])</f>
        <v>O.S.2C.TN.Ap.20</v>
      </c>
      <c r="C359" s="3" t="s">
        <v>56</v>
      </c>
      <c r="D359" s="3">
        <v>4</v>
      </c>
      <c r="E359" s="4">
        <v>20</v>
      </c>
      <c r="F359" s="3">
        <v>409</v>
      </c>
      <c r="G359" s="3" t="s">
        <v>8</v>
      </c>
      <c r="H359" s="3">
        <f>VLOOKUP(Check[[#This Row],[טיפוס]],Tipus[],2,FALSE)</f>
        <v>2</v>
      </c>
      <c r="I359" s="3" t="str">
        <f>VLOOKUP(Check[[#This Row],[טיפוס]],Tipus[],3,FALSE)</f>
        <v>סטנדרט</v>
      </c>
      <c r="J359" s="3" t="str">
        <f>VLOOKUP(Check[[#This Row],[טיפוס]],Tipus[],4,FALSE)</f>
        <v>E</v>
      </c>
      <c r="K359" s="3" t="str">
        <f>IF(Check[[#This Row],[סטטוס2]]="הולד","פנויה",Check[[#This Row],[סטטוס2]])</f>
        <v>בעלים</v>
      </c>
      <c r="L359" s="382" t="s">
        <v>91</v>
      </c>
      <c r="M359" s="382"/>
      <c r="N359" s="383"/>
      <c r="O359" s="383"/>
      <c r="P359" s="411"/>
      <c r="Q359" s="411"/>
      <c r="R359" s="383"/>
      <c r="S359" s="390"/>
      <c r="T359" s="390" t="s">
        <v>1300</v>
      </c>
      <c r="U359" s="387" t="s">
        <v>236</v>
      </c>
      <c r="V359" s="387" t="s">
        <v>214</v>
      </c>
      <c r="W359" s="387" t="s">
        <v>237</v>
      </c>
    </row>
    <row r="360" spans="1:23" x14ac:dyDescent="0.2">
      <c r="A360" s="13" t="str">
        <f>_xlfn.CONCAT(VLOOKUP(Check[[#This Row],[סטטוס]],Sold,2,FALSE),IF(Check[[#This Row],[סטטוס]]="פנויה",IF(N360="גמר מלא סטנדרט",".GMS",IF(N360="גמר מלא טיוב חומרים",".GMC",IF(N360="גמר מינימלי",".GM",IF(N360="דירת שיווק",".DS","")))),""),".",VLOOKUP(Check[[#This Row],[טיפוס]],Tipus[],5,FALSE),".",VLOOKUP(Check[[#This Row],[מגדל]],Tower,2,FALSE),".Ap.",Check[[#This Row],[מספר דירה]])</f>
        <v>S.S.2B.TN.Ap.21</v>
      </c>
      <c r="B360" s="13" t="str">
        <f>_xlfn.CONCAT(VLOOKUP(Check[[#This Row],[סטטוס]],Sold,2,FALSE),IF(Check[[#This Row],[סטטוס]]="פנויה",IF(N360="גמר מלא סטנדרט",".GMS",IF(N360="גמר מלא טיוב חומרים",".GMC",IF(N360="גמר מינימלי",".GM",IF(N360="דירת שיווק",".DS","")))),""),IF(M360="זומן לטרום",".ZLT",IF(M360="טרום מסירה",".TM",IF(M360="טרום מסירה מהנדס",".TMM",IF(M360="מסירת חזקה",".MH",IF(M360="מסירת חזקה מהנדס",".MHM",""))))),".",VLOOKUP(Check[[#This Row],[טיפוס]],Tipus[],5,FALSE),".",VLOOKUP(Check[[#This Row],[מגדל]],Tower,2,FALSE),".Ap.",Check[[#This Row],[מספר דירה]])</f>
        <v>S.ZLT.S.2B.TN.Ap.21</v>
      </c>
      <c r="C360" s="3" t="s">
        <v>56</v>
      </c>
      <c r="D360" s="3">
        <v>4</v>
      </c>
      <c r="E360" s="4">
        <v>21</v>
      </c>
      <c r="F360" s="3">
        <v>410</v>
      </c>
      <c r="G360" s="5" t="s">
        <v>7</v>
      </c>
      <c r="H360" s="5">
        <f>VLOOKUP(Check[[#This Row],[טיפוס]],Tipus[],2,FALSE)</f>
        <v>2</v>
      </c>
      <c r="I360" s="5" t="str">
        <f>VLOOKUP(Check[[#This Row],[טיפוס]],Tipus[],3,FALSE)</f>
        <v>סטנדרט</v>
      </c>
      <c r="J360" s="5" t="str">
        <f>VLOOKUP(Check[[#This Row],[טיפוס]],Tipus[],4,FALSE)</f>
        <v>F</v>
      </c>
      <c r="K360" s="3" t="str">
        <f>IF(Check[[#This Row],[סטטוס2]]="הולד","פנויה",Check[[#This Row],[סטטוס2]])</f>
        <v>מכורה</v>
      </c>
      <c r="L360" s="382" t="s">
        <v>130</v>
      </c>
      <c r="M360" s="382" t="s">
        <v>1419</v>
      </c>
      <c r="N360" s="383"/>
      <c r="O360" s="383"/>
      <c r="P360" s="411"/>
      <c r="Q360" s="411"/>
      <c r="R360" s="383"/>
      <c r="S360" s="390">
        <v>44280</v>
      </c>
      <c r="T360" s="390" t="s">
        <v>1334</v>
      </c>
      <c r="U360" s="387" t="s">
        <v>566</v>
      </c>
      <c r="V360" s="387"/>
      <c r="W360" s="387"/>
    </row>
    <row r="361" spans="1:23" x14ac:dyDescent="0.2">
      <c r="A361" s="13" t="str">
        <f>_xlfn.CONCAT(VLOOKUP(Check[[#This Row],[סטטוס]],Sold,2,FALSE),IF(Check[[#This Row],[סטטוס]]="פנויה",IF(N361="גמר מלא סטנדרט",".GMS",IF(N361="גמר מלא טיוב חומרים",".GMC",IF(N361="גמר מינימלי",".GM",IF(N361="דירת שיווק",".DS","")))),""),".",VLOOKUP(Check[[#This Row],[טיפוס]],Tipus[],5,FALSE),".",VLOOKUP(Check[[#This Row],[מגדל]],Tower,2,FALSE),".Ap.",Check[[#This Row],[מספר דירה]])</f>
        <v>O.S.2A.TN.Ap.22</v>
      </c>
      <c r="B361" s="13" t="str">
        <f>_xlfn.CONCAT(VLOOKUP(Check[[#This Row],[סטטוס]],Sold,2,FALSE),IF(Check[[#This Row],[סטטוס]]="פנויה",IF(N361="גמר מלא סטנדרט",".GMS",IF(N361="גמר מלא טיוב חומרים",".GMC",IF(N361="גמר מינימלי",".GM",IF(N361="דירת שיווק",".DS","")))),""),IF(M361="זומן לטרום",".ZLT",IF(M361="טרום מסירה",".TM",IF(M361="טרום מסירה מהנדס",".TMM",IF(M361="מסירת חזקה",".MH",IF(M361="מסירת חזקה מהנדס",".MHM",""))))),".",VLOOKUP(Check[[#This Row],[טיפוס]],Tipus[],5,FALSE),".",VLOOKUP(Check[[#This Row],[מגדל]],Tower,2,FALSE),".Ap.",Check[[#This Row],[מספר דירה]])</f>
        <v>O.S.2A.TN.Ap.22</v>
      </c>
      <c r="C361" s="3" t="s">
        <v>56</v>
      </c>
      <c r="D361" s="3">
        <v>4</v>
      </c>
      <c r="E361" s="4">
        <v>22</v>
      </c>
      <c r="F361" s="3">
        <v>401</v>
      </c>
      <c r="G361" s="5" t="s">
        <v>6</v>
      </c>
      <c r="H361" s="5">
        <f>VLOOKUP(Check[[#This Row],[טיפוס]],Tipus[],2,FALSE)</f>
        <v>2</v>
      </c>
      <c r="I361" s="5" t="str">
        <f>VLOOKUP(Check[[#This Row],[טיפוס]],Tipus[],3,FALSE)</f>
        <v>סטנדרט</v>
      </c>
      <c r="J361" s="5" t="str">
        <f>VLOOKUP(Check[[#This Row],[טיפוס]],Tipus[],4,FALSE)</f>
        <v>G</v>
      </c>
      <c r="K361" s="3" t="str">
        <f>IF(Check[[#This Row],[סטטוס2]]="הולד","פנויה",Check[[#This Row],[סטטוס2]])</f>
        <v>בעלים</v>
      </c>
      <c r="L361" s="382" t="s">
        <v>91</v>
      </c>
      <c r="M361" s="382"/>
      <c r="N361" s="383"/>
      <c r="O361" s="383"/>
      <c r="P361" s="411"/>
      <c r="Q361" s="411"/>
      <c r="R361" s="383"/>
      <c r="S361" s="390"/>
      <c r="T361" s="390" t="s">
        <v>238</v>
      </c>
      <c r="U361" s="387" t="s">
        <v>239</v>
      </c>
      <c r="V361" s="387" t="s">
        <v>214</v>
      </c>
      <c r="W361" s="387" t="s">
        <v>232</v>
      </c>
    </row>
    <row r="362" spans="1:23" x14ac:dyDescent="0.2">
      <c r="A362" s="13" t="str">
        <f>_xlfn.CONCAT(VLOOKUP(Check[[#This Row],[סטטוס]],Sold,2,FALSE),IF(Check[[#This Row],[סטטוס]]="פנויה",IF(N362="גמר מלא סטנדרט",".GMS",IF(N362="גמר מלא טיוב חומרים",".GMC",IF(N362="גמר מינימלי",".GM",IF(N362="דירת שיווק",".DS","")))),""),".",VLOOKUP(Check[[#This Row],[טיפוס]],Tipus[],5,FALSE),".",VLOOKUP(Check[[#This Row],[מגדל]],Tower,2,FALSE),".Ap.",Check[[#This Row],[מספר דירה]])</f>
        <v>S.S.4B.TN.Ap.23</v>
      </c>
      <c r="B362" s="13" t="str">
        <f>_xlfn.CONCAT(VLOOKUP(Check[[#This Row],[סטטוס]],Sold,2,FALSE),IF(Check[[#This Row],[סטטוס]]="פנויה",IF(N362="גמר מלא סטנדרט",".GMS",IF(N362="גמר מלא טיוב חומרים",".GMC",IF(N362="גמר מינימלי",".GM",IF(N362="דירת שיווק",".DS","")))),""),IF(M362="זומן לטרום",".ZLT",IF(M362="טרום מסירה",".TM",IF(M362="טרום מסירה מהנדס",".TMM",IF(M362="מסירת חזקה",".MH",IF(M362="מסירת חזקה מהנדס",".MHM",""))))),".",VLOOKUP(Check[[#This Row],[טיפוס]],Tipus[],5,FALSE),".",VLOOKUP(Check[[#This Row],[מגדל]],Tower,2,FALSE),".Ap.",Check[[#This Row],[מספר דירה]])</f>
        <v>S.S.4B.TN.Ap.23</v>
      </c>
      <c r="C362" s="3" t="s">
        <v>56</v>
      </c>
      <c r="D362" s="3">
        <v>4</v>
      </c>
      <c r="E362" s="4">
        <v>23</v>
      </c>
      <c r="F362" s="3">
        <v>402</v>
      </c>
      <c r="G362" s="5" t="s">
        <v>16</v>
      </c>
      <c r="H362" s="5">
        <f>VLOOKUP(Check[[#This Row],[טיפוס]],Tipus[],2,FALSE)</f>
        <v>4</v>
      </c>
      <c r="I362" s="5" t="str">
        <f>VLOOKUP(Check[[#This Row],[טיפוס]],Tipus[],3,FALSE)</f>
        <v>סטנדרט</v>
      </c>
      <c r="J362" s="5" t="str">
        <f>VLOOKUP(Check[[#This Row],[טיפוס]],Tipus[],4,FALSE)</f>
        <v>H</v>
      </c>
      <c r="K362" s="3" t="str">
        <f>IF(Check[[#This Row],[סטטוס2]]="הולד","פנויה",Check[[#This Row],[סטטוס2]])</f>
        <v>מכורה</v>
      </c>
      <c r="L362" s="382" t="s">
        <v>130</v>
      </c>
      <c r="M362" s="382"/>
      <c r="N362" s="383"/>
      <c r="O362" s="383"/>
      <c r="P362" s="411"/>
      <c r="Q362" s="411"/>
      <c r="R362" s="383"/>
      <c r="S362" s="390">
        <v>44376</v>
      </c>
      <c r="T362" s="390" t="s">
        <v>1335</v>
      </c>
      <c r="U362" s="387" t="s">
        <v>567</v>
      </c>
      <c r="V362" s="387"/>
      <c r="W362" s="387"/>
    </row>
    <row r="363" spans="1:23" x14ac:dyDescent="0.2">
      <c r="A363" s="13" t="str">
        <f>_xlfn.CONCAT(VLOOKUP(Check[[#This Row],[סטטוס]],Sold,2,FALSE),IF(Check[[#This Row],[סטטוס]]="פנויה",IF(N363="גמר מלא סטנדרט",".GMS",IF(N363="גמר מלא טיוב חומרים",".GMC",IF(N363="גמר מינימלי",".GM",IF(N363="דירת שיווק",".DS","")))),""),".",VLOOKUP(Check[[#This Row],[טיפוס]],Tipus[],5,FALSE),".",VLOOKUP(Check[[#This Row],[מגדל]],Tower,2,FALSE),".Ap.",Check[[#This Row],[מספר דירה]])</f>
        <v>O.S.2G.TN.Ap.24</v>
      </c>
      <c r="B363" s="13" t="str">
        <f>_xlfn.CONCAT(VLOOKUP(Check[[#This Row],[סטטוס]],Sold,2,FALSE),IF(Check[[#This Row],[סטטוס]]="פנויה",IF(N363="גמר מלא סטנדרט",".GMS",IF(N363="גמר מלא טיוב חומרים",".GMC",IF(N363="גמר מינימלי",".GM",IF(N363="דירת שיווק",".DS","")))),""),IF(M363="זומן לטרום",".ZLT",IF(M363="טרום מסירה",".TM",IF(M363="טרום מסירה מהנדס",".TMM",IF(M363="מסירת חזקה",".MH",IF(M363="מסירת חזקה מהנדס",".MHM",""))))),".",VLOOKUP(Check[[#This Row],[טיפוס]],Tipus[],5,FALSE),".",VLOOKUP(Check[[#This Row],[מגדל]],Tower,2,FALSE),".Ap.",Check[[#This Row],[מספר דירה]])</f>
        <v>O.S.2G.TN.Ap.24</v>
      </c>
      <c r="C363" s="3" t="s">
        <v>56</v>
      </c>
      <c r="D363" s="3">
        <v>4</v>
      </c>
      <c r="E363" s="4">
        <v>24</v>
      </c>
      <c r="F363" s="3">
        <v>403</v>
      </c>
      <c r="G363" s="3" t="s">
        <v>15</v>
      </c>
      <c r="H363" s="3">
        <f>VLOOKUP(Check[[#This Row],[טיפוס]],Tipus[],2,FALSE)</f>
        <v>2</v>
      </c>
      <c r="I363" s="3" t="str">
        <f>VLOOKUP(Check[[#This Row],[טיפוס]],Tipus[],3,FALSE)</f>
        <v>סטנדרט</v>
      </c>
      <c r="J363" s="3" t="str">
        <f>VLOOKUP(Check[[#This Row],[טיפוס]],Tipus[],4,FALSE)</f>
        <v>I</v>
      </c>
      <c r="K363" s="3" t="str">
        <f>IF(Check[[#This Row],[סטטוס2]]="הולד","פנויה",Check[[#This Row],[סטטוס2]])</f>
        <v>בעלים</v>
      </c>
      <c r="L363" s="382" t="s">
        <v>91</v>
      </c>
      <c r="M363" s="382"/>
      <c r="N363" s="383"/>
      <c r="O363" s="383"/>
      <c r="P363" s="411"/>
      <c r="Q363" s="411"/>
      <c r="R363" s="383"/>
      <c r="S363" s="390"/>
      <c r="T363" s="390" t="s">
        <v>240</v>
      </c>
      <c r="U363" s="387" t="s">
        <v>241</v>
      </c>
      <c r="V363" s="387" t="s">
        <v>214</v>
      </c>
      <c r="W363" s="387" t="s">
        <v>242</v>
      </c>
    </row>
    <row r="364" spans="1:23" x14ac:dyDescent="0.2">
      <c r="A364" s="13" t="str">
        <f>_xlfn.CONCAT(VLOOKUP(Check[[#This Row],[סטטוס]],Sold,2,FALSE),IF(Check[[#This Row],[סטטוס]]="פנויה",IF(N364="גמר מלא סטנדרט",".GMS",IF(N364="גמר מלא טיוב חומרים",".GMC",IF(N364="גמר מינימלי",".GM",IF(N364="דירת שיווק",".DS","")))),""),".",VLOOKUP(Check[[#This Row],[טיפוס]],Tipus[],5,FALSE),".",VLOOKUP(Check[[#This Row],[מגדל]],Tower,2,FALSE),".Ap.",Check[[#This Row],[מספר דירה]])</f>
        <v>S.S.4A.TN.Ap.25</v>
      </c>
      <c r="B364" s="13" t="str">
        <f>_xlfn.CONCAT(VLOOKUP(Check[[#This Row],[סטטוס]],Sold,2,FALSE),IF(Check[[#This Row],[סטטוס]]="פנויה",IF(N364="גמר מלא סטנדרט",".GMS",IF(N364="גמר מלא טיוב חומרים",".GMC",IF(N364="גמר מינימלי",".GM",IF(N364="דירת שיווק",".DS","")))),""),IF(M364="זומן לטרום",".ZLT",IF(M364="טרום מסירה",".TM",IF(M364="טרום מסירה מהנדס",".TMM",IF(M364="מסירת חזקה",".MH",IF(M364="מסירת חזקה מהנדס",".MHM",""))))),".",VLOOKUP(Check[[#This Row],[טיפוס]],Tipus[],5,FALSE),".",VLOOKUP(Check[[#This Row],[מגדל]],Tower,2,FALSE),".Ap.",Check[[#This Row],[מספר דירה]])</f>
        <v>S.S.4A.TN.Ap.25</v>
      </c>
      <c r="C364" s="3" t="s">
        <v>56</v>
      </c>
      <c r="D364" s="3">
        <v>4</v>
      </c>
      <c r="E364" s="4">
        <v>25</v>
      </c>
      <c r="F364" s="3">
        <v>404</v>
      </c>
      <c r="G364" s="5" t="s">
        <v>14</v>
      </c>
      <c r="H364" s="5">
        <f>VLOOKUP(Check[[#This Row],[טיפוס]],Tipus[],2,FALSE)</f>
        <v>4</v>
      </c>
      <c r="I364" s="5" t="str">
        <f>VLOOKUP(Check[[#This Row],[טיפוס]],Tipus[],3,FALSE)</f>
        <v>סטנדרט</v>
      </c>
      <c r="J364" s="5" t="str">
        <f>VLOOKUP(Check[[#This Row],[טיפוס]],Tipus[],4,FALSE)</f>
        <v>J</v>
      </c>
      <c r="K364" s="3" t="str">
        <f>IF(Check[[#This Row],[סטטוס2]]="הולד","פנויה",Check[[#This Row],[סטטוס2]])</f>
        <v>מכורה</v>
      </c>
      <c r="L364" s="382" t="s">
        <v>130</v>
      </c>
      <c r="M364" s="382"/>
      <c r="N364" s="383"/>
      <c r="O364" s="383"/>
      <c r="P364" s="411"/>
      <c r="Q364" s="411"/>
      <c r="R364" s="383"/>
      <c r="S364" s="390">
        <v>44747</v>
      </c>
      <c r="T364" s="390" t="s">
        <v>1336</v>
      </c>
      <c r="U364" s="387" t="s">
        <v>568</v>
      </c>
      <c r="V364" s="387"/>
      <c r="W364" s="387"/>
    </row>
    <row r="365" spans="1:23" x14ac:dyDescent="0.2">
      <c r="A365" s="13" t="str">
        <f>_xlfn.CONCAT(VLOOKUP(Check[[#This Row],[סטטוס]],Sold,2,FALSE),IF(Check[[#This Row],[סטטוס]]="פנויה",IF(N365="גמר מלא סטנדרט",".GMS",IF(N365="גמר מלא טיוב חומרים",".GMC",IF(N365="גמר מינימלי",".GM",IF(N365="דירת שיווק",".DS","")))),""),".",VLOOKUP(Check[[#This Row],[טיפוס]],Tipus[],5,FALSE),".",VLOOKUP(Check[[#This Row],[מגדל]],Tower,2,FALSE),".Ap.",Check[[#This Row],[מספר דירה]])</f>
        <v>O.S.2F.TN.Ap.26</v>
      </c>
      <c r="B365" s="13" t="str">
        <f>_xlfn.CONCAT(VLOOKUP(Check[[#This Row],[סטטוס]],Sold,2,FALSE),IF(Check[[#This Row],[סטטוס]]="פנויה",IF(N365="גמר מלא סטנדרט",".GMS",IF(N365="גמר מלא טיוב חומרים",".GMC",IF(N365="גמר מינימלי",".GM",IF(N365="דירת שיווק",".DS","")))),""),IF(M365="זומן לטרום",".ZLT",IF(M365="טרום מסירה",".TM",IF(M365="טרום מסירה מהנדס",".TMM",IF(M365="מסירת חזקה",".MH",IF(M365="מסירת חזקה מהנדס",".MHM",""))))),".",VLOOKUP(Check[[#This Row],[טיפוס]],Tipus[],5,FALSE),".",VLOOKUP(Check[[#This Row],[מגדל]],Tower,2,FALSE),".Ap.",Check[[#This Row],[מספר דירה]])</f>
        <v>O.ZLT.S.2F.TN.Ap.26</v>
      </c>
      <c r="C365" s="3" t="s">
        <v>56</v>
      </c>
      <c r="D365" s="3">
        <v>4</v>
      </c>
      <c r="E365" s="4">
        <v>26</v>
      </c>
      <c r="F365" s="3">
        <v>405</v>
      </c>
      <c r="G365" s="5" t="s">
        <v>12</v>
      </c>
      <c r="H365" s="5">
        <f>VLOOKUP(Check[[#This Row],[טיפוס]],Tipus[],2,FALSE)</f>
        <v>2</v>
      </c>
      <c r="I365" s="5" t="str">
        <f>VLOOKUP(Check[[#This Row],[טיפוס]],Tipus[],3,FALSE)</f>
        <v>סטנדרט</v>
      </c>
      <c r="J365" s="5" t="str">
        <f>VLOOKUP(Check[[#This Row],[טיפוס]],Tipus[],4,FALSE)</f>
        <v>A</v>
      </c>
      <c r="K365" s="3" t="str">
        <f>IF(Check[[#This Row],[סטטוס2]]="הולד","פנויה",Check[[#This Row],[סטטוס2]])</f>
        <v>בעלים</v>
      </c>
      <c r="L365" s="382" t="s">
        <v>91</v>
      </c>
      <c r="M365" s="382" t="s">
        <v>1419</v>
      </c>
      <c r="N365" s="383"/>
      <c r="O365" s="383"/>
      <c r="P365" s="411"/>
      <c r="Q365" s="411"/>
      <c r="R365" s="383"/>
      <c r="S365" s="390"/>
      <c r="T365" s="390" t="s">
        <v>243</v>
      </c>
      <c r="U365" s="387" t="s">
        <v>244</v>
      </c>
      <c r="V365" s="387" t="s">
        <v>214</v>
      </c>
      <c r="W365" s="387" t="s">
        <v>245</v>
      </c>
    </row>
    <row r="366" spans="1:23" x14ac:dyDescent="0.2">
      <c r="A366" s="13" t="str">
        <f>_xlfn.CONCAT(VLOOKUP(Check[[#This Row],[סטטוס]],Sold,2,FALSE),IF(Check[[#This Row],[סטטוס]]="פנויה",IF(N366="גמר מלא סטנדרט",".GMS",IF(N366="גמר מלא טיוב חומרים",".GMC",IF(N366="גמר מינימלי",".GM",IF(N366="דירת שיווק",".DS","")))),""),".",VLOOKUP(Check[[#This Row],[טיפוס]],Tipus[],5,FALSE),".",VLOOKUP(Check[[#This Row],[מגדל]],Tower,2,FALSE),".Ap.",Check[[#This Row],[מספר דירה]])</f>
        <v>S.S.2E.TN.Ap.27</v>
      </c>
      <c r="B366" s="13" t="str">
        <f>_xlfn.CONCAT(VLOOKUP(Check[[#This Row],[סטטוס]],Sold,2,FALSE),IF(Check[[#This Row],[סטטוס]]="פנויה",IF(N366="גמר מלא סטנדרט",".GMS",IF(N366="גמר מלא טיוב חומרים",".GMC",IF(N366="גמר מינימלי",".GM",IF(N366="דירת שיווק",".DS","")))),""),IF(M366="זומן לטרום",".ZLT",IF(M366="טרום מסירה",".TM",IF(M366="טרום מסירה מהנדס",".TMM",IF(M366="מסירת חזקה",".MH",IF(M366="מסירת חזקה מהנדס",".MHM",""))))),".",VLOOKUP(Check[[#This Row],[טיפוס]],Tipus[],5,FALSE),".",VLOOKUP(Check[[#This Row],[מגדל]],Tower,2,FALSE),".Ap.",Check[[#This Row],[מספר דירה]])</f>
        <v>S.S.2E.TN.Ap.27</v>
      </c>
      <c r="C366" s="3" t="s">
        <v>56</v>
      </c>
      <c r="D366" s="3">
        <v>4</v>
      </c>
      <c r="E366" s="4">
        <v>27</v>
      </c>
      <c r="F366" s="3">
        <v>406</v>
      </c>
      <c r="G366" s="5" t="s">
        <v>11</v>
      </c>
      <c r="H366" s="5">
        <f>VLOOKUP(Check[[#This Row],[טיפוס]],Tipus[],2,FALSE)</f>
        <v>2</v>
      </c>
      <c r="I366" s="5" t="str">
        <f>VLOOKUP(Check[[#This Row],[טיפוס]],Tipus[],3,FALSE)</f>
        <v>סטנדרט</v>
      </c>
      <c r="J366" s="5" t="str">
        <f>VLOOKUP(Check[[#This Row],[טיפוס]],Tipus[],4,FALSE)</f>
        <v>B</v>
      </c>
      <c r="K366" s="3" t="str">
        <f>IF(Check[[#This Row],[סטטוס2]]="הולד","פנויה",Check[[#This Row],[סטטוס2]])</f>
        <v>מכורה</v>
      </c>
      <c r="L366" s="382" t="s">
        <v>130</v>
      </c>
      <c r="M366" s="382"/>
      <c r="N366" s="383"/>
      <c r="O366" s="383"/>
      <c r="P366" s="411"/>
      <c r="Q366" s="411"/>
      <c r="R366" s="383"/>
      <c r="S366" s="390">
        <v>44222</v>
      </c>
      <c r="T366" s="390" t="s">
        <v>1157</v>
      </c>
      <c r="U366" s="387"/>
      <c r="V366" s="387"/>
      <c r="W366" s="387"/>
    </row>
    <row r="367" spans="1:23" x14ac:dyDescent="0.2">
      <c r="A367" s="13" t="str">
        <f>_xlfn.CONCAT(VLOOKUP(Check[[#This Row],[סטטוס]],Sold,2,FALSE),IF(Check[[#This Row],[סטטוס]]="פנויה",IF(N367="גמר מלא סטנדרט",".GMS",IF(N367="גמר מלא טיוב חומרים",".GMC",IF(N367="גמר מינימלי",".GM",IF(N367="דירת שיווק",".DS","")))),""),".",VLOOKUP(Check[[#This Row],[טיפוס]],Tipus[],5,FALSE),".",VLOOKUP(Check[[#This Row],[מגדל]],Tower,2,FALSE),".Ap.",Check[[#This Row],[מספר דירה]])</f>
        <v>S.S.2D.TN.Ap.28</v>
      </c>
      <c r="B367" s="13" t="str">
        <f>_xlfn.CONCAT(VLOOKUP(Check[[#This Row],[סטטוס]],Sold,2,FALSE),IF(Check[[#This Row],[סטטוס]]="פנויה",IF(N367="גמר מלא סטנדרט",".GMS",IF(N367="גמר מלא טיוב חומרים",".GMC",IF(N367="גמר מינימלי",".GM",IF(N367="דירת שיווק",".DS","")))),""),IF(M367="זומן לטרום",".ZLT",IF(M367="טרום מסירה",".TM",IF(M367="טרום מסירה מהנדס",".TMM",IF(M367="מסירת חזקה",".MH",IF(M367="מסירת חזקה מהנדס",".MHM",""))))),".",VLOOKUP(Check[[#This Row],[טיפוס]],Tipus[],5,FALSE),".",VLOOKUP(Check[[#This Row],[מגדל]],Tower,2,FALSE),".Ap.",Check[[#This Row],[מספר דירה]])</f>
        <v>S.S.2D.TN.Ap.28</v>
      </c>
      <c r="C367" s="3" t="s">
        <v>56</v>
      </c>
      <c r="D367" s="3">
        <v>4</v>
      </c>
      <c r="E367" s="4">
        <v>28</v>
      </c>
      <c r="F367" s="3">
        <v>407</v>
      </c>
      <c r="G367" s="3" t="s">
        <v>10</v>
      </c>
      <c r="H367" s="3">
        <f>VLOOKUP(Check[[#This Row],[טיפוס]],Tipus[],2,FALSE)</f>
        <v>2</v>
      </c>
      <c r="I367" s="3" t="str">
        <f>VLOOKUP(Check[[#This Row],[טיפוס]],Tipus[],3,FALSE)</f>
        <v>סטנדרט</v>
      </c>
      <c r="J367" s="3" t="str">
        <f>VLOOKUP(Check[[#This Row],[טיפוס]],Tipus[],4,FALSE)</f>
        <v>C</v>
      </c>
      <c r="K367" s="3" t="str">
        <f>IF(Check[[#This Row],[סטטוס2]]="הולד","פנויה",Check[[#This Row],[סטטוס2]])</f>
        <v>מכורה</v>
      </c>
      <c r="L367" s="382" t="s">
        <v>130</v>
      </c>
      <c r="M367" s="382"/>
      <c r="N367" s="383"/>
      <c r="O367" s="383"/>
      <c r="P367" s="411"/>
      <c r="Q367" s="411"/>
      <c r="R367" s="383"/>
      <c r="S367" s="390">
        <v>44221</v>
      </c>
      <c r="T367" s="390" t="s">
        <v>1337</v>
      </c>
      <c r="U367" s="387"/>
      <c r="V367" s="387"/>
      <c r="W367" s="387"/>
    </row>
    <row r="368" spans="1:23" x14ac:dyDescent="0.2">
      <c r="A368" s="13" t="str">
        <f>_xlfn.CONCAT(VLOOKUP(Check[[#This Row],[סטטוס]],Sold,2,FALSE),IF(Check[[#This Row],[סטטוס]]="פנויה",IF(N368="גמר מלא סטנדרט",".GMS",IF(N368="גמר מלא טיוב חומרים",".GMC",IF(N368="גמר מינימלי",".GM",IF(N368="דירת שיווק",".DS","")))),""),".",VLOOKUP(Check[[#This Row],[טיפוס]],Tipus[],5,FALSE),".",VLOOKUP(Check[[#This Row],[מגדל]],Tower,2,FALSE),".Ap.",Check[[#This Row],[מספר דירה]])</f>
        <v>S.S.3A.TN.Ap.29</v>
      </c>
      <c r="B368" s="13" t="str">
        <f>_xlfn.CONCAT(VLOOKUP(Check[[#This Row],[סטטוס]],Sold,2,FALSE),IF(Check[[#This Row],[סטטוס]]="פנויה",IF(N368="גמר מלא סטנדרט",".GMS",IF(N368="גמר מלא טיוב חומרים",".GMC",IF(N368="גמר מינימלי",".GM",IF(N368="דירת שיווק",".DS","")))),""),IF(M368="זומן לטרום",".ZLT",IF(M368="טרום מסירה",".TM",IF(M368="טרום מסירה מהנדס",".TMM",IF(M368="מסירת חזקה",".MH",IF(M368="מסירת חזקה מהנדס",".MHM",""))))),".",VLOOKUP(Check[[#This Row],[טיפוס]],Tipus[],5,FALSE),".",VLOOKUP(Check[[#This Row],[מגדל]],Tower,2,FALSE),".Ap.",Check[[#This Row],[מספר דירה]])</f>
        <v>S.S.3A.TN.Ap.29</v>
      </c>
      <c r="C368" s="3" t="s">
        <v>56</v>
      </c>
      <c r="D368" s="3">
        <v>5</v>
      </c>
      <c r="E368" s="4">
        <v>29</v>
      </c>
      <c r="F368" s="3">
        <v>508</v>
      </c>
      <c r="G368" s="3" t="s">
        <v>9</v>
      </c>
      <c r="H368" s="3">
        <f>VLOOKUP(Check[[#This Row],[טיפוס]],Tipus[],2,FALSE)</f>
        <v>3</v>
      </c>
      <c r="I368" s="3" t="str">
        <f>VLOOKUP(Check[[#This Row],[טיפוס]],Tipus[],3,FALSE)</f>
        <v>סטנדרט</v>
      </c>
      <c r="J368" s="3" t="str">
        <f>VLOOKUP(Check[[#This Row],[טיפוס]],Tipus[],4,FALSE)</f>
        <v>D</v>
      </c>
      <c r="K368" s="3" t="str">
        <f>IF(Check[[#This Row],[סטטוס2]]="הולד","פנויה",Check[[#This Row],[סטטוס2]])</f>
        <v>מכורה</v>
      </c>
      <c r="L368" s="382" t="s">
        <v>130</v>
      </c>
      <c r="M368" s="382"/>
      <c r="N368" s="383"/>
      <c r="O368" s="383"/>
      <c r="P368" s="411"/>
      <c r="Q368" s="411"/>
      <c r="R368" s="383"/>
      <c r="S368" s="390">
        <v>44255</v>
      </c>
      <c r="T368" s="390" t="s">
        <v>1158</v>
      </c>
      <c r="U368" s="387" t="s">
        <v>569</v>
      </c>
      <c r="V368" s="387"/>
      <c r="W368" s="387"/>
    </row>
    <row r="369" spans="1:23" x14ac:dyDescent="0.2">
      <c r="A369" s="13" t="str">
        <f>_xlfn.CONCAT(VLOOKUP(Check[[#This Row],[סטטוס]],Sold,2,FALSE),IF(Check[[#This Row],[סטטוס]]="פנויה",IF(N369="גמר מלא סטנדרט",".GMS",IF(N369="גמר מלא טיוב חומרים",".GMC",IF(N369="גמר מינימלי",".GM",IF(N369="דירת שיווק",".DS","")))),""),".",VLOOKUP(Check[[#This Row],[טיפוס]],Tipus[],5,FALSE),".",VLOOKUP(Check[[#This Row],[מגדל]],Tower,2,FALSE),".Ap.",Check[[#This Row],[מספר דירה]])</f>
        <v>O.S.2C.TN.Ap.30</v>
      </c>
      <c r="B369" s="13" t="str">
        <f>_xlfn.CONCAT(VLOOKUP(Check[[#This Row],[סטטוס]],Sold,2,FALSE),IF(Check[[#This Row],[סטטוס]]="פנויה",IF(N369="גמר מלא סטנדרט",".GMS",IF(N369="גמר מלא טיוב חומרים",".GMC",IF(N369="גמר מינימלי",".GM",IF(N369="דירת שיווק",".DS","")))),""),IF(M369="זומן לטרום",".ZLT",IF(M369="טרום מסירה",".TM",IF(M369="טרום מסירה מהנדס",".TMM",IF(M369="מסירת חזקה",".MH",IF(M369="מסירת חזקה מהנדס",".MHM",""))))),".",VLOOKUP(Check[[#This Row],[טיפוס]],Tipus[],5,FALSE),".",VLOOKUP(Check[[#This Row],[מגדל]],Tower,2,FALSE),".Ap.",Check[[#This Row],[מספר דירה]])</f>
        <v>O.S.2C.TN.Ap.30</v>
      </c>
      <c r="C369" s="3" t="s">
        <v>56</v>
      </c>
      <c r="D369" s="3">
        <v>5</v>
      </c>
      <c r="E369" s="4">
        <v>30</v>
      </c>
      <c r="F369" s="3">
        <v>509</v>
      </c>
      <c r="G369" s="3" t="s">
        <v>8</v>
      </c>
      <c r="H369" s="3">
        <f>VLOOKUP(Check[[#This Row],[טיפוס]],Tipus[],2,FALSE)</f>
        <v>2</v>
      </c>
      <c r="I369" s="3" t="str">
        <f>VLOOKUP(Check[[#This Row],[טיפוס]],Tipus[],3,FALSE)</f>
        <v>סטנדרט</v>
      </c>
      <c r="J369" s="3" t="str">
        <f>VLOOKUP(Check[[#This Row],[טיפוס]],Tipus[],4,FALSE)</f>
        <v>E</v>
      </c>
      <c r="K369" s="3" t="str">
        <f>IF(Check[[#This Row],[סטטוס2]]="הולד","פנויה",Check[[#This Row],[סטטוס2]])</f>
        <v>בעלים</v>
      </c>
      <c r="L369" s="382" t="s">
        <v>91</v>
      </c>
      <c r="M369" s="382"/>
      <c r="N369" s="383"/>
      <c r="O369" s="383"/>
      <c r="P369" s="411"/>
      <c r="Q369" s="411"/>
      <c r="R369" s="383"/>
      <c r="S369" s="390"/>
      <c r="T369" s="390" t="s">
        <v>1224</v>
      </c>
      <c r="U369" s="387" t="s">
        <v>246</v>
      </c>
      <c r="V369" s="387" t="s">
        <v>214</v>
      </c>
      <c r="W369" s="387"/>
    </row>
    <row r="370" spans="1:23" x14ac:dyDescent="0.2">
      <c r="A370" s="13" t="str">
        <f>_xlfn.CONCAT(VLOOKUP(Check[[#This Row],[סטטוס]],Sold,2,FALSE),IF(Check[[#This Row],[סטטוס]]="פנויה",IF(N370="גמר מלא סטנדרט",".GMS",IF(N370="גמר מלא טיוב חומרים",".GMC",IF(N370="גמר מינימלי",".GM",IF(N370="דירת שיווק",".DS","")))),""),".",VLOOKUP(Check[[#This Row],[טיפוס]],Tipus[],5,FALSE),".",VLOOKUP(Check[[#This Row],[מגדל]],Tower,2,FALSE),".Ap.",Check[[#This Row],[מספר דירה]])</f>
        <v>S.S.2B.TN.Ap.31</v>
      </c>
      <c r="B370" s="13" t="str">
        <f>_xlfn.CONCAT(VLOOKUP(Check[[#This Row],[סטטוס]],Sold,2,FALSE),IF(Check[[#This Row],[סטטוס]]="פנויה",IF(N370="גמר מלא סטנדרט",".GMS",IF(N370="גמר מלא טיוב חומרים",".GMC",IF(N370="גמר מינימלי",".GM",IF(N370="דירת שיווק",".DS","")))),""),IF(M370="זומן לטרום",".ZLT",IF(M370="טרום מסירה",".TM",IF(M370="טרום מסירה מהנדס",".TMM",IF(M370="מסירת חזקה",".MH",IF(M370="מסירת חזקה מהנדס",".MHM",""))))),".",VLOOKUP(Check[[#This Row],[טיפוס]],Tipus[],5,FALSE),".",VLOOKUP(Check[[#This Row],[מגדל]],Tower,2,FALSE),".Ap.",Check[[#This Row],[מספר דירה]])</f>
        <v>S.S.2B.TN.Ap.31</v>
      </c>
      <c r="C370" s="3" t="s">
        <v>56</v>
      </c>
      <c r="D370" s="3">
        <v>5</v>
      </c>
      <c r="E370" s="4">
        <v>31</v>
      </c>
      <c r="F370" s="3">
        <v>510</v>
      </c>
      <c r="G370" s="5" t="s">
        <v>7</v>
      </c>
      <c r="H370" s="5">
        <f>VLOOKUP(Check[[#This Row],[טיפוס]],Tipus[],2,FALSE)</f>
        <v>2</v>
      </c>
      <c r="I370" s="5" t="str">
        <f>VLOOKUP(Check[[#This Row],[טיפוס]],Tipus[],3,FALSE)</f>
        <v>סטנדרט</v>
      </c>
      <c r="J370" s="5" t="str">
        <f>VLOOKUP(Check[[#This Row],[טיפוס]],Tipus[],4,FALSE)</f>
        <v>F</v>
      </c>
      <c r="K370" s="3" t="str">
        <f>IF(Check[[#This Row],[סטטוס2]]="הולד","פנויה",Check[[#This Row],[סטטוס2]])</f>
        <v>מכורה</v>
      </c>
      <c r="L370" s="382" t="s">
        <v>130</v>
      </c>
      <c r="M370" s="382"/>
      <c r="N370" s="383"/>
      <c r="O370" s="383"/>
      <c r="P370" s="411"/>
      <c r="Q370" s="411"/>
      <c r="R370" s="383"/>
      <c r="S370" s="390">
        <v>44276</v>
      </c>
      <c r="T370" s="390" t="s">
        <v>1159</v>
      </c>
      <c r="U370" s="387" t="s">
        <v>570</v>
      </c>
      <c r="V370" s="387"/>
      <c r="W370" s="387"/>
    </row>
    <row r="371" spans="1:23" x14ac:dyDescent="0.2">
      <c r="A371" s="13" t="str">
        <f>_xlfn.CONCAT(VLOOKUP(Check[[#This Row],[סטטוס]],Sold,2,FALSE),IF(Check[[#This Row],[סטטוס]]="פנויה",IF(N371="גמר מלא סטנדרט",".GMS",IF(N371="גמר מלא טיוב חומרים",".GMC",IF(N371="גמר מינימלי",".GM",IF(N371="דירת שיווק",".DS","")))),""),".",VLOOKUP(Check[[#This Row],[טיפוס]],Tipus[],5,FALSE),".",VLOOKUP(Check[[#This Row],[מגדל]],Tower,2,FALSE),".Ap.",Check[[#This Row],[מספר דירה]])</f>
        <v>O.S.2A.TN.Ap.32</v>
      </c>
      <c r="B371" s="13" t="str">
        <f>_xlfn.CONCAT(VLOOKUP(Check[[#This Row],[סטטוס]],Sold,2,FALSE),IF(Check[[#This Row],[סטטוס]]="פנויה",IF(N371="גמר מלא סטנדרט",".GMS",IF(N371="גמר מלא טיוב חומרים",".GMC",IF(N371="גמר מינימלי",".GM",IF(N371="דירת שיווק",".DS","")))),""),IF(M371="זומן לטרום",".ZLT",IF(M371="טרום מסירה",".TM",IF(M371="טרום מסירה מהנדס",".TMM",IF(M371="מסירת חזקה",".MH",IF(M371="מסירת חזקה מהנדס",".MHM",""))))),".",VLOOKUP(Check[[#This Row],[טיפוס]],Tipus[],5,FALSE),".",VLOOKUP(Check[[#This Row],[מגדל]],Tower,2,FALSE),".Ap.",Check[[#This Row],[מספר דירה]])</f>
        <v>O.S.2A.TN.Ap.32</v>
      </c>
      <c r="C371" s="3" t="s">
        <v>56</v>
      </c>
      <c r="D371" s="3">
        <v>5</v>
      </c>
      <c r="E371" s="4">
        <v>32</v>
      </c>
      <c r="F371" s="3">
        <v>501</v>
      </c>
      <c r="G371" s="5" t="s">
        <v>6</v>
      </c>
      <c r="H371" s="5">
        <f>VLOOKUP(Check[[#This Row],[טיפוס]],Tipus[],2,FALSE)</f>
        <v>2</v>
      </c>
      <c r="I371" s="5" t="str">
        <f>VLOOKUP(Check[[#This Row],[טיפוס]],Tipus[],3,FALSE)</f>
        <v>סטנדרט</v>
      </c>
      <c r="J371" s="5" t="str">
        <f>VLOOKUP(Check[[#This Row],[טיפוס]],Tipus[],4,FALSE)</f>
        <v>G</v>
      </c>
      <c r="K371" s="3" t="str">
        <f>IF(Check[[#This Row],[סטטוס2]]="הולד","פנויה",Check[[#This Row],[סטטוס2]])</f>
        <v>בעלים</v>
      </c>
      <c r="L371" s="382" t="s">
        <v>91</v>
      </c>
      <c r="M371" s="382"/>
      <c r="N371" s="383"/>
      <c r="O371" s="383"/>
      <c r="P371" s="411"/>
      <c r="Q371" s="411"/>
      <c r="R371" s="383"/>
      <c r="S371" s="390"/>
      <c r="T371" s="390" t="s">
        <v>247</v>
      </c>
      <c r="U371" s="387" t="s">
        <v>248</v>
      </c>
      <c r="V371" s="387" t="s">
        <v>214</v>
      </c>
      <c r="W371" s="387" t="s">
        <v>242</v>
      </c>
    </row>
    <row r="372" spans="1:23" x14ac:dyDescent="0.2">
      <c r="A372" s="13" t="str">
        <f>_xlfn.CONCAT(VLOOKUP(Check[[#This Row],[סטטוס]],Sold,2,FALSE),IF(Check[[#This Row],[סטטוס]]="פנויה",IF(N372="גמר מלא סטנדרט",".GMS",IF(N372="גמר מלא טיוב חומרים",".GMC",IF(N372="גמר מינימלי",".GM",IF(N372="דירת שיווק",".DS","")))),""),".",VLOOKUP(Check[[#This Row],[טיפוס]],Tipus[],5,FALSE),".",VLOOKUP(Check[[#This Row],[מגדל]],Tower,2,FALSE),".Ap.",Check[[#This Row],[מספר דירה]])</f>
        <v>S.S.4B.TN.Ap.33</v>
      </c>
      <c r="B372" s="13" t="str">
        <f>_xlfn.CONCAT(VLOOKUP(Check[[#This Row],[סטטוס]],Sold,2,FALSE),IF(Check[[#This Row],[סטטוס]]="פנויה",IF(N372="גמר מלא סטנדרט",".GMS",IF(N372="גמר מלא טיוב חומרים",".GMC",IF(N372="גמר מינימלי",".GM",IF(N372="דירת שיווק",".DS","")))),""),IF(M372="זומן לטרום",".ZLT",IF(M372="טרום מסירה",".TM",IF(M372="טרום מסירה מהנדס",".TMM",IF(M372="מסירת חזקה",".MH",IF(M372="מסירת חזקה מהנדס",".MHM",""))))),".",VLOOKUP(Check[[#This Row],[טיפוס]],Tipus[],5,FALSE),".",VLOOKUP(Check[[#This Row],[מגדל]],Tower,2,FALSE),".Ap.",Check[[#This Row],[מספר דירה]])</f>
        <v>S.S.4B.TN.Ap.33</v>
      </c>
      <c r="C372" s="3" t="s">
        <v>56</v>
      </c>
      <c r="D372" s="3">
        <v>5</v>
      </c>
      <c r="E372" s="4">
        <v>33</v>
      </c>
      <c r="F372" s="3">
        <v>502</v>
      </c>
      <c r="G372" s="5" t="s">
        <v>16</v>
      </c>
      <c r="H372" s="5">
        <f>VLOOKUP(Check[[#This Row],[טיפוס]],Tipus[],2,FALSE)</f>
        <v>4</v>
      </c>
      <c r="I372" s="5" t="str">
        <f>VLOOKUP(Check[[#This Row],[טיפוס]],Tipus[],3,FALSE)</f>
        <v>סטנדרט</v>
      </c>
      <c r="J372" s="5" t="str">
        <f>VLOOKUP(Check[[#This Row],[טיפוס]],Tipus[],4,FALSE)</f>
        <v>H</v>
      </c>
      <c r="K372" s="3" t="str">
        <f>IF(Check[[#This Row],[סטטוס2]]="הולד","פנויה",Check[[#This Row],[סטטוס2]])</f>
        <v>מכורה</v>
      </c>
      <c r="L372" s="382" t="s">
        <v>130</v>
      </c>
      <c r="M372" s="382"/>
      <c r="N372" s="383"/>
      <c r="O372" s="383"/>
      <c r="P372" s="411"/>
      <c r="Q372" s="411"/>
      <c r="R372" s="383"/>
      <c r="S372" s="390">
        <v>44336</v>
      </c>
      <c r="T372" s="390" t="s">
        <v>1338</v>
      </c>
      <c r="U372" s="387" t="s">
        <v>571</v>
      </c>
      <c r="V372" s="387"/>
      <c r="W372" s="387"/>
    </row>
    <row r="373" spans="1:23" x14ac:dyDescent="0.2">
      <c r="A373" s="13" t="str">
        <f>_xlfn.CONCAT(VLOOKUP(Check[[#This Row],[סטטוס]],Sold,2,FALSE),IF(Check[[#This Row],[סטטוס]]="פנויה",IF(N373="גמר מלא סטנדרט",".GMS",IF(N373="גמר מלא טיוב חומרים",".GMC",IF(N373="גמר מינימלי",".GM",IF(N373="דירת שיווק",".DS","")))),""),".",VLOOKUP(Check[[#This Row],[טיפוס]],Tipus[],5,FALSE),".",VLOOKUP(Check[[#This Row],[מגדל]],Tower,2,FALSE),".Ap.",Check[[#This Row],[מספר דירה]])</f>
        <v>O.S.2G.TN.Ap.34</v>
      </c>
      <c r="B373" s="13" t="str">
        <f>_xlfn.CONCAT(VLOOKUP(Check[[#This Row],[סטטוס]],Sold,2,FALSE),IF(Check[[#This Row],[סטטוס]]="פנויה",IF(N373="גמר מלא סטנדרט",".GMS",IF(N373="גמר מלא טיוב חומרים",".GMC",IF(N373="גמר מינימלי",".GM",IF(N373="דירת שיווק",".DS","")))),""),IF(M373="זומן לטרום",".ZLT",IF(M373="טרום מסירה",".TM",IF(M373="טרום מסירה מהנדס",".TMM",IF(M373="מסירת חזקה",".MH",IF(M373="מסירת חזקה מהנדס",".MHM",""))))),".",VLOOKUP(Check[[#This Row],[טיפוס]],Tipus[],5,FALSE),".",VLOOKUP(Check[[#This Row],[מגדל]],Tower,2,FALSE),".Ap.",Check[[#This Row],[מספר דירה]])</f>
        <v>O.S.2G.TN.Ap.34</v>
      </c>
      <c r="C373" s="3" t="s">
        <v>56</v>
      </c>
      <c r="D373" s="3">
        <v>5</v>
      </c>
      <c r="E373" s="4">
        <v>34</v>
      </c>
      <c r="F373" s="3">
        <v>503</v>
      </c>
      <c r="G373" s="3" t="s">
        <v>15</v>
      </c>
      <c r="H373" s="3">
        <f>VLOOKUP(Check[[#This Row],[טיפוס]],Tipus[],2,FALSE)</f>
        <v>2</v>
      </c>
      <c r="I373" s="3" t="str">
        <f>VLOOKUP(Check[[#This Row],[טיפוס]],Tipus[],3,FALSE)</f>
        <v>סטנדרט</v>
      </c>
      <c r="J373" s="3" t="str">
        <f>VLOOKUP(Check[[#This Row],[טיפוס]],Tipus[],4,FALSE)</f>
        <v>I</v>
      </c>
      <c r="K373" s="3" t="str">
        <f>IF(Check[[#This Row],[סטטוס2]]="הולד","פנויה",Check[[#This Row],[סטטוס2]])</f>
        <v>בעלים</v>
      </c>
      <c r="L373" s="382" t="s">
        <v>91</v>
      </c>
      <c r="M373" s="382"/>
      <c r="N373" s="383"/>
      <c r="O373" s="383"/>
      <c r="P373" s="411"/>
      <c r="Q373" s="411"/>
      <c r="R373" s="383"/>
      <c r="S373" s="390"/>
      <c r="T373" s="390" t="s">
        <v>1296</v>
      </c>
      <c r="U373" s="387" t="s">
        <v>249</v>
      </c>
      <c r="V373" s="387" t="s">
        <v>214</v>
      </c>
      <c r="W373" s="387" t="s">
        <v>250</v>
      </c>
    </row>
    <row r="374" spans="1:23" x14ac:dyDescent="0.2">
      <c r="A374" s="13" t="str">
        <f>_xlfn.CONCAT(VLOOKUP(Check[[#This Row],[סטטוס]],Sold,2,FALSE),IF(Check[[#This Row],[סטטוס]]="פנויה",IF(N374="גמר מלא סטנדרט",".GMS",IF(N374="גמר מלא טיוב חומרים",".GMC",IF(N374="גמר מינימלי",".GM",IF(N374="דירת שיווק",".DS","")))),""),".",VLOOKUP(Check[[#This Row],[טיפוס]],Tipus[],5,FALSE),".",VLOOKUP(Check[[#This Row],[מגדל]],Tower,2,FALSE),".Ap.",Check[[#This Row],[מספר דירה]])</f>
        <v>S.S.4A.TN.Ap.35</v>
      </c>
      <c r="B374" s="13" t="str">
        <f>_xlfn.CONCAT(VLOOKUP(Check[[#This Row],[סטטוס]],Sold,2,FALSE),IF(Check[[#This Row],[סטטוס]]="פנויה",IF(N374="גמר מלא סטנדרט",".GMS",IF(N374="גמר מלא טיוב חומרים",".GMC",IF(N374="גמר מינימלי",".GM",IF(N374="דירת שיווק",".DS","")))),""),IF(M374="זומן לטרום",".ZLT",IF(M374="טרום מסירה",".TM",IF(M374="טרום מסירה מהנדס",".TMM",IF(M374="מסירת חזקה",".MH",IF(M374="מסירת חזקה מהנדס",".MHM",""))))),".",VLOOKUP(Check[[#This Row],[טיפוס]],Tipus[],5,FALSE),".",VLOOKUP(Check[[#This Row],[מגדל]],Tower,2,FALSE),".Ap.",Check[[#This Row],[מספר דירה]])</f>
        <v>S.S.4A.TN.Ap.35</v>
      </c>
      <c r="C374" s="3" t="s">
        <v>56</v>
      </c>
      <c r="D374" s="3">
        <v>5</v>
      </c>
      <c r="E374" s="4">
        <v>35</v>
      </c>
      <c r="F374" s="3">
        <v>504</v>
      </c>
      <c r="G374" s="5" t="s">
        <v>14</v>
      </c>
      <c r="H374" s="5">
        <f>VLOOKUP(Check[[#This Row],[טיפוס]],Tipus[],2,FALSE)</f>
        <v>4</v>
      </c>
      <c r="I374" s="5" t="str">
        <f>VLOOKUP(Check[[#This Row],[טיפוס]],Tipus[],3,FALSE)</f>
        <v>סטנדרט</v>
      </c>
      <c r="J374" s="5" t="str">
        <f>VLOOKUP(Check[[#This Row],[טיפוס]],Tipus[],4,FALSE)</f>
        <v>J</v>
      </c>
      <c r="K374" s="3" t="str">
        <f>IF(Check[[#This Row],[סטטוס2]]="הולד","פנויה",Check[[#This Row],[סטטוס2]])</f>
        <v>מכורה</v>
      </c>
      <c r="L374" s="382" t="s">
        <v>130</v>
      </c>
      <c r="M374" s="382"/>
      <c r="N374" s="383"/>
      <c r="O374" s="383"/>
      <c r="P374" s="411"/>
      <c r="Q374" s="411"/>
      <c r="R374" s="383"/>
      <c r="S374" s="390">
        <v>44472</v>
      </c>
      <c r="T374" s="390" t="s">
        <v>1160</v>
      </c>
      <c r="U374" s="387" t="s">
        <v>572</v>
      </c>
      <c r="V374" s="387"/>
      <c r="W374" s="387"/>
    </row>
    <row r="375" spans="1:23" x14ac:dyDescent="0.2">
      <c r="A375" s="13" t="str">
        <f>_xlfn.CONCAT(VLOOKUP(Check[[#This Row],[סטטוס]],Sold,2,FALSE),IF(Check[[#This Row],[סטטוס]]="פנויה",IF(N375="גמר מלא סטנדרט",".GMS",IF(N375="גמר מלא טיוב חומרים",".GMC",IF(N375="גמר מינימלי",".GM",IF(N375="דירת שיווק",".DS","")))),""),".",VLOOKUP(Check[[#This Row],[טיפוס]],Tipus[],5,FALSE),".",VLOOKUP(Check[[#This Row],[מגדל]],Tower,2,FALSE),".Ap.",Check[[#This Row],[מספר דירה]])</f>
        <v>O.S.2F.TN.Ap.36</v>
      </c>
      <c r="B375" s="13" t="str">
        <f>_xlfn.CONCAT(VLOOKUP(Check[[#This Row],[סטטוס]],Sold,2,FALSE),IF(Check[[#This Row],[סטטוס]]="פנויה",IF(N375="גמר מלא סטנדרט",".GMS",IF(N375="גמר מלא טיוב חומרים",".GMC",IF(N375="גמר מינימלי",".GM",IF(N375="דירת שיווק",".DS","")))),""),IF(M375="זומן לטרום",".ZLT",IF(M375="טרום מסירה",".TM",IF(M375="טרום מסירה מהנדס",".TMM",IF(M375="מסירת חזקה",".MH",IF(M375="מסירת חזקה מהנדס",".MHM",""))))),".",VLOOKUP(Check[[#This Row],[טיפוס]],Tipus[],5,FALSE),".",VLOOKUP(Check[[#This Row],[מגדל]],Tower,2,FALSE),".Ap.",Check[[#This Row],[מספר דירה]])</f>
        <v>O.S.2F.TN.Ap.36</v>
      </c>
      <c r="C375" s="3" t="s">
        <v>56</v>
      </c>
      <c r="D375" s="3">
        <v>5</v>
      </c>
      <c r="E375" s="4">
        <v>36</v>
      </c>
      <c r="F375" s="3">
        <v>505</v>
      </c>
      <c r="G375" s="5" t="s">
        <v>12</v>
      </c>
      <c r="H375" s="5">
        <f>VLOOKUP(Check[[#This Row],[טיפוס]],Tipus[],2,FALSE)</f>
        <v>2</v>
      </c>
      <c r="I375" s="5" t="str">
        <f>VLOOKUP(Check[[#This Row],[טיפוס]],Tipus[],3,FALSE)</f>
        <v>סטנדרט</v>
      </c>
      <c r="J375" s="5" t="str">
        <f>VLOOKUP(Check[[#This Row],[טיפוס]],Tipus[],4,FALSE)</f>
        <v>A</v>
      </c>
      <c r="K375" s="3" t="str">
        <f>IF(Check[[#This Row],[סטטוס2]]="הולד","פנויה",Check[[#This Row],[סטטוס2]])</f>
        <v>בעלים</v>
      </c>
      <c r="L375" s="382" t="s">
        <v>91</v>
      </c>
      <c r="M375" s="382"/>
      <c r="N375" s="383"/>
      <c r="O375" s="383"/>
      <c r="P375" s="411"/>
      <c r="Q375" s="411"/>
      <c r="R375" s="383"/>
      <c r="S375" s="390"/>
      <c r="T375" s="390" t="s">
        <v>251</v>
      </c>
      <c r="U375" s="387" t="s">
        <v>252</v>
      </c>
      <c r="V375" s="387" t="s">
        <v>214</v>
      </c>
      <c r="W375" s="387" t="s">
        <v>253</v>
      </c>
    </row>
    <row r="376" spans="1:23" x14ac:dyDescent="0.2">
      <c r="A376" s="13" t="str">
        <f>_xlfn.CONCAT(VLOOKUP(Check[[#This Row],[סטטוס]],Sold,2,FALSE),IF(Check[[#This Row],[סטטוס]]="פנויה",IF(N376="גמר מלא סטנדרט",".GMS",IF(N376="גמר מלא טיוב חומרים",".GMC",IF(N376="גמר מינימלי",".GM",IF(N376="דירת שיווק",".DS","")))),""),".",VLOOKUP(Check[[#This Row],[טיפוס]],Tipus[],5,FALSE),".",VLOOKUP(Check[[#This Row],[מגדל]],Tower,2,FALSE),".Ap.",Check[[#This Row],[מספר דירה]])</f>
        <v>S.S.2E.TN.Ap.37</v>
      </c>
      <c r="B376" s="13" t="str">
        <f>_xlfn.CONCAT(VLOOKUP(Check[[#This Row],[סטטוס]],Sold,2,FALSE),IF(Check[[#This Row],[סטטוס]]="פנויה",IF(N376="גמר מלא סטנדרט",".GMS",IF(N376="גמר מלא טיוב חומרים",".GMC",IF(N376="גמר מינימלי",".GM",IF(N376="דירת שיווק",".DS","")))),""),IF(M376="זומן לטרום",".ZLT",IF(M376="טרום מסירה",".TM",IF(M376="טרום מסירה מהנדס",".TMM",IF(M376="מסירת חזקה",".MH",IF(M376="מסירת חזקה מהנדס",".MHM",""))))),".",VLOOKUP(Check[[#This Row],[טיפוס]],Tipus[],5,FALSE),".",VLOOKUP(Check[[#This Row],[מגדל]],Tower,2,FALSE),".Ap.",Check[[#This Row],[מספר דירה]])</f>
        <v>S.S.2E.TN.Ap.37</v>
      </c>
      <c r="C376" s="3" t="s">
        <v>56</v>
      </c>
      <c r="D376" s="3">
        <v>5</v>
      </c>
      <c r="E376" s="4">
        <v>37</v>
      </c>
      <c r="F376" s="3">
        <v>506</v>
      </c>
      <c r="G376" s="5" t="s">
        <v>11</v>
      </c>
      <c r="H376" s="5">
        <f>VLOOKUP(Check[[#This Row],[טיפוס]],Tipus[],2,FALSE)</f>
        <v>2</v>
      </c>
      <c r="I376" s="5" t="str">
        <f>VLOOKUP(Check[[#This Row],[טיפוס]],Tipus[],3,FALSE)</f>
        <v>סטנדרט</v>
      </c>
      <c r="J376" s="5" t="str">
        <f>VLOOKUP(Check[[#This Row],[טיפוס]],Tipus[],4,FALSE)</f>
        <v>B</v>
      </c>
      <c r="K376" s="3" t="str">
        <f>IF(Check[[#This Row],[סטטוס2]]="הולד","פנויה",Check[[#This Row],[סטטוס2]])</f>
        <v>מכורה</v>
      </c>
      <c r="L376" s="382" t="s">
        <v>130</v>
      </c>
      <c r="M376" s="382"/>
      <c r="N376" s="383"/>
      <c r="O376" s="383"/>
      <c r="P376" s="411"/>
      <c r="Q376" s="411"/>
      <c r="R376" s="383"/>
      <c r="S376" s="390">
        <v>44256</v>
      </c>
      <c r="T376" s="390" t="s">
        <v>1161</v>
      </c>
      <c r="U376" s="387" t="s">
        <v>573</v>
      </c>
      <c r="V376" s="387"/>
      <c r="W376" s="387"/>
    </row>
    <row r="377" spans="1:23" x14ac:dyDescent="0.2">
      <c r="A377" s="13" t="str">
        <f>_xlfn.CONCAT(VLOOKUP(Check[[#This Row],[סטטוס]],Sold,2,FALSE),IF(Check[[#This Row],[סטטוס]]="פנויה",IF(N377="גמר מלא סטנדרט",".GMS",IF(N377="גמר מלא טיוב חומרים",".GMC",IF(N377="גמר מינימלי",".GM",IF(N377="דירת שיווק",".DS","")))),""),".",VLOOKUP(Check[[#This Row],[טיפוס]],Tipus[],5,FALSE),".",VLOOKUP(Check[[#This Row],[מגדל]],Tower,2,FALSE),".Ap.",Check[[#This Row],[מספר דירה]])</f>
        <v>S.S.2D.TN.Ap.38</v>
      </c>
      <c r="B377" s="13" t="str">
        <f>_xlfn.CONCAT(VLOOKUP(Check[[#This Row],[סטטוס]],Sold,2,FALSE),IF(Check[[#This Row],[סטטוס]]="פנויה",IF(N377="גמר מלא סטנדרט",".GMS",IF(N377="גמר מלא טיוב חומרים",".GMC",IF(N377="גמר מינימלי",".GM",IF(N377="דירת שיווק",".DS","")))),""),IF(M377="זומן לטרום",".ZLT",IF(M377="טרום מסירה",".TM",IF(M377="טרום מסירה מהנדס",".TMM",IF(M377="מסירת חזקה",".MH",IF(M377="מסירת חזקה מהנדס",".MHM",""))))),".",VLOOKUP(Check[[#This Row],[טיפוס]],Tipus[],5,FALSE),".",VLOOKUP(Check[[#This Row],[מגדל]],Tower,2,FALSE),".Ap.",Check[[#This Row],[מספר דירה]])</f>
        <v>S.S.2D.TN.Ap.38</v>
      </c>
      <c r="C377" s="3" t="s">
        <v>56</v>
      </c>
      <c r="D377" s="3">
        <v>5</v>
      </c>
      <c r="E377" s="4">
        <v>38</v>
      </c>
      <c r="F377" s="3">
        <v>507</v>
      </c>
      <c r="G377" s="3" t="s">
        <v>10</v>
      </c>
      <c r="H377" s="3">
        <f>VLOOKUP(Check[[#This Row],[טיפוס]],Tipus[],2,FALSE)</f>
        <v>2</v>
      </c>
      <c r="I377" s="3" t="str">
        <f>VLOOKUP(Check[[#This Row],[טיפוס]],Tipus[],3,FALSE)</f>
        <v>סטנדרט</v>
      </c>
      <c r="J377" s="3" t="str">
        <f>VLOOKUP(Check[[#This Row],[טיפוס]],Tipus[],4,FALSE)</f>
        <v>C</v>
      </c>
      <c r="K377" s="3" t="str">
        <f>IF(Check[[#This Row],[סטטוס2]]="הולד","פנויה",Check[[#This Row],[סטטוס2]])</f>
        <v>מכורה</v>
      </c>
      <c r="L377" s="382" t="s">
        <v>130</v>
      </c>
      <c r="M377" s="382"/>
      <c r="N377" s="383"/>
      <c r="O377" s="383"/>
      <c r="P377" s="411"/>
      <c r="Q377" s="411"/>
      <c r="R377" s="383"/>
      <c r="S377" s="390">
        <v>44257</v>
      </c>
      <c r="T377" s="390" t="s">
        <v>1162</v>
      </c>
      <c r="U377" s="387"/>
      <c r="V377" s="387"/>
      <c r="W377" s="387"/>
    </row>
    <row r="378" spans="1:23" x14ac:dyDescent="0.2">
      <c r="A378" s="13" t="str">
        <f>_xlfn.CONCAT(VLOOKUP(Check[[#This Row],[סטטוס]],Sold,2,FALSE),IF(Check[[#This Row],[סטטוס]]="פנויה",IF(N378="גמר מלא סטנדרט",".GMS",IF(N378="גמר מלא טיוב חומרים",".GMC",IF(N378="גמר מינימלי",".GM",IF(N378="דירת שיווק",".DS","")))),""),".",VLOOKUP(Check[[#This Row],[טיפוס]],Tipus[],5,FALSE),".",VLOOKUP(Check[[#This Row],[מגדל]],Tower,2,FALSE),".Ap.",Check[[#This Row],[מספר דירה]])</f>
        <v>S.S.3A.TN.Ap.39</v>
      </c>
      <c r="B378" s="13" t="str">
        <f>_xlfn.CONCAT(VLOOKUP(Check[[#This Row],[סטטוס]],Sold,2,FALSE),IF(Check[[#This Row],[סטטוס]]="פנויה",IF(N378="גמר מלא סטנדרט",".GMS",IF(N378="גמר מלא טיוב חומרים",".GMC",IF(N378="גמר מינימלי",".GM",IF(N378="דירת שיווק",".DS","")))),""),IF(M378="זומן לטרום",".ZLT",IF(M378="טרום מסירה",".TM",IF(M378="טרום מסירה מהנדס",".TMM",IF(M378="מסירת חזקה",".MH",IF(M378="מסירת חזקה מהנדס",".MHM",""))))),".",VLOOKUP(Check[[#This Row],[טיפוס]],Tipus[],5,FALSE),".",VLOOKUP(Check[[#This Row],[מגדל]],Tower,2,FALSE),".Ap.",Check[[#This Row],[מספר דירה]])</f>
        <v>S.S.3A.TN.Ap.39</v>
      </c>
      <c r="C378" s="3" t="s">
        <v>56</v>
      </c>
      <c r="D378" s="3">
        <v>6</v>
      </c>
      <c r="E378" s="4">
        <v>39</v>
      </c>
      <c r="F378" s="3">
        <v>608</v>
      </c>
      <c r="G378" s="3" t="s">
        <v>9</v>
      </c>
      <c r="H378" s="3">
        <f>VLOOKUP(Check[[#This Row],[טיפוס]],Tipus[],2,FALSE)</f>
        <v>3</v>
      </c>
      <c r="I378" s="3" t="str">
        <f>VLOOKUP(Check[[#This Row],[טיפוס]],Tipus[],3,FALSE)</f>
        <v>סטנדרט</v>
      </c>
      <c r="J378" s="3" t="str">
        <f>VLOOKUP(Check[[#This Row],[טיפוס]],Tipus[],4,FALSE)</f>
        <v>D</v>
      </c>
      <c r="K378" s="3" t="str">
        <f>IF(Check[[#This Row],[סטטוס2]]="הולד","פנויה",Check[[#This Row],[סטטוס2]])</f>
        <v>מכורה</v>
      </c>
      <c r="L378" s="382" t="s">
        <v>130</v>
      </c>
      <c r="M378" s="382"/>
      <c r="N378" s="383"/>
      <c r="O378" s="383"/>
      <c r="P378" s="411"/>
      <c r="Q378" s="411"/>
      <c r="R378" s="383"/>
      <c r="S378" s="390">
        <v>44402</v>
      </c>
      <c r="T378" s="390" t="s">
        <v>1163</v>
      </c>
      <c r="U378" s="387" t="s">
        <v>574</v>
      </c>
      <c r="V378" s="387"/>
      <c r="W378" s="387"/>
    </row>
    <row r="379" spans="1:23" x14ac:dyDescent="0.2">
      <c r="A379" s="13" t="str">
        <f>_xlfn.CONCAT(VLOOKUP(Check[[#This Row],[סטטוס]],Sold,2,FALSE),IF(Check[[#This Row],[סטטוס]]="פנויה",IF(N379="גמר מלא סטנדרט",".GMS",IF(N379="גמר מלא טיוב חומרים",".GMC",IF(N379="גמר מינימלי",".GM",IF(N379="דירת שיווק",".DS","")))),""),".",VLOOKUP(Check[[#This Row],[טיפוס]],Tipus[],5,FALSE),".",VLOOKUP(Check[[#This Row],[מגדל]],Tower,2,FALSE),".Ap.",Check[[#This Row],[מספר דירה]])</f>
        <v>S.S.2C.TN.Ap.40</v>
      </c>
      <c r="B379" s="13" t="str">
        <f>_xlfn.CONCAT(VLOOKUP(Check[[#This Row],[סטטוס]],Sold,2,FALSE),IF(Check[[#This Row],[סטטוס]]="פנויה",IF(N379="גמר מלא סטנדרט",".GMS",IF(N379="גמר מלא טיוב חומרים",".GMC",IF(N379="גמר מינימלי",".GM",IF(N379="דירת שיווק",".DS","")))),""),IF(M379="זומן לטרום",".ZLT",IF(M379="טרום מסירה",".TM",IF(M379="טרום מסירה מהנדס",".TMM",IF(M379="מסירת חזקה",".MH",IF(M379="מסירת חזקה מהנדס",".MHM",""))))),".",VLOOKUP(Check[[#This Row],[טיפוס]],Tipus[],5,FALSE),".",VLOOKUP(Check[[#This Row],[מגדל]],Tower,2,FALSE),".Ap.",Check[[#This Row],[מספר דירה]])</f>
        <v>S.S.2C.TN.Ap.40</v>
      </c>
      <c r="C379" s="3" t="s">
        <v>56</v>
      </c>
      <c r="D379" s="3">
        <v>6</v>
      </c>
      <c r="E379" s="4">
        <v>40</v>
      </c>
      <c r="F379" s="3">
        <v>609</v>
      </c>
      <c r="G379" s="3" t="s">
        <v>8</v>
      </c>
      <c r="H379" s="3">
        <f>VLOOKUP(Check[[#This Row],[טיפוס]],Tipus[],2,FALSE)</f>
        <v>2</v>
      </c>
      <c r="I379" s="3" t="str">
        <f>VLOOKUP(Check[[#This Row],[טיפוס]],Tipus[],3,FALSE)</f>
        <v>סטנדרט</v>
      </c>
      <c r="J379" s="3" t="str">
        <f>VLOOKUP(Check[[#This Row],[טיפוס]],Tipus[],4,FALSE)</f>
        <v>E</v>
      </c>
      <c r="K379" s="3" t="str">
        <f>IF(Check[[#This Row],[סטטוס2]]="הולד","פנויה",Check[[#This Row],[סטטוס2]])</f>
        <v>מכורה</v>
      </c>
      <c r="L379" s="382" t="s">
        <v>130</v>
      </c>
      <c r="M379" s="382"/>
      <c r="N379" s="383"/>
      <c r="O379" s="383"/>
      <c r="P379" s="411"/>
      <c r="Q379" s="411"/>
      <c r="R379" s="383"/>
      <c r="S379" s="390">
        <v>44245</v>
      </c>
      <c r="T379" s="390" t="s">
        <v>1339</v>
      </c>
      <c r="U379" s="387" t="s">
        <v>575</v>
      </c>
      <c r="V379" s="387"/>
      <c r="W379" s="387"/>
    </row>
    <row r="380" spans="1:23" x14ac:dyDescent="0.2">
      <c r="A380" s="13" t="str">
        <f>_xlfn.CONCAT(VLOOKUP(Check[[#This Row],[סטטוס]],Sold,2,FALSE),IF(Check[[#This Row],[סטטוס]]="פנויה",IF(N380="גמר מלא סטנדרט",".GMS",IF(N380="גמר מלא טיוב חומרים",".GMC",IF(N380="גמר מינימלי",".GM",IF(N380="דירת שיווק",".DS","")))),""),".",VLOOKUP(Check[[#This Row],[טיפוס]],Tipus[],5,FALSE),".",VLOOKUP(Check[[#This Row],[מגדל]],Tower,2,FALSE),".Ap.",Check[[#This Row],[מספר דירה]])</f>
        <v>S.S.2B.TN.Ap.41</v>
      </c>
      <c r="B380" s="13" t="str">
        <f>_xlfn.CONCAT(VLOOKUP(Check[[#This Row],[סטטוס]],Sold,2,FALSE),IF(Check[[#This Row],[סטטוס]]="פנויה",IF(N380="גמר מלא סטנדרט",".GMS",IF(N380="גמר מלא טיוב חומרים",".GMC",IF(N380="גמר מינימלי",".GM",IF(N380="דירת שיווק",".DS","")))),""),IF(M380="זומן לטרום",".ZLT",IF(M380="טרום מסירה",".TM",IF(M380="טרום מסירה מהנדס",".TMM",IF(M380="מסירת חזקה",".MH",IF(M380="מסירת חזקה מהנדס",".MHM",""))))),".",VLOOKUP(Check[[#This Row],[טיפוס]],Tipus[],5,FALSE),".",VLOOKUP(Check[[#This Row],[מגדל]],Tower,2,FALSE),".Ap.",Check[[#This Row],[מספר דירה]])</f>
        <v>S.S.2B.TN.Ap.41</v>
      </c>
      <c r="C380" s="3" t="s">
        <v>56</v>
      </c>
      <c r="D380" s="3">
        <v>6</v>
      </c>
      <c r="E380" s="4">
        <v>41</v>
      </c>
      <c r="F380" s="3">
        <v>610</v>
      </c>
      <c r="G380" s="5" t="s">
        <v>7</v>
      </c>
      <c r="H380" s="5">
        <f>VLOOKUP(Check[[#This Row],[טיפוס]],Tipus[],2,FALSE)</f>
        <v>2</v>
      </c>
      <c r="I380" s="5" t="str">
        <f>VLOOKUP(Check[[#This Row],[טיפוס]],Tipus[],3,FALSE)</f>
        <v>סטנדרט</v>
      </c>
      <c r="J380" s="5" t="str">
        <f>VLOOKUP(Check[[#This Row],[טיפוס]],Tipus[],4,FALSE)</f>
        <v>F</v>
      </c>
      <c r="K380" s="3" t="str">
        <f>IF(Check[[#This Row],[סטטוס2]]="הולד","פנויה",Check[[#This Row],[סטטוס2]])</f>
        <v>מכורה</v>
      </c>
      <c r="L380" s="382" t="s">
        <v>130</v>
      </c>
      <c r="M380" s="382"/>
      <c r="N380" s="383"/>
      <c r="O380" s="383"/>
      <c r="P380" s="411"/>
      <c r="Q380" s="411"/>
      <c r="R380" s="383"/>
      <c r="S380" s="390">
        <v>44245</v>
      </c>
      <c r="T380" s="390" t="s">
        <v>1164</v>
      </c>
      <c r="U380" s="387" t="s">
        <v>576</v>
      </c>
      <c r="V380" s="387"/>
      <c r="W380" s="387"/>
    </row>
    <row r="381" spans="1:23" x14ac:dyDescent="0.2">
      <c r="A381" s="13" t="str">
        <f>_xlfn.CONCAT(VLOOKUP(Check[[#This Row],[סטטוס]],Sold,2,FALSE),IF(Check[[#This Row],[סטטוס]]="פנויה",IF(N381="גמר מלא סטנדרט",".GMS",IF(N381="גמר מלא טיוב חומרים",".GMC",IF(N381="גמר מינימלי",".GM",IF(N381="דירת שיווק",".DS","")))),""),".",VLOOKUP(Check[[#This Row],[טיפוס]],Tipus[],5,FALSE),".",VLOOKUP(Check[[#This Row],[מגדל]],Tower,2,FALSE),".Ap.",Check[[#This Row],[מספר דירה]])</f>
        <v>S.S.2A.TN.Ap.42</v>
      </c>
      <c r="B381" s="13" t="str">
        <f>_xlfn.CONCAT(VLOOKUP(Check[[#This Row],[סטטוס]],Sold,2,FALSE),IF(Check[[#This Row],[סטטוס]]="פנויה",IF(N381="גמר מלא סטנדרט",".GMS",IF(N381="גמר מלא טיוב חומרים",".GMC",IF(N381="גמר מינימלי",".GM",IF(N381="דירת שיווק",".DS","")))),""),IF(M381="זומן לטרום",".ZLT",IF(M381="טרום מסירה",".TM",IF(M381="טרום מסירה מהנדס",".TMM",IF(M381="מסירת חזקה",".MH",IF(M381="מסירת חזקה מהנדס",".MHM",""))))),".",VLOOKUP(Check[[#This Row],[טיפוס]],Tipus[],5,FALSE),".",VLOOKUP(Check[[#This Row],[מגדל]],Tower,2,FALSE),".Ap.",Check[[#This Row],[מספר דירה]])</f>
        <v>S.S.2A.TN.Ap.42</v>
      </c>
      <c r="C381" s="3" t="s">
        <v>56</v>
      </c>
      <c r="D381" s="3">
        <v>6</v>
      </c>
      <c r="E381" s="4">
        <v>42</v>
      </c>
      <c r="F381" s="3">
        <v>601</v>
      </c>
      <c r="G381" s="5" t="s">
        <v>6</v>
      </c>
      <c r="H381" s="5">
        <f>VLOOKUP(Check[[#This Row],[טיפוס]],Tipus[],2,FALSE)</f>
        <v>2</v>
      </c>
      <c r="I381" s="5" t="str">
        <f>VLOOKUP(Check[[#This Row],[טיפוס]],Tipus[],3,FALSE)</f>
        <v>סטנדרט</v>
      </c>
      <c r="J381" s="5" t="str">
        <f>VLOOKUP(Check[[#This Row],[טיפוס]],Tipus[],4,FALSE)</f>
        <v>G</v>
      </c>
      <c r="K381" s="3" t="str">
        <f>IF(Check[[#This Row],[סטטוס2]]="הולד","פנויה",Check[[#This Row],[סטטוס2]])</f>
        <v>מכורה</v>
      </c>
      <c r="L381" s="382" t="s">
        <v>130</v>
      </c>
      <c r="M381" s="382"/>
      <c r="N381" s="383"/>
      <c r="O381" s="383"/>
      <c r="P381" s="411"/>
      <c r="Q381" s="411"/>
      <c r="R381" s="383"/>
      <c r="S381" s="390">
        <v>44235</v>
      </c>
      <c r="T381" s="390" t="s">
        <v>1340</v>
      </c>
      <c r="U381" s="387" t="s">
        <v>577</v>
      </c>
      <c r="V381" s="387"/>
      <c r="W381" s="387"/>
    </row>
    <row r="382" spans="1:23" x14ac:dyDescent="0.2">
      <c r="A382" s="13" t="str">
        <f>_xlfn.CONCAT(VLOOKUP(Check[[#This Row],[סטטוס]],Sold,2,FALSE),IF(Check[[#This Row],[סטטוס]]="פנויה",IF(N382="גמר מלא סטנדרט",".GMS",IF(N382="גמר מלא טיוב חומרים",".GMC",IF(N382="גמר מינימלי",".GM",IF(N382="דירת שיווק",".DS","")))),""),".",VLOOKUP(Check[[#This Row],[טיפוס]],Tipus[],5,FALSE),".",VLOOKUP(Check[[#This Row],[מגדל]],Tower,2,FALSE),".Ap.",Check[[#This Row],[מספר דירה]])</f>
        <v>S.S.4B.TN.Ap.43</v>
      </c>
      <c r="B382" s="13" t="str">
        <f>_xlfn.CONCAT(VLOOKUP(Check[[#This Row],[סטטוס]],Sold,2,FALSE),IF(Check[[#This Row],[סטטוס]]="פנויה",IF(N382="גמר מלא סטנדרט",".GMS",IF(N382="גמר מלא טיוב חומרים",".GMC",IF(N382="גמר מינימלי",".GM",IF(N382="דירת שיווק",".DS","")))),""),IF(M382="זומן לטרום",".ZLT",IF(M382="טרום מסירה",".TM",IF(M382="טרום מסירה מהנדס",".TMM",IF(M382="מסירת חזקה",".MH",IF(M382="מסירת חזקה מהנדס",".MHM",""))))),".",VLOOKUP(Check[[#This Row],[טיפוס]],Tipus[],5,FALSE),".",VLOOKUP(Check[[#This Row],[מגדל]],Tower,2,FALSE),".Ap.",Check[[#This Row],[מספר דירה]])</f>
        <v>S.S.4B.TN.Ap.43</v>
      </c>
      <c r="C382" s="3" t="s">
        <v>56</v>
      </c>
      <c r="D382" s="3">
        <v>6</v>
      </c>
      <c r="E382" s="4">
        <v>43</v>
      </c>
      <c r="F382" s="3">
        <v>602</v>
      </c>
      <c r="G382" s="5" t="s">
        <v>16</v>
      </c>
      <c r="H382" s="5">
        <f>VLOOKUP(Check[[#This Row],[טיפוס]],Tipus[],2,FALSE)</f>
        <v>4</v>
      </c>
      <c r="I382" s="5" t="str">
        <f>VLOOKUP(Check[[#This Row],[טיפוס]],Tipus[],3,FALSE)</f>
        <v>סטנדרט</v>
      </c>
      <c r="J382" s="5" t="str">
        <f>VLOOKUP(Check[[#This Row],[טיפוס]],Tipus[],4,FALSE)</f>
        <v>H</v>
      </c>
      <c r="K382" s="3" t="str">
        <f>IF(Check[[#This Row],[סטטוס2]]="הולד","פנויה",Check[[#This Row],[סטטוס2]])</f>
        <v>מכורה</v>
      </c>
      <c r="L382" s="382" t="s">
        <v>130</v>
      </c>
      <c r="M382" s="382"/>
      <c r="N382" s="383"/>
      <c r="O382" s="383"/>
      <c r="P382" s="411"/>
      <c r="Q382" s="411"/>
      <c r="R382" s="383"/>
      <c r="S382" s="390">
        <v>44342</v>
      </c>
      <c r="T382" s="390" t="s">
        <v>1341</v>
      </c>
      <c r="U382" s="387" t="s">
        <v>578</v>
      </c>
      <c r="V382" s="387"/>
      <c r="W382" s="387"/>
    </row>
    <row r="383" spans="1:23" x14ac:dyDescent="0.2">
      <c r="A383" s="13" t="str">
        <f>_xlfn.CONCAT(VLOOKUP(Check[[#This Row],[סטטוס]],Sold,2,FALSE),IF(Check[[#This Row],[סטטוס]]="פנויה",IF(N383="גמר מלא סטנדרט",".GMS",IF(N383="גמר מלא טיוב חומרים",".GMC",IF(N383="גמר מינימלי",".GM",IF(N383="דירת שיווק",".DS","")))),""),".",VLOOKUP(Check[[#This Row],[טיפוס]],Tipus[],5,FALSE),".",VLOOKUP(Check[[#This Row],[מגדל]],Tower,2,FALSE),".Ap.",Check[[#This Row],[מספר דירה]])</f>
        <v>S.S.2G.TN.Ap.44</v>
      </c>
      <c r="B383" s="13" t="str">
        <f>_xlfn.CONCAT(VLOOKUP(Check[[#This Row],[סטטוס]],Sold,2,FALSE),IF(Check[[#This Row],[סטטוס]]="פנויה",IF(N383="גמר מלא סטנדרט",".GMS",IF(N383="גמר מלא טיוב חומרים",".GMC",IF(N383="גמר מינימלי",".GM",IF(N383="דירת שיווק",".DS","")))),""),IF(M383="זומן לטרום",".ZLT",IF(M383="טרום מסירה",".TM",IF(M383="טרום מסירה מהנדס",".TMM",IF(M383="מסירת חזקה",".MH",IF(M383="מסירת חזקה מהנדס",".MHM",""))))),".",VLOOKUP(Check[[#This Row],[טיפוס]],Tipus[],5,FALSE),".",VLOOKUP(Check[[#This Row],[מגדל]],Tower,2,FALSE),".Ap.",Check[[#This Row],[מספר דירה]])</f>
        <v>S.S.2G.TN.Ap.44</v>
      </c>
      <c r="C383" s="3" t="s">
        <v>56</v>
      </c>
      <c r="D383" s="3">
        <v>6</v>
      </c>
      <c r="E383" s="4">
        <v>44</v>
      </c>
      <c r="F383" s="3">
        <v>603</v>
      </c>
      <c r="G383" s="3" t="s">
        <v>15</v>
      </c>
      <c r="H383" s="3">
        <f>VLOOKUP(Check[[#This Row],[טיפוס]],Tipus[],2,FALSE)</f>
        <v>2</v>
      </c>
      <c r="I383" s="3" t="str">
        <f>VLOOKUP(Check[[#This Row],[טיפוס]],Tipus[],3,FALSE)</f>
        <v>סטנדרט</v>
      </c>
      <c r="J383" s="3" t="str">
        <f>VLOOKUP(Check[[#This Row],[טיפוס]],Tipus[],4,FALSE)</f>
        <v>I</v>
      </c>
      <c r="K383" s="3" t="str">
        <f>IF(Check[[#This Row],[סטטוס2]]="הולד","פנויה",Check[[#This Row],[סטטוס2]])</f>
        <v>מכורה</v>
      </c>
      <c r="L383" s="382" t="s">
        <v>130</v>
      </c>
      <c r="M383" s="382"/>
      <c r="N383" s="383"/>
      <c r="O383" s="383"/>
      <c r="P383" s="411"/>
      <c r="Q383" s="411"/>
      <c r="R383" s="383"/>
      <c r="S383" s="390">
        <v>44221</v>
      </c>
      <c r="T383" s="390" t="s">
        <v>1165</v>
      </c>
      <c r="U383" s="387"/>
      <c r="V383" s="387"/>
      <c r="W383" s="387"/>
    </row>
    <row r="384" spans="1:23" x14ac:dyDescent="0.2">
      <c r="A384" s="13" t="str">
        <f>_xlfn.CONCAT(VLOOKUP(Check[[#This Row],[סטטוס]],Sold,2,FALSE),IF(Check[[#This Row],[סטטוס]]="פנויה",IF(N384="גמר מלא סטנדרט",".GMS",IF(N384="גמר מלא טיוב חומרים",".GMC",IF(N384="גמר מינימלי",".GM",IF(N384="דירת שיווק",".DS","")))),""),".",VLOOKUP(Check[[#This Row],[טיפוס]],Tipus[],5,FALSE),".",VLOOKUP(Check[[#This Row],[מגדל]],Tower,2,FALSE),".Ap.",Check[[#This Row],[מספר דירה]])</f>
        <v>S.S.4A.TN.Ap.45</v>
      </c>
      <c r="B384" s="13" t="str">
        <f>_xlfn.CONCAT(VLOOKUP(Check[[#This Row],[סטטוס]],Sold,2,FALSE),IF(Check[[#This Row],[סטטוס]]="פנויה",IF(N384="גמר מלא סטנדרט",".GMS",IF(N384="גמר מלא טיוב חומרים",".GMC",IF(N384="גמר מינימלי",".GM",IF(N384="דירת שיווק",".DS","")))),""),IF(M384="זומן לטרום",".ZLT",IF(M384="טרום מסירה",".TM",IF(M384="טרום מסירה מהנדס",".TMM",IF(M384="מסירת חזקה",".MH",IF(M384="מסירת חזקה מהנדס",".MHM",""))))),".",VLOOKUP(Check[[#This Row],[טיפוס]],Tipus[],5,FALSE),".",VLOOKUP(Check[[#This Row],[מגדל]],Tower,2,FALSE),".Ap.",Check[[#This Row],[מספר דירה]])</f>
        <v>S.S.4A.TN.Ap.45</v>
      </c>
      <c r="C384" s="3" t="s">
        <v>56</v>
      </c>
      <c r="D384" s="3">
        <v>6</v>
      </c>
      <c r="E384" s="4">
        <v>45</v>
      </c>
      <c r="F384" s="3">
        <v>604</v>
      </c>
      <c r="G384" s="5" t="s">
        <v>14</v>
      </c>
      <c r="H384" s="5">
        <f>VLOOKUP(Check[[#This Row],[טיפוס]],Tipus[],2,FALSE)</f>
        <v>4</v>
      </c>
      <c r="I384" s="5" t="str">
        <f>VLOOKUP(Check[[#This Row],[טיפוס]],Tipus[],3,FALSE)</f>
        <v>סטנדרט</v>
      </c>
      <c r="J384" s="5" t="str">
        <f>VLOOKUP(Check[[#This Row],[טיפוס]],Tipus[],4,FALSE)</f>
        <v>J</v>
      </c>
      <c r="K384" s="3" t="str">
        <f>IF(Check[[#This Row],[סטטוס2]]="הולד","פנויה",Check[[#This Row],[סטטוס2]])</f>
        <v>מכורה</v>
      </c>
      <c r="L384" s="382" t="s">
        <v>130</v>
      </c>
      <c r="M384" s="382"/>
      <c r="N384" s="383"/>
      <c r="O384" s="383"/>
      <c r="P384" s="411"/>
      <c r="Q384" s="411"/>
      <c r="R384" s="383"/>
      <c r="S384" s="390">
        <v>44241</v>
      </c>
      <c r="T384" s="390" t="s">
        <v>1166</v>
      </c>
      <c r="U384" s="387" t="s">
        <v>579</v>
      </c>
      <c r="V384" s="387"/>
      <c r="W384" s="387"/>
    </row>
    <row r="385" spans="1:23" x14ac:dyDescent="0.2">
      <c r="A385" s="13" t="str">
        <f>_xlfn.CONCAT(VLOOKUP(Check[[#This Row],[סטטוס]],Sold,2,FALSE),IF(Check[[#This Row],[סטטוס]]="פנויה",IF(N385="גמר מלא סטנדרט",".GMS",IF(N385="גמר מלא טיוב חומרים",".GMC",IF(N385="גמר מינימלי",".GM",IF(N385="דירת שיווק",".DS","")))),""),".",VLOOKUP(Check[[#This Row],[טיפוס]],Tipus[],5,FALSE),".",VLOOKUP(Check[[#This Row],[מגדל]],Tower,2,FALSE),".Ap.",Check[[#This Row],[מספר דירה]])</f>
        <v>S.S.2F.TN.Ap.46</v>
      </c>
      <c r="B385" s="13" t="str">
        <f>_xlfn.CONCAT(VLOOKUP(Check[[#This Row],[סטטוס]],Sold,2,FALSE),IF(Check[[#This Row],[סטטוס]]="פנויה",IF(N385="גמר מלא סטנדרט",".GMS",IF(N385="גמר מלא טיוב חומרים",".GMC",IF(N385="גמר מינימלי",".GM",IF(N385="דירת שיווק",".DS","")))),""),IF(M385="זומן לטרום",".ZLT",IF(M385="טרום מסירה",".TM",IF(M385="טרום מסירה מהנדס",".TMM",IF(M385="מסירת חזקה",".MH",IF(M385="מסירת חזקה מהנדס",".MHM",""))))),".",VLOOKUP(Check[[#This Row],[טיפוס]],Tipus[],5,FALSE),".",VLOOKUP(Check[[#This Row],[מגדל]],Tower,2,FALSE),".Ap.",Check[[#This Row],[מספר דירה]])</f>
        <v>S.S.2F.TN.Ap.46</v>
      </c>
      <c r="C385" s="3" t="s">
        <v>56</v>
      </c>
      <c r="D385" s="3">
        <v>6</v>
      </c>
      <c r="E385" s="4">
        <v>46</v>
      </c>
      <c r="F385" s="3">
        <v>605</v>
      </c>
      <c r="G385" s="5" t="s">
        <v>12</v>
      </c>
      <c r="H385" s="5">
        <f>VLOOKUP(Check[[#This Row],[טיפוס]],Tipus[],2,FALSE)</f>
        <v>2</v>
      </c>
      <c r="I385" s="5" t="str">
        <f>VLOOKUP(Check[[#This Row],[טיפוס]],Tipus[],3,FALSE)</f>
        <v>סטנדרט</v>
      </c>
      <c r="J385" s="5" t="str">
        <f>VLOOKUP(Check[[#This Row],[טיפוס]],Tipus[],4,FALSE)</f>
        <v>A</v>
      </c>
      <c r="K385" s="3" t="str">
        <f>IF(Check[[#This Row],[סטטוס2]]="הולד","פנויה",Check[[#This Row],[סטטוס2]])</f>
        <v>מכורה</v>
      </c>
      <c r="L385" s="382" t="s">
        <v>130</v>
      </c>
      <c r="M385" s="382"/>
      <c r="N385" s="383"/>
      <c r="O385" s="383"/>
      <c r="P385" s="411"/>
      <c r="Q385" s="411"/>
      <c r="R385" s="383"/>
      <c r="S385" s="390">
        <v>44223</v>
      </c>
      <c r="T385" s="390" t="s">
        <v>1167</v>
      </c>
      <c r="U385" s="387" t="s">
        <v>580</v>
      </c>
      <c r="V385" s="387"/>
      <c r="W385" s="387"/>
    </row>
    <row r="386" spans="1:23" x14ac:dyDescent="0.2">
      <c r="A386" s="13" t="str">
        <f>_xlfn.CONCAT(VLOOKUP(Check[[#This Row],[סטטוס]],Sold,2,FALSE),IF(Check[[#This Row],[סטטוס]]="פנויה",IF(N386="גמר מלא סטנדרט",".GMS",IF(N386="גמר מלא טיוב חומרים",".GMC",IF(N386="גמר מינימלי",".GM",IF(N386="דירת שיווק",".DS","")))),""),".",VLOOKUP(Check[[#This Row],[טיפוס]],Tipus[],5,FALSE),".",VLOOKUP(Check[[#This Row],[מגדל]],Tower,2,FALSE),".Ap.",Check[[#This Row],[מספר דירה]])</f>
        <v>S.S.2E.TN.Ap.47</v>
      </c>
      <c r="B386" s="13" t="str">
        <f>_xlfn.CONCAT(VLOOKUP(Check[[#This Row],[סטטוס]],Sold,2,FALSE),IF(Check[[#This Row],[סטטוס]]="פנויה",IF(N386="גמר מלא סטנדרט",".GMS",IF(N386="גמר מלא טיוב חומרים",".GMC",IF(N386="גמר מינימלי",".GM",IF(N386="דירת שיווק",".DS","")))),""),IF(M386="זומן לטרום",".ZLT",IF(M386="טרום מסירה",".TM",IF(M386="טרום מסירה מהנדס",".TMM",IF(M386="מסירת חזקה",".MH",IF(M386="מסירת חזקה מהנדס",".MHM",""))))),".",VLOOKUP(Check[[#This Row],[טיפוס]],Tipus[],5,FALSE),".",VLOOKUP(Check[[#This Row],[מגדל]],Tower,2,FALSE),".Ap.",Check[[#This Row],[מספר דירה]])</f>
        <v>S.S.2E.TN.Ap.47</v>
      </c>
      <c r="C386" s="3" t="s">
        <v>56</v>
      </c>
      <c r="D386" s="3">
        <v>6</v>
      </c>
      <c r="E386" s="4">
        <v>47</v>
      </c>
      <c r="F386" s="3">
        <v>606</v>
      </c>
      <c r="G386" s="5" t="s">
        <v>11</v>
      </c>
      <c r="H386" s="5">
        <f>VLOOKUP(Check[[#This Row],[טיפוס]],Tipus[],2,FALSE)</f>
        <v>2</v>
      </c>
      <c r="I386" s="5" t="str">
        <f>VLOOKUP(Check[[#This Row],[טיפוס]],Tipus[],3,FALSE)</f>
        <v>סטנדרט</v>
      </c>
      <c r="J386" s="5" t="str">
        <f>VLOOKUP(Check[[#This Row],[טיפוס]],Tipus[],4,FALSE)</f>
        <v>B</v>
      </c>
      <c r="K386" s="3" t="str">
        <f>IF(Check[[#This Row],[סטטוס2]]="הולד","פנויה",Check[[#This Row],[סטטוס2]])</f>
        <v>מכורה</v>
      </c>
      <c r="L386" s="382" t="s">
        <v>130</v>
      </c>
      <c r="M386" s="382"/>
      <c r="N386" s="383"/>
      <c r="O386" s="383"/>
      <c r="P386" s="411"/>
      <c r="Q386" s="411"/>
      <c r="R386" s="383"/>
      <c r="S386" s="390">
        <v>44229</v>
      </c>
      <c r="T386" s="390" t="s">
        <v>1342</v>
      </c>
      <c r="U386" s="387" t="s">
        <v>581</v>
      </c>
      <c r="V386" s="387"/>
      <c r="W386" s="387"/>
    </row>
    <row r="387" spans="1:23" x14ac:dyDescent="0.2">
      <c r="A387" s="13" t="str">
        <f>_xlfn.CONCAT(VLOOKUP(Check[[#This Row],[סטטוס]],Sold,2,FALSE),IF(Check[[#This Row],[סטטוס]]="פנויה",IF(N387="גמר מלא סטנדרט",".GMS",IF(N387="גמר מלא טיוב חומרים",".GMC",IF(N387="גמר מינימלי",".GM",IF(N387="דירת שיווק",".DS","")))),""),".",VLOOKUP(Check[[#This Row],[טיפוס]],Tipus[],5,FALSE),".",VLOOKUP(Check[[#This Row],[מגדל]],Tower,2,FALSE),".Ap.",Check[[#This Row],[מספר דירה]])</f>
        <v>S.S.2D.TN.Ap.48</v>
      </c>
      <c r="B387" s="13" t="str">
        <f>_xlfn.CONCAT(VLOOKUP(Check[[#This Row],[סטטוס]],Sold,2,FALSE),IF(Check[[#This Row],[סטטוס]]="פנויה",IF(N387="גמר מלא סטנדרט",".GMS",IF(N387="גמר מלא טיוב חומרים",".GMC",IF(N387="גמר מינימלי",".GM",IF(N387="דירת שיווק",".DS","")))),""),IF(M387="זומן לטרום",".ZLT",IF(M387="טרום מסירה",".TM",IF(M387="טרום מסירה מהנדס",".TMM",IF(M387="מסירת חזקה",".MH",IF(M387="מסירת חזקה מהנדס",".MHM",""))))),".",VLOOKUP(Check[[#This Row],[טיפוס]],Tipus[],5,FALSE),".",VLOOKUP(Check[[#This Row],[מגדל]],Tower,2,FALSE),".Ap.",Check[[#This Row],[מספר דירה]])</f>
        <v>S.S.2D.TN.Ap.48</v>
      </c>
      <c r="C387" s="3" t="s">
        <v>56</v>
      </c>
      <c r="D387" s="3">
        <v>6</v>
      </c>
      <c r="E387" s="4">
        <v>48</v>
      </c>
      <c r="F387" s="3">
        <v>607</v>
      </c>
      <c r="G387" s="3" t="s">
        <v>10</v>
      </c>
      <c r="H387" s="3">
        <f>VLOOKUP(Check[[#This Row],[טיפוס]],Tipus[],2,FALSE)</f>
        <v>2</v>
      </c>
      <c r="I387" s="3" t="str">
        <f>VLOOKUP(Check[[#This Row],[טיפוס]],Tipus[],3,FALSE)</f>
        <v>סטנדרט</v>
      </c>
      <c r="J387" s="3" t="str">
        <f>VLOOKUP(Check[[#This Row],[טיפוס]],Tipus[],4,FALSE)</f>
        <v>C</v>
      </c>
      <c r="K387" s="3" t="str">
        <f>IF(Check[[#This Row],[סטטוס2]]="הולד","פנויה",Check[[#This Row],[סטטוס2]])</f>
        <v>מכורה</v>
      </c>
      <c r="L387" s="382" t="s">
        <v>130</v>
      </c>
      <c r="M387" s="382"/>
      <c r="N387" s="383"/>
      <c r="O387" s="383"/>
      <c r="P387" s="411"/>
      <c r="Q387" s="411"/>
      <c r="R387" s="383"/>
      <c r="S387" s="390">
        <v>44382</v>
      </c>
      <c r="T387" s="390" t="s">
        <v>1343</v>
      </c>
      <c r="U387" s="387"/>
      <c r="V387" s="387"/>
      <c r="W387" s="387"/>
    </row>
    <row r="388" spans="1:23" x14ac:dyDescent="0.2">
      <c r="A388" s="13" t="str">
        <f>_xlfn.CONCAT(VLOOKUP(Check[[#This Row],[סטטוס]],Sold,2,FALSE),IF(Check[[#This Row],[סטטוס]]="פנויה",IF(N388="גמר מלא סטנדרט",".GMS",IF(N388="גמר מלא טיוב חומרים",".GMC",IF(N388="גמר מינימלי",".GM",IF(N388="דירת שיווק",".DS","")))),""),".",VLOOKUP(Check[[#This Row],[טיפוס]],Tipus[],5,FALSE),".",VLOOKUP(Check[[#This Row],[מגדל]],Tower,2,FALSE),".Ap.",Check[[#This Row],[מספר דירה]])</f>
        <v>S.S.3A.TN.Ap.49</v>
      </c>
      <c r="B388" s="13" t="str">
        <f>_xlfn.CONCAT(VLOOKUP(Check[[#This Row],[סטטוס]],Sold,2,FALSE),IF(Check[[#This Row],[סטטוס]]="פנויה",IF(N388="גמר מלא סטנדרט",".GMS",IF(N388="גמר מלא טיוב חומרים",".GMC",IF(N388="גמר מינימלי",".GM",IF(N388="דירת שיווק",".DS","")))),""),IF(M388="זומן לטרום",".ZLT",IF(M388="טרום מסירה",".TM",IF(M388="טרום מסירה מהנדס",".TMM",IF(M388="מסירת חזקה",".MH",IF(M388="מסירת חזקה מהנדס",".MHM",""))))),".",VLOOKUP(Check[[#This Row],[טיפוס]],Tipus[],5,FALSE),".",VLOOKUP(Check[[#This Row],[מגדל]],Tower,2,FALSE),".Ap.",Check[[#This Row],[מספר דירה]])</f>
        <v>S.S.3A.TN.Ap.49</v>
      </c>
      <c r="C388" s="3" t="s">
        <v>56</v>
      </c>
      <c r="D388" s="3">
        <v>7</v>
      </c>
      <c r="E388" s="4">
        <v>49</v>
      </c>
      <c r="F388" s="3">
        <v>708</v>
      </c>
      <c r="G388" s="3" t="s">
        <v>9</v>
      </c>
      <c r="H388" s="3">
        <f>VLOOKUP(Check[[#This Row],[טיפוס]],Tipus[],2,FALSE)</f>
        <v>3</v>
      </c>
      <c r="I388" s="3" t="str">
        <f>VLOOKUP(Check[[#This Row],[טיפוס]],Tipus[],3,FALSE)</f>
        <v>סטנדרט</v>
      </c>
      <c r="J388" s="3" t="str">
        <f>VLOOKUP(Check[[#This Row],[טיפוס]],Tipus[],4,FALSE)</f>
        <v>D</v>
      </c>
      <c r="K388" s="3" t="str">
        <f>IF(Check[[#This Row],[סטטוס2]]="הולד","פנויה",Check[[#This Row],[סטטוס2]])</f>
        <v>מכורה</v>
      </c>
      <c r="L388" s="382" t="s">
        <v>130</v>
      </c>
      <c r="M388" s="382"/>
      <c r="N388" s="383"/>
      <c r="O388" s="383"/>
      <c r="P388" s="411"/>
      <c r="Q388" s="411"/>
      <c r="R388" s="383"/>
      <c r="S388" s="390">
        <v>44214</v>
      </c>
      <c r="T388" s="390" t="s">
        <v>1168</v>
      </c>
      <c r="U388" s="387" t="s">
        <v>582</v>
      </c>
      <c r="V388" s="387"/>
      <c r="W388" s="387"/>
    </row>
    <row r="389" spans="1:23" x14ac:dyDescent="0.2">
      <c r="A389" s="13" t="str">
        <f>_xlfn.CONCAT(VLOOKUP(Check[[#This Row],[סטטוס]],Sold,2,FALSE),IF(Check[[#This Row],[סטטוס]]="פנויה",IF(N389="גמר מלא סטנדרט",".GMS",IF(N389="גמר מלא טיוב חומרים",".GMC",IF(N389="גמר מינימלי",".GM",IF(N389="דירת שיווק",".DS","")))),""),".",VLOOKUP(Check[[#This Row],[טיפוס]],Tipus[],5,FALSE),".",VLOOKUP(Check[[#This Row],[מגדל]],Tower,2,FALSE),".Ap.",Check[[#This Row],[מספר דירה]])</f>
        <v>S.S.2C.TN.Ap.50</v>
      </c>
      <c r="B389" s="13" t="str">
        <f>_xlfn.CONCAT(VLOOKUP(Check[[#This Row],[סטטוס]],Sold,2,FALSE),IF(Check[[#This Row],[סטטוס]]="פנויה",IF(N389="גמר מלא סטנדרט",".GMS",IF(N389="גמר מלא טיוב חומרים",".GMC",IF(N389="גמר מינימלי",".GM",IF(N389="דירת שיווק",".DS","")))),""),IF(M389="זומן לטרום",".ZLT",IF(M389="טרום מסירה",".TM",IF(M389="טרום מסירה מהנדס",".TMM",IF(M389="מסירת חזקה",".MH",IF(M389="מסירת חזקה מהנדס",".MHM",""))))),".",VLOOKUP(Check[[#This Row],[טיפוס]],Tipus[],5,FALSE),".",VLOOKUP(Check[[#This Row],[מגדל]],Tower,2,FALSE),".Ap.",Check[[#This Row],[מספר דירה]])</f>
        <v>S.S.2C.TN.Ap.50</v>
      </c>
      <c r="C389" s="3" t="s">
        <v>56</v>
      </c>
      <c r="D389" s="3">
        <v>7</v>
      </c>
      <c r="E389" s="4">
        <v>50</v>
      </c>
      <c r="F389" s="3">
        <v>709</v>
      </c>
      <c r="G389" s="3" t="s">
        <v>8</v>
      </c>
      <c r="H389" s="3">
        <f>VLOOKUP(Check[[#This Row],[טיפוס]],Tipus[],2,FALSE)</f>
        <v>2</v>
      </c>
      <c r="I389" s="3" t="str">
        <f>VLOOKUP(Check[[#This Row],[טיפוס]],Tipus[],3,FALSE)</f>
        <v>סטנדרט</v>
      </c>
      <c r="J389" s="3" t="str">
        <f>VLOOKUP(Check[[#This Row],[טיפוס]],Tipus[],4,FALSE)</f>
        <v>E</v>
      </c>
      <c r="K389" s="3" t="str">
        <f>IF(Check[[#This Row],[סטטוס2]]="הולד","פנויה",Check[[#This Row],[סטטוס2]])</f>
        <v>מכורה</v>
      </c>
      <c r="L389" s="382" t="s">
        <v>130</v>
      </c>
      <c r="M389" s="382"/>
      <c r="N389" s="383"/>
      <c r="O389" s="383"/>
      <c r="P389" s="411"/>
      <c r="Q389" s="411"/>
      <c r="R389" s="383"/>
      <c r="S389" s="390">
        <v>44214</v>
      </c>
      <c r="T389" s="390" t="s">
        <v>1169</v>
      </c>
      <c r="U389" s="387" t="s">
        <v>583</v>
      </c>
      <c r="V389" s="387"/>
      <c r="W389" s="387"/>
    </row>
    <row r="390" spans="1:23" x14ac:dyDescent="0.2">
      <c r="A390" s="13" t="str">
        <f>_xlfn.CONCAT(VLOOKUP(Check[[#This Row],[סטטוס]],Sold,2,FALSE),IF(Check[[#This Row],[סטטוס]]="פנויה",IF(N390="גמר מלא סטנדרט",".GMS",IF(N390="גמר מלא טיוב חומרים",".GMC",IF(N390="גמר מינימלי",".GM",IF(N390="דירת שיווק",".DS","")))),""),".",VLOOKUP(Check[[#This Row],[טיפוס]],Tipus[],5,FALSE),".",VLOOKUP(Check[[#This Row],[מגדל]],Tower,2,FALSE),".Ap.",Check[[#This Row],[מספר דירה]])</f>
        <v>S.S.2B.TN.Ap.51</v>
      </c>
      <c r="B390" s="13" t="str">
        <f>_xlfn.CONCAT(VLOOKUP(Check[[#This Row],[סטטוס]],Sold,2,FALSE),IF(Check[[#This Row],[סטטוס]]="פנויה",IF(N390="גמר מלא סטנדרט",".GMS",IF(N390="גמר מלא טיוב חומרים",".GMC",IF(N390="גמר מינימלי",".GM",IF(N390="דירת שיווק",".DS","")))),""),IF(M390="זומן לטרום",".ZLT",IF(M390="טרום מסירה",".TM",IF(M390="טרום מסירה מהנדס",".TMM",IF(M390="מסירת חזקה",".MH",IF(M390="מסירת חזקה מהנדס",".MHM",""))))),".",VLOOKUP(Check[[#This Row],[טיפוס]],Tipus[],5,FALSE),".",VLOOKUP(Check[[#This Row],[מגדל]],Tower,2,FALSE),".Ap.",Check[[#This Row],[מספר דירה]])</f>
        <v>S.S.2B.TN.Ap.51</v>
      </c>
      <c r="C390" s="3" t="s">
        <v>56</v>
      </c>
      <c r="D390" s="3">
        <v>7</v>
      </c>
      <c r="E390" s="4">
        <v>51</v>
      </c>
      <c r="F390" s="3">
        <v>710</v>
      </c>
      <c r="G390" s="5" t="s">
        <v>7</v>
      </c>
      <c r="H390" s="5">
        <f>VLOOKUP(Check[[#This Row],[טיפוס]],Tipus[],2,FALSE)</f>
        <v>2</v>
      </c>
      <c r="I390" s="5" t="str">
        <f>VLOOKUP(Check[[#This Row],[טיפוס]],Tipus[],3,FALSE)</f>
        <v>סטנדרט</v>
      </c>
      <c r="J390" s="5" t="str">
        <f>VLOOKUP(Check[[#This Row],[טיפוס]],Tipus[],4,FALSE)</f>
        <v>F</v>
      </c>
      <c r="K390" s="3" t="str">
        <f>IF(Check[[#This Row],[סטטוס2]]="הולד","פנויה",Check[[#This Row],[סטטוס2]])</f>
        <v>מכורה</v>
      </c>
      <c r="L390" s="382" t="s">
        <v>130</v>
      </c>
      <c r="M390" s="382"/>
      <c r="N390" s="383"/>
      <c r="O390" s="383"/>
      <c r="P390" s="411"/>
      <c r="Q390" s="411"/>
      <c r="R390" s="383"/>
      <c r="S390" s="390">
        <v>44248</v>
      </c>
      <c r="T390" s="390" t="s">
        <v>1170</v>
      </c>
      <c r="U390" s="387" t="s">
        <v>584</v>
      </c>
      <c r="V390" s="387"/>
      <c r="W390" s="387"/>
    </row>
    <row r="391" spans="1:23" x14ac:dyDescent="0.2">
      <c r="A391" s="13" t="str">
        <f>_xlfn.CONCAT(VLOOKUP(Check[[#This Row],[סטטוס]],Sold,2,FALSE),IF(Check[[#This Row],[סטטוס]]="פנויה",IF(N391="גמר מלא סטנדרט",".GMS",IF(N391="גמר מלא טיוב חומרים",".GMC",IF(N391="גמר מינימלי",".GM",IF(N391="דירת שיווק",".DS","")))),""),".",VLOOKUP(Check[[#This Row],[טיפוס]],Tipus[],5,FALSE),".",VLOOKUP(Check[[#This Row],[מגדל]],Tower,2,FALSE),".Ap.",Check[[#This Row],[מספר דירה]])</f>
        <v>S.S.2A.TN.Ap.52</v>
      </c>
      <c r="B391" s="13" t="str">
        <f>_xlfn.CONCAT(VLOOKUP(Check[[#This Row],[סטטוס]],Sold,2,FALSE),IF(Check[[#This Row],[סטטוס]]="פנויה",IF(N391="גמר מלא סטנדרט",".GMS",IF(N391="גמר מלא טיוב חומרים",".GMC",IF(N391="גמר מינימלי",".GM",IF(N391="דירת שיווק",".DS","")))),""),IF(M391="זומן לטרום",".ZLT",IF(M391="טרום מסירה",".TM",IF(M391="טרום מסירה מהנדס",".TMM",IF(M391="מסירת חזקה",".MH",IF(M391="מסירת חזקה מהנדס",".MHM",""))))),".",VLOOKUP(Check[[#This Row],[טיפוס]],Tipus[],5,FALSE),".",VLOOKUP(Check[[#This Row],[מגדל]],Tower,2,FALSE),".Ap.",Check[[#This Row],[מספר דירה]])</f>
        <v>S.S.2A.TN.Ap.52</v>
      </c>
      <c r="C391" s="3" t="s">
        <v>56</v>
      </c>
      <c r="D391" s="3">
        <v>7</v>
      </c>
      <c r="E391" s="4">
        <v>52</v>
      </c>
      <c r="F391" s="3">
        <v>701</v>
      </c>
      <c r="G391" s="5" t="s">
        <v>6</v>
      </c>
      <c r="H391" s="5">
        <f>VLOOKUP(Check[[#This Row],[טיפוס]],Tipus[],2,FALSE)</f>
        <v>2</v>
      </c>
      <c r="I391" s="5" t="str">
        <f>VLOOKUP(Check[[#This Row],[טיפוס]],Tipus[],3,FALSE)</f>
        <v>סטנדרט</v>
      </c>
      <c r="J391" s="5" t="str">
        <f>VLOOKUP(Check[[#This Row],[טיפוס]],Tipus[],4,FALSE)</f>
        <v>G</v>
      </c>
      <c r="K391" s="3" t="str">
        <f>IF(Check[[#This Row],[סטטוס2]]="הולד","פנויה",Check[[#This Row],[סטטוס2]])</f>
        <v>מכורה</v>
      </c>
      <c r="L391" s="382" t="s">
        <v>130</v>
      </c>
      <c r="M391" s="382"/>
      <c r="N391" s="383"/>
      <c r="O391" s="383"/>
      <c r="P391" s="411"/>
      <c r="Q391" s="411"/>
      <c r="R391" s="383"/>
      <c r="S391" s="390">
        <v>44224</v>
      </c>
      <c r="T391" s="390" t="s">
        <v>1153</v>
      </c>
      <c r="U391" s="387" t="s">
        <v>585</v>
      </c>
      <c r="V391" s="387"/>
      <c r="W391" s="387"/>
    </row>
    <row r="392" spans="1:23" x14ac:dyDescent="0.2">
      <c r="A392" s="13" t="str">
        <f>_xlfn.CONCAT(VLOOKUP(Check[[#This Row],[סטטוס]],Sold,2,FALSE),IF(Check[[#This Row],[סטטוס]]="פנויה",IF(N392="גמר מלא סטנדרט",".GMS",IF(N392="גמר מלא טיוב חומרים",".GMC",IF(N392="גמר מינימלי",".GM",IF(N392="דירת שיווק",".DS","")))),""),".",VLOOKUP(Check[[#This Row],[טיפוס]],Tipus[],5,FALSE),".",VLOOKUP(Check[[#This Row],[מגדל]],Tower,2,FALSE),".Ap.",Check[[#This Row],[מספר דירה]])</f>
        <v>S.S.4B.TN.Ap.53</v>
      </c>
      <c r="B392" s="13" t="str">
        <f>_xlfn.CONCAT(VLOOKUP(Check[[#This Row],[סטטוס]],Sold,2,FALSE),IF(Check[[#This Row],[סטטוס]]="פנויה",IF(N392="גמר מלא סטנדרט",".GMS",IF(N392="גמר מלא טיוב חומרים",".GMC",IF(N392="גמר מינימלי",".GM",IF(N392="דירת שיווק",".DS","")))),""),IF(M392="זומן לטרום",".ZLT",IF(M392="טרום מסירה",".TM",IF(M392="טרום מסירה מהנדס",".TMM",IF(M392="מסירת חזקה",".MH",IF(M392="מסירת חזקה מהנדס",".MHM",""))))),".",VLOOKUP(Check[[#This Row],[טיפוס]],Tipus[],5,FALSE),".",VLOOKUP(Check[[#This Row],[מגדל]],Tower,2,FALSE),".Ap.",Check[[#This Row],[מספר דירה]])</f>
        <v>S.S.4B.TN.Ap.53</v>
      </c>
      <c r="C392" s="3" t="s">
        <v>56</v>
      </c>
      <c r="D392" s="3">
        <v>7</v>
      </c>
      <c r="E392" s="4">
        <v>53</v>
      </c>
      <c r="F392" s="3">
        <v>702</v>
      </c>
      <c r="G392" s="5" t="s">
        <v>16</v>
      </c>
      <c r="H392" s="5">
        <f>VLOOKUP(Check[[#This Row],[טיפוס]],Tipus[],2,FALSE)</f>
        <v>4</v>
      </c>
      <c r="I392" s="5" t="str">
        <f>VLOOKUP(Check[[#This Row],[טיפוס]],Tipus[],3,FALSE)</f>
        <v>סטנדרט</v>
      </c>
      <c r="J392" s="5" t="str">
        <f>VLOOKUP(Check[[#This Row],[טיפוס]],Tipus[],4,FALSE)</f>
        <v>H</v>
      </c>
      <c r="K392" s="3" t="str">
        <f>IF(Check[[#This Row],[סטטוס2]]="הולד","פנויה",Check[[#This Row],[סטטוס2]])</f>
        <v>מכורה</v>
      </c>
      <c r="L392" s="382" t="s">
        <v>130</v>
      </c>
      <c r="M392" s="382"/>
      <c r="N392" s="383"/>
      <c r="O392" s="383"/>
      <c r="P392" s="411"/>
      <c r="Q392" s="411"/>
      <c r="R392" s="383"/>
      <c r="S392" s="390">
        <v>44250</v>
      </c>
      <c r="T392" s="390" t="s">
        <v>1171</v>
      </c>
      <c r="U392" s="387" t="s">
        <v>587</v>
      </c>
      <c r="V392" s="387"/>
      <c r="W392" s="387"/>
    </row>
    <row r="393" spans="1:23" x14ac:dyDescent="0.2">
      <c r="A393" s="13" t="str">
        <f>_xlfn.CONCAT(VLOOKUP(Check[[#This Row],[סטטוס]],Sold,2,FALSE),IF(Check[[#This Row],[סטטוס]]="פנויה",IF(N393="גמר מלא סטנדרט",".GMS",IF(N393="גמר מלא טיוב חומרים",".GMC",IF(N393="גמר מינימלי",".GM",IF(N393="דירת שיווק",".DS","")))),""),".",VLOOKUP(Check[[#This Row],[טיפוס]],Tipus[],5,FALSE),".",VLOOKUP(Check[[#This Row],[מגדל]],Tower,2,FALSE),".Ap.",Check[[#This Row],[מספר דירה]])</f>
        <v>S.S.2G.TN.Ap.54</v>
      </c>
      <c r="B393" s="13" t="str">
        <f>_xlfn.CONCAT(VLOOKUP(Check[[#This Row],[סטטוס]],Sold,2,FALSE),IF(Check[[#This Row],[סטטוס]]="פנויה",IF(N393="גמר מלא סטנדרט",".GMS",IF(N393="גמר מלא טיוב חומרים",".GMC",IF(N393="גמר מינימלי",".GM",IF(N393="דירת שיווק",".DS","")))),""),IF(M393="זומן לטרום",".ZLT",IF(M393="טרום מסירה",".TM",IF(M393="טרום מסירה מהנדס",".TMM",IF(M393="מסירת חזקה",".MH",IF(M393="מסירת חזקה מהנדס",".MHM",""))))),".",VLOOKUP(Check[[#This Row],[טיפוס]],Tipus[],5,FALSE),".",VLOOKUP(Check[[#This Row],[מגדל]],Tower,2,FALSE),".Ap.",Check[[#This Row],[מספר דירה]])</f>
        <v>S.S.2G.TN.Ap.54</v>
      </c>
      <c r="C393" s="3" t="s">
        <v>56</v>
      </c>
      <c r="D393" s="3">
        <v>7</v>
      </c>
      <c r="E393" s="4">
        <v>54</v>
      </c>
      <c r="F393" s="3">
        <v>703</v>
      </c>
      <c r="G393" s="3" t="s">
        <v>15</v>
      </c>
      <c r="H393" s="3">
        <f>VLOOKUP(Check[[#This Row],[טיפוס]],Tipus[],2,FALSE)</f>
        <v>2</v>
      </c>
      <c r="I393" s="3" t="str">
        <f>VLOOKUP(Check[[#This Row],[טיפוס]],Tipus[],3,FALSE)</f>
        <v>סטנדרט</v>
      </c>
      <c r="J393" s="3" t="str">
        <f>VLOOKUP(Check[[#This Row],[טיפוס]],Tipus[],4,FALSE)</f>
        <v>I</v>
      </c>
      <c r="K393" s="3" t="str">
        <f>IF(Check[[#This Row],[סטטוס2]]="הולד","פנויה",Check[[#This Row],[סטטוס2]])</f>
        <v>מכורה</v>
      </c>
      <c r="L393" s="382" t="s">
        <v>130</v>
      </c>
      <c r="M393" s="382"/>
      <c r="N393" s="383"/>
      <c r="O393" s="383"/>
      <c r="P393" s="411"/>
      <c r="Q393" s="411"/>
      <c r="R393" s="383"/>
      <c r="S393" s="390">
        <v>44315</v>
      </c>
      <c r="T393" s="390" t="s">
        <v>1344</v>
      </c>
      <c r="U393" s="387" t="s">
        <v>588</v>
      </c>
      <c r="V393" s="387"/>
      <c r="W393" s="387"/>
    </row>
    <row r="394" spans="1:23" x14ac:dyDescent="0.2">
      <c r="A394" s="13" t="str">
        <f>_xlfn.CONCAT(VLOOKUP(Check[[#This Row],[סטטוס]],Sold,2,FALSE),IF(Check[[#This Row],[סטטוס]]="פנויה",IF(N394="גמר מלא סטנדרט",".GMS",IF(N394="גמר מלא טיוב חומרים",".GMC",IF(N394="גמר מינימלי",".GM",IF(N394="דירת שיווק",".DS","")))),""),".",VLOOKUP(Check[[#This Row],[טיפוס]],Tipus[],5,FALSE),".",VLOOKUP(Check[[#This Row],[מגדל]],Tower,2,FALSE),".Ap.",Check[[#This Row],[מספר דירה]])</f>
        <v>S.S.4A.TN.Ap.55</v>
      </c>
      <c r="B394" s="13" t="str">
        <f>_xlfn.CONCAT(VLOOKUP(Check[[#This Row],[סטטוס]],Sold,2,FALSE),IF(Check[[#This Row],[סטטוס]]="פנויה",IF(N394="גמר מלא סטנדרט",".GMS",IF(N394="גמר מלא טיוב חומרים",".GMC",IF(N394="גמר מינימלי",".GM",IF(N394="דירת שיווק",".DS","")))),""),IF(M394="זומן לטרום",".ZLT",IF(M394="טרום מסירה",".TM",IF(M394="טרום מסירה מהנדס",".TMM",IF(M394="מסירת חזקה",".MH",IF(M394="מסירת חזקה מהנדס",".MHM",""))))),".",VLOOKUP(Check[[#This Row],[טיפוס]],Tipus[],5,FALSE),".",VLOOKUP(Check[[#This Row],[מגדל]],Tower,2,FALSE),".Ap.",Check[[#This Row],[מספר דירה]])</f>
        <v>S.S.4A.TN.Ap.55</v>
      </c>
      <c r="C394" s="3" t="s">
        <v>56</v>
      </c>
      <c r="D394" s="3">
        <v>7</v>
      </c>
      <c r="E394" s="4">
        <v>55</v>
      </c>
      <c r="F394" s="3">
        <v>704</v>
      </c>
      <c r="G394" s="5" t="s">
        <v>14</v>
      </c>
      <c r="H394" s="5">
        <f>VLOOKUP(Check[[#This Row],[טיפוס]],Tipus[],2,FALSE)</f>
        <v>4</v>
      </c>
      <c r="I394" s="5" t="str">
        <f>VLOOKUP(Check[[#This Row],[טיפוס]],Tipus[],3,FALSE)</f>
        <v>סטנדרט</v>
      </c>
      <c r="J394" s="5" t="str">
        <f>VLOOKUP(Check[[#This Row],[טיפוס]],Tipus[],4,FALSE)</f>
        <v>J</v>
      </c>
      <c r="K394" s="3" t="str">
        <f>IF(Check[[#This Row],[סטטוס2]]="הולד","פנויה",Check[[#This Row],[סטטוס2]])</f>
        <v>מכורה</v>
      </c>
      <c r="L394" s="382" t="s">
        <v>130</v>
      </c>
      <c r="M394" s="382"/>
      <c r="N394" s="383"/>
      <c r="O394" s="383"/>
      <c r="P394" s="411"/>
      <c r="Q394" s="411"/>
      <c r="R394" s="383"/>
      <c r="S394" s="390">
        <v>44265</v>
      </c>
      <c r="T394" s="390" t="s">
        <v>1172</v>
      </c>
      <c r="U394" s="387" t="s">
        <v>589</v>
      </c>
      <c r="V394" s="387" t="s">
        <v>214</v>
      </c>
      <c r="W394" s="387" t="s">
        <v>590</v>
      </c>
    </row>
    <row r="395" spans="1:23" x14ac:dyDescent="0.2">
      <c r="A395" s="13" t="str">
        <f>_xlfn.CONCAT(VLOOKUP(Check[[#This Row],[סטטוס]],Sold,2,FALSE),IF(Check[[#This Row],[סטטוס]]="פנויה",IF(N395="גמר מלא סטנדרט",".GMS",IF(N395="גמר מלא טיוב חומרים",".GMC",IF(N395="גמר מינימלי",".GM",IF(N395="דירת שיווק",".DS","")))),""),".",VLOOKUP(Check[[#This Row],[טיפוס]],Tipus[],5,FALSE),".",VLOOKUP(Check[[#This Row],[מגדל]],Tower,2,FALSE),".Ap.",Check[[#This Row],[מספר דירה]])</f>
        <v>S.S.2F.TN.Ap.56</v>
      </c>
      <c r="B395" s="13" t="str">
        <f>_xlfn.CONCAT(VLOOKUP(Check[[#This Row],[סטטוס]],Sold,2,FALSE),IF(Check[[#This Row],[סטטוס]]="פנויה",IF(N395="גמר מלא סטנדרט",".GMS",IF(N395="גמר מלא טיוב חומרים",".GMC",IF(N395="גמר מינימלי",".GM",IF(N395="דירת שיווק",".DS","")))),""),IF(M395="זומן לטרום",".ZLT",IF(M395="טרום מסירה",".TM",IF(M395="טרום מסירה מהנדס",".TMM",IF(M395="מסירת חזקה",".MH",IF(M395="מסירת חזקה מהנדס",".MHM",""))))),".",VLOOKUP(Check[[#This Row],[טיפוס]],Tipus[],5,FALSE),".",VLOOKUP(Check[[#This Row],[מגדל]],Tower,2,FALSE),".Ap.",Check[[#This Row],[מספר דירה]])</f>
        <v>S.S.2F.TN.Ap.56</v>
      </c>
      <c r="C395" s="3" t="s">
        <v>56</v>
      </c>
      <c r="D395" s="3">
        <v>7</v>
      </c>
      <c r="E395" s="4">
        <v>56</v>
      </c>
      <c r="F395" s="3">
        <v>705</v>
      </c>
      <c r="G395" s="5" t="s">
        <v>12</v>
      </c>
      <c r="H395" s="5">
        <f>VLOOKUP(Check[[#This Row],[טיפוס]],Tipus[],2,FALSE)</f>
        <v>2</v>
      </c>
      <c r="I395" s="5" t="str">
        <f>VLOOKUP(Check[[#This Row],[טיפוס]],Tipus[],3,FALSE)</f>
        <v>סטנדרט</v>
      </c>
      <c r="J395" s="5" t="str">
        <f>VLOOKUP(Check[[#This Row],[טיפוס]],Tipus[],4,FALSE)</f>
        <v>A</v>
      </c>
      <c r="K395" s="3" t="str">
        <f>IF(Check[[#This Row],[סטטוס2]]="הולד","פנויה",Check[[#This Row],[סטטוס2]])</f>
        <v>מכורה</v>
      </c>
      <c r="L395" s="382" t="s">
        <v>130</v>
      </c>
      <c r="M395" s="382"/>
      <c r="N395" s="383"/>
      <c r="O395" s="383"/>
      <c r="P395" s="411"/>
      <c r="Q395" s="411"/>
      <c r="R395" s="383"/>
      <c r="S395" s="390">
        <v>44252</v>
      </c>
      <c r="T395" s="390" t="s">
        <v>1345</v>
      </c>
      <c r="U395" s="387" t="s">
        <v>591</v>
      </c>
      <c r="V395" s="387"/>
      <c r="W395" s="387"/>
    </row>
    <row r="396" spans="1:23" x14ac:dyDescent="0.2">
      <c r="A396" s="13" t="str">
        <f>_xlfn.CONCAT(VLOOKUP(Check[[#This Row],[סטטוס]],Sold,2,FALSE),IF(Check[[#This Row],[סטטוס]]="פנויה",IF(N396="גמר מלא סטנדרט",".GMS",IF(N396="גמר מלא טיוב חומרים",".GMC",IF(N396="גמר מינימלי",".GM",IF(N396="דירת שיווק",".DS","")))),""),".",VLOOKUP(Check[[#This Row],[טיפוס]],Tipus[],5,FALSE),".",VLOOKUP(Check[[#This Row],[מגדל]],Tower,2,FALSE),".Ap.",Check[[#This Row],[מספר דירה]])</f>
        <v>S.S.2E.TN.Ap.57</v>
      </c>
      <c r="B396" s="13" t="str">
        <f>_xlfn.CONCAT(VLOOKUP(Check[[#This Row],[סטטוס]],Sold,2,FALSE),IF(Check[[#This Row],[סטטוס]]="פנויה",IF(N396="גמר מלא סטנדרט",".GMS",IF(N396="גמר מלא טיוב חומרים",".GMC",IF(N396="גמר מינימלי",".GM",IF(N396="דירת שיווק",".DS","")))),""),IF(M396="זומן לטרום",".ZLT",IF(M396="טרום מסירה",".TM",IF(M396="טרום מסירה מהנדס",".TMM",IF(M396="מסירת חזקה",".MH",IF(M396="מסירת חזקה מהנדס",".MHM",""))))),".",VLOOKUP(Check[[#This Row],[טיפוס]],Tipus[],5,FALSE),".",VLOOKUP(Check[[#This Row],[מגדל]],Tower,2,FALSE),".Ap.",Check[[#This Row],[מספר דירה]])</f>
        <v>S.S.2E.TN.Ap.57</v>
      </c>
      <c r="C396" s="3" t="s">
        <v>56</v>
      </c>
      <c r="D396" s="3">
        <v>7</v>
      </c>
      <c r="E396" s="4">
        <v>57</v>
      </c>
      <c r="F396" s="3">
        <v>706</v>
      </c>
      <c r="G396" s="5" t="s">
        <v>11</v>
      </c>
      <c r="H396" s="5">
        <f>VLOOKUP(Check[[#This Row],[טיפוס]],Tipus[],2,FALSE)</f>
        <v>2</v>
      </c>
      <c r="I396" s="5" t="str">
        <f>VLOOKUP(Check[[#This Row],[טיפוס]],Tipus[],3,FALSE)</f>
        <v>סטנדרט</v>
      </c>
      <c r="J396" s="5" t="str">
        <f>VLOOKUP(Check[[#This Row],[טיפוס]],Tipus[],4,FALSE)</f>
        <v>B</v>
      </c>
      <c r="K396" s="3" t="str">
        <f>IF(Check[[#This Row],[סטטוס2]]="הולד","פנויה",Check[[#This Row],[סטטוס2]])</f>
        <v>מכורה</v>
      </c>
      <c r="L396" s="382" t="s">
        <v>130</v>
      </c>
      <c r="M396" s="382"/>
      <c r="N396" s="383"/>
      <c r="O396" s="383"/>
      <c r="P396" s="411"/>
      <c r="Q396" s="411"/>
      <c r="R396" s="383"/>
      <c r="S396" s="390">
        <v>44229</v>
      </c>
      <c r="T396" s="390" t="s">
        <v>1173</v>
      </c>
      <c r="U396" s="387" t="s">
        <v>592</v>
      </c>
      <c r="V396" s="387"/>
      <c r="W396" s="387"/>
    </row>
    <row r="397" spans="1:23" x14ac:dyDescent="0.2">
      <c r="A397" s="13" t="str">
        <f>_xlfn.CONCAT(VLOOKUP(Check[[#This Row],[סטטוס]],Sold,2,FALSE),IF(Check[[#This Row],[סטטוס]]="פנויה",IF(N397="גמר מלא סטנדרט",".GMS",IF(N397="גמר מלא טיוב חומרים",".GMC",IF(N397="גמר מינימלי",".GM",IF(N397="דירת שיווק",".DS","")))),""),".",VLOOKUP(Check[[#This Row],[טיפוס]],Tipus[],5,FALSE),".",VLOOKUP(Check[[#This Row],[מגדל]],Tower,2,FALSE),".Ap.",Check[[#This Row],[מספר דירה]])</f>
        <v>S.S.2D.TN.Ap.58</v>
      </c>
      <c r="B397" s="13" t="str">
        <f>_xlfn.CONCAT(VLOOKUP(Check[[#This Row],[סטטוס]],Sold,2,FALSE),IF(Check[[#This Row],[סטטוס]]="פנויה",IF(N397="גמר מלא סטנדרט",".GMS",IF(N397="גמר מלא טיוב חומרים",".GMC",IF(N397="גמר מינימלי",".GM",IF(N397="דירת שיווק",".DS","")))),""),IF(M397="זומן לטרום",".ZLT",IF(M397="טרום מסירה",".TM",IF(M397="טרום מסירה מהנדס",".TMM",IF(M397="מסירת חזקה",".MH",IF(M397="מסירת חזקה מהנדס",".MHM",""))))),".",VLOOKUP(Check[[#This Row],[טיפוס]],Tipus[],5,FALSE),".",VLOOKUP(Check[[#This Row],[מגדל]],Tower,2,FALSE),".Ap.",Check[[#This Row],[מספר דירה]])</f>
        <v>S.S.2D.TN.Ap.58</v>
      </c>
      <c r="C397" s="3" t="s">
        <v>56</v>
      </c>
      <c r="D397" s="3">
        <v>7</v>
      </c>
      <c r="E397" s="4">
        <v>58</v>
      </c>
      <c r="F397" s="3">
        <v>707</v>
      </c>
      <c r="G397" s="3" t="s">
        <v>10</v>
      </c>
      <c r="H397" s="3">
        <f>VLOOKUP(Check[[#This Row],[טיפוס]],Tipus[],2,FALSE)</f>
        <v>2</v>
      </c>
      <c r="I397" s="3" t="str">
        <f>VLOOKUP(Check[[#This Row],[טיפוס]],Tipus[],3,FALSE)</f>
        <v>סטנדרט</v>
      </c>
      <c r="J397" s="3" t="str">
        <f>VLOOKUP(Check[[#This Row],[טיפוס]],Tipus[],4,FALSE)</f>
        <v>C</v>
      </c>
      <c r="K397" s="3" t="str">
        <f>IF(Check[[#This Row],[סטטוס2]]="הולד","פנויה",Check[[#This Row],[סטטוס2]])</f>
        <v>מכורה</v>
      </c>
      <c r="L397" s="382" t="s">
        <v>130</v>
      </c>
      <c r="M397" s="382"/>
      <c r="N397" s="383"/>
      <c r="O397" s="383"/>
      <c r="P397" s="411"/>
      <c r="Q397" s="411"/>
      <c r="R397" s="383"/>
      <c r="S397" s="390">
        <v>44272</v>
      </c>
      <c r="T397" s="390" t="s">
        <v>1174</v>
      </c>
      <c r="U397" s="387" t="s">
        <v>593</v>
      </c>
      <c r="V397" s="387"/>
      <c r="W397" s="387"/>
    </row>
    <row r="398" spans="1:23" x14ac:dyDescent="0.2">
      <c r="A398" s="13" t="str">
        <f>_xlfn.CONCAT(VLOOKUP(Check[[#This Row],[סטטוס]],Sold,2,FALSE),IF(Check[[#This Row],[סטטוס]]="פנויה",IF(N398="גמר מלא סטנדרט",".GMS",IF(N398="גמר מלא טיוב חומרים",".GMC",IF(N398="גמר מינימלי",".GM",IF(N398="דירת שיווק",".DS","")))),""),".",VLOOKUP(Check[[#This Row],[טיפוס]],Tipus[],5,FALSE),".",VLOOKUP(Check[[#This Row],[מגדל]],Tower,2,FALSE),".Ap.",Check[[#This Row],[מספר דירה]])</f>
        <v>S.S.3A.TN.Ap.59</v>
      </c>
      <c r="B398" s="13" t="str">
        <f>_xlfn.CONCAT(VLOOKUP(Check[[#This Row],[סטטוס]],Sold,2,FALSE),IF(Check[[#This Row],[סטטוס]]="פנויה",IF(N398="גמר מלא סטנדרט",".GMS",IF(N398="גמר מלא טיוב חומרים",".GMC",IF(N398="גמר מינימלי",".GM",IF(N398="דירת שיווק",".DS","")))),""),IF(M398="זומן לטרום",".ZLT",IF(M398="טרום מסירה",".TM",IF(M398="טרום מסירה מהנדס",".TMM",IF(M398="מסירת חזקה",".MH",IF(M398="מסירת חזקה מהנדס",".MHM",""))))),".",VLOOKUP(Check[[#This Row],[טיפוס]],Tipus[],5,FALSE),".",VLOOKUP(Check[[#This Row],[מגדל]],Tower,2,FALSE),".Ap.",Check[[#This Row],[מספר דירה]])</f>
        <v>S.S.3A.TN.Ap.59</v>
      </c>
      <c r="C398" s="3" t="s">
        <v>56</v>
      </c>
      <c r="D398" s="3">
        <v>8</v>
      </c>
      <c r="E398" s="4">
        <v>59</v>
      </c>
      <c r="F398" s="3">
        <v>808</v>
      </c>
      <c r="G398" s="3" t="s">
        <v>9</v>
      </c>
      <c r="H398" s="3">
        <f>VLOOKUP(Check[[#This Row],[טיפוס]],Tipus[],2,FALSE)</f>
        <v>3</v>
      </c>
      <c r="I398" s="3" t="str">
        <f>VLOOKUP(Check[[#This Row],[טיפוס]],Tipus[],3,FALSE)</f>
        <v>סטנדרט</v>
      </c>
      <c r="J398" s="3" t="str">
        <f>VLOOKUP(Check[[#This Row],[טיפוס]],Tipus[],4,FALSE)</f>
        <v>D</v>
      </c>
      <c r="K398" s="3" t="str">
        <f>IF(Check[[#This Row],[סטטוס2]]="הולד","פנויה",Check[[#This Row],[סטטוס2]])</f>
        <v>מכורה</v>
      </c>
      <c r="L398" s="382" t="s">
        <v>130</v>
      </c>
      <c r="M398" s="382"/>
      <c r="N398" s="383"/>
      <c r="O398" s="383"/>
      <c r="P398" s="411"/>
      <c r="Q398" s="411"/>
      <c r="R398" s="383"/>
      <c r="S398" s="390">
        <v>44264</v>
      </c>
      <c r="T398" s="390" t="s">
        <v>1346</v>
      </c>
      <c r="U398" s="387" t="s">
        <v>594</v>
      </c>
      <c r="V398" s="387"/>
      <c r="W398" s="387"/>
    </row>
    <row r="399" spans="1:23" x14ac:dyDescent="0.2">
      <c r="A399" s="13" t="str">
        <f>_xlfn.CONCAT(VLOOKUP(Check[[#This Row],[סטטוס]],Sold,2,FALSE),IF(Check[[#This Row],[סטטוס]]="פנויה",IF(N399="גמר מלא סטנדרט",".GMS",IF(N399="גמר מלא טיוב חומרים",".GMC",IF(N399="גמר מינימלי",".GM",IF(N399="דירת שיווק",".DS","")))),""),".",VLOOKUP(Check[[#This Row],[טיפוס]],Tipus[],5,FALSE),".",VLOOKUP(Check[[#This Row],[מגדל]],Tower,2,FALSE),".Ap.",Check[[#This Row],[מספר דירה]])</f>
        <v>S.S.2C.TN.Ap.60</v>
      </c>
      <c r="B399" s="13" t="str">
        <f>_xlfn.CONCAT(VLOOKUP(Check[[#This Row],[סטטוס]],Sold,2,FALSE),IF(Check[[#This Row],[סטטוס]]="פנויה",IF(N399="גמר מלא סטנדרט",".GMS",IF(N399="גמר מלא טיוב חומרים",".GMC",IF(N399="גמר מינימלי",".GM",IF(N399="דירת שיווק",".DS","")))),""),IF(M399="זומן לטרום",".ZLT",IF(M399="טרום מסירה",".TM",IF(M399="טרום מסירה מהנדס",".TMM",IF(M399="מסירת חזקה",".MH",IF(M399="מסירת חזקה מהנדס",".MHM",""))))),".",VLOOKUP(Check[[#This Row],[טיפוס]],Tipus[],5,FALSE),".",VLOOKUP(Check[[#This Row],[מגדל]],Tower,2,FALSE),".Ap.",Check[[#This Row],[מספר דירה]])</f>
        <v>S.S.2C.TN.Ap.60</v>
      </c>
      <c r="C399" s="3" t="s">
        <v>56</v>
      </c>
      <c r="D399" s="3">
        <v>8</v>
      </c>
      <c r="E399" s="4">
        <v>60</v>
      </c>
      <c r="F399" s="3">
        <v>809</v>
      </c>
      <c r="G399" s="3" t="s">
        <v>8</v>
      </c>
      <c r="H399" s="3">
        <f>VLOOKUP(Check[[#This Row],[טיפוס]],Tipus[],2,FALSE)</f>
        <v>2</v>
      </c>
      <c r="I399" s="3" t="str">
        <f>VLOOKUP(Check[[#This Row],[טיפוס]],Tipus[],3,FALSE)</f>
        <v>סטנדרט</v>
      </c>
      <c r="J399" s="3" t="str">
        <f>VLOOKUP(Check[[#This Row],[טיפוס]],Tipus[],4,FALSE)</f>
        <v>E</v>
      </c>
      <c r="K399" s="3" t="str">
        <f>IF(Check[[#This Row],[סטטוס2]]="הולד","פנויה",Check[[#This Row],[סטטוס2]])</f>
        <v>מכורה</v>
      </c>
      <c r="L399" s="382" t="s">
        <v>130</v>
      </c>
      <c r="M399" s="382"/>
      <c r="N399" s="383"/>
      <c r="O399" s="383"/>
      <c r="P399" s="411"/>
      <c r="Q399" s="411"/>
      <c r="R399" s="383"/>
      <c r="S399" s="390">
        <v>44273</v>
      </c>
      <c r="T399" s="390" t="s">
        <v>1175</v>
      </c>
      <c r="U399" s="387" t="s">
        <v>596</v>
      </c>
      <c r="V399" s="387"/>
      <c r="W399" s="387"/>
    </row>
    <row r="400" spans="1:23" x14ac:dyDescent="0.2">
      <c r="A400" s="13" t="str">
        <f>_xlfn.CONCAT(VLOOKUP(Check[[#This Row],[סטטוס]],Sold,2,FALSE),IF(Check[[#This Row],[סטטוס]]="פנויה",IF(N400="גמר מלא סטנדרט",".GMS",IF(N400="גמר מלא טיוב חומרים",".GMC",IF(N400="גמר מינימלי",".GM",IF(N400="דירת שיווק",".DS","")))),""),".",VLOOKUP(Check[[#This Row],[טיפוס]],Tipus[],5,FALSE),".",VLOOKUP(Check[[#This Row],[מגדל]],Tower,2,FALSE),".Ap.",Check[[#This Row],[מספר דירה]])</f>
        <v>S.S.2B.TN.Ap.61</v>
      </c>
      <c r="B400" s="13" t="str">
        <f>_xlfn.CONCAT(VLOOKUP(Check[[#This Row],[סטטוס]],Sold,2,FALSE),IF(Check[[#This Row],[סטטוס]]="פנויה",IF(N400="גמר מלא סטנדרט",".GMS",IF(N400="גמר מלא טיוב חומרים",".GMC",IF(N400="גמר מינימלי",".GM",IF(N400="דירת שיווק",".DS","")))),""),IF(M400="זומן לטרום",".ZLT",IF(M400="טרום מסירה",".TM",IF(M400="טרום מסירה מהנדס",".TMM",IF(M400="מסירת חזקה",".MH",IF(M400="מסירת חזקה מהנדס",".MHM",""))))),".",VLOOKUP(Check[[#This Row],[טיפוס]],Tipus[],5,FALSE),".",VLOOKUP(Check[[#This Row],[מגדל]],Tower,2,FALSE),".Ap.",Check[[#This Row],[מספר דירה]])</f>
        <v>S.S.2B.TN.Ap.61</v>
      </c>
      <c r="C400" s="3" t="s">
        <v>56</v>
      </c>
      <c r="D400" s="3">
        <v>8</v>
      </c>
      <c r="E400" s="4">
        <v>61</v>
      </c>
      <c r="F400" s="3">
        <v>810</v>
      </c>
      <c r="G400" s="5" t="s">
        <v>7</v>
      </c>
      <c r="H400" s="5">
        <f>VLOOKUP(Check[[#This Row],[טיפוס]],Tipus[],2,FALSE)</f>
        <v>2</v>
      </c>
      <c r="I400" s="5" t="str">
        <f>VLOOKUP(Check[[#This Row],[טיפוס]],Tipus[],3,FALSE)</f>
        <v>סטנדרט</v>
      </c>
      <c r="J400" s="5" t="str">
        <f>VLOOKUP(Check[[#This Row],[טיפוס]],Tipus[],4,FALSE)</f>
        <v>F</v>
      </c>
      <c r="K400" s="3" t="str">
        <f>IF(Check[[#This Row],[סטטוס2]]="הולד","פנויה",Check[[#This Row],[סטטוס2]])</f>
        <v>מכורה</v>
      </c>
      <c r="L400" s="382" t="s">
        <v>130</v>
      </c>
      <c r="M400" s="382"/>
      <c r="N400" s="383"/>
      <c r="O400" s="383"/>
      <c r="P400" s="411"/>
      <c r="Q400" s="411"/>
      <c r="R400" s="383"/>
      <c r="S400" s="390">
        <v>44224</v>
      </c>
      <c r="T400" s="390" t="s">
        <v>1173</v>
      </c>
      <c r="U400" s="387" t="s">
        <v>597</v>
      </c>
      <c r="V400" s="387"/>
      <c r="W400" s="387"/>
    </row>
    <row r="401" spans="1:23" x14ac:dyDescent="0.2">
      <c r="A401" s="13" t="str">
        <f>_xlfn.CONCAT(VLOOKUP(Check[[#This Row],[סטטוס]],Sold,2,FALSE),IF(Check[[#This Row],[סטטוס]]="פנויה",IF(N401="גמר מלא סטנדרט",".GMS",IF(N401="גמר מלא טיוב חומרים",".GMC",IF(N401="גמר מינימלי",".GM",IF(N401="דירת שיווק",".DS","")))),""),".",VLOOKUP(Check[[#This Row],[טיפוס]],Tipus[],5,FALSE),".",VLOOKUP(Check[[#This Row],[מגדל]],Tower,2,FALSE),".Ap.",Check[[#This Row],[מספר דירה]])</f>
        <v>S.S.2A.TN.Ap.62</v>
      </c>
      <c r="B401" s="13" t="str">
        <f>_xlfn.CONCAT(VLOOKUP(Check[[#This Row],[סטטוס]],Sold,2,FALSE),IF(Check[[#This Row],[סטטוס]]="פנויה",IF(N401="גמר מלא סטנדרט",".GMS",IF(N401="גמר מלא טיוב חומרים",".GMC",IF(N401="גמר מינימלי",".GM",IF(N401="דירת שיווק",".DS","")))),""),IF(M401="זומן לטרום",".ZLT",IF(M401="טרום מסירה",".TM",IF(M401="טרום מסירה מהנדס",".TMM",IF(M401="מסירת חזקה",".MH",IF(M401="מסירת חזקה מהנדס",".MHM",""))))),".",VLOOKUP(Check[[#This Row],[טיפוס]],Tipus[],5,FALSE),".",VLOOKUP(Check[[#This Row],[מגדל]],Tower,2,FALSE),".Ap.",Check[[#This Row],[מספר דירה]])</f>
        <v>S.S.2A.TN.Ap.62</v>
      </c>
      <c r="C401" s="3" t="s">
        <v>56</v>
      </c>
      <c r="D401" s="3">
        <v>8</v>
      </c>
      <c r="E401" s="4">
        <v>62</v>
      </c>
      <c r="F401" s="3">
        <v>801</v>
      </c>
      <c r="G401" s="5" t="s">
        <v>6</v>
      </c>
      <c r="H401" s="5">
        <f>VLOOKUP(Check[[#This Row],[טיפוס]],Tipus[],2,FALSE)</f>
        <v>2</v>
      </c>
      <c r="I401" s="5" t="str">
        <f>VLOOKUP(Check[[#This Row],[טיפוס]],Tipus[],3,FALSE)</f>
        <v>סטנדרט</v>
      </c>
      <c r="J401" s="5" t="str">
        <f>VLOOKUP(Check[[#This Row],[טיפוס]],Tipus[],4,FALSE)</f>
        <v>G</v>
      </c>
      <c r="K401" s="3" t="str">
        <f>IF(Check[[#This Row],[סטטוס2]]="הולד","פנויה",Check[[#This Row],[סטטוס2]])</f>
        <v>מכורה</v>
      </c>
      <c r="L401" s="382" t="s">
        <v>130</v>
      </c>
      <c r="M401" s="382"/>
      <c r="N401" s="383"/>
      <c r="O401" s="383"/>
      <c r="P401" s="411"/>
      <c r="Q401" s="411"/>
      <c r="R401" s="383"/>
      <c r="S401" s="390">
        <v>44262</v>
      </c>
      <c r="T401" s="390" t="s">
        <v>1347</v>
      </c>
      <c r="U401" s="387" t="s">
        <v>598</v>
      </c>
      <c r="V401" s="387"/>
      <c r="W401" s="387"/>
    </row>
    <row r="402" spans="1:23" x14ac:dyDescent="0.2">
      <c r="A402" s="13" t="str">
        <f>_xlfn.CONCAT(VLOOKUP(Check[[#This Row],[סטטוס]],Sold,2,FALSE),IF(Check[[#This Row],[סטטוס]]="פנויה",IF(N402="גמר מלא סטנדרט",".GMS",IF(N402="גמר מלא טיוב חומרים",".GMC",IF(N402="גמר מינימלי",".GM",IF(N402="דירת שיווק",".DS","")))),""),".",VLOOKUP(Check[[#This Row],[טיפוס]],Tipus[],5,FALSE),".",VLOOKUP(Check[[#This Row],[מגדל]],Tower,2,FALSE),".Ap.",Check[[#This Row],[מספר דירה]])</f>
        <v>S.S.4B.TN.Ap.63</v>
      </c>
      <c r="B402" s="13" t="str">
        <f>_xlfn.CONCAT(VLOOKUP(Check[[#This Row],[סטטוס]],Sold,2,FALSE),IF(Check[[#This Row],[סטטוס]]="פנויה",IF(N402="גמר מלא סטנדרט",".GMS",IF(N402="גמר מלא טיוב חומרים",".GMC",IF(N402="גמר מינימלי",".GM",IF(N402="דירת שיווק",".DS","")))),""),IF(M402="זומן לטרום",".ZLT",IF(M402="טרום מסירה",".TM",IF(M402="טרום מסירה מהנדס",".TMM",IF(M402="מסירת חזקה",".MH",IF(M402="מסירת חזקה מהנדס",".MHM",""))))),".",VLOOKUP(Check[[#This Row],[טיפוס]],Tipus[],5,FALSE),".",VLOOKUP(Check[[#This Row],[מגדל]],Tower,2,FALSE),".Ap.",Check[[#This Row],[מספר דירה]])</f>
        <v>S.S.4B.TN.Ap.63</v>
      </c>
      <c r="C402" s="3" t="s">
        <v>56</v>
      </c>
      <c r="D402" s="3">
        <v>8</v>
      </c>
      <c r="E402" s="4">
        <v>63</v>
      </c>
      <c r="F402" s="3">
        <v>802</v>
      </c>
      <c r="G402" s="5" t="s">
        <v>16</v>
      </c>
      <c r="H402" s="5">
        <f>VLOOKUP(Check[[#This Row],[טיפוס]],Tipus[],2,FALSE)</f>
        <v>4</v>
      </c>
      <c r="I402" s="5" t="str">
        <f>VLOOKUP(Check[[#This Row],[טיפוס]],Tipus[],3,FALSE)</f>
        <v>סטנדרט</v>
      </c>
      <c r="J402" s="5" t="str">
        <f>VLOOKUP(Check[[#This Row],[טיפוס]],Tipus[],4,FALSE)</f>
        <v>H</v>
      </c>
      <c r="K402" s="3" t="str">
        <f>IF(Check[[#This Row],[סטטוס2]]="הולד","פנויה",Check[[#This Row],[סטטוס2]])</f>
        <v>מכורה</v>
      </c>
      <c r="L402" s="382" t="s">
        <v>130</v>
      </c>
      <c r="M402" s="382"/>
      <c r="N402" s="383"/>
      <c r="O402" s="383"/>
      <c r="P402" s="411"/>
      <c r="Q402" s="411"/>
      <c r="R402" s="383"/>
      <c r="S402" s="390">
        <v>44250</v>
      </c>
      <c r="T402" s="390" t="s">
        <v>1176</v>
      </c>
      <c r="U402" s="387" t="s">
        <v>599</v>
      </c>
      <c r="V402" s="387"/>
      <c r="W402" s="387"/>
    </row>
    <row r="403" spans="1:23" x14ac:dyDescent="0.2">
      <c r="A403" s="13" t="str">
        <f>_xlfn.CONCAT(VLOOKUP(Check[[#This Row],[סטטוס]],Sold,2,FALSE),IF(Check[[#This Row],[סטטוס]]="פנויה",IF(N403="גמר מלא סטנדרט",".GMS",IF(N403="גמר מלא טיוב חומרים",".GMC",IF(N403="גמר מינימלי",".GM",IF(N403="דירת שיווק",".DS","")))),""),".",VLOOKUP(Check[[#This Row],[טיפוס]],Tipus[],5,FALSE),".",VLOOKUP(Check[[#This Row],[מגדל]],Tower,2,FALSE),".Ap.",Check[[#This Row],[מספר דירה]])</f>
        <v>S.S.2G.TN.Ap.64</v>
      </c>
      <c r="B403" s="13" t="str">
        <f>_xlfn.CONCAT(VLOOKUP(Check[[#This Row],[סטטוס]],Sold,2,FALSE),IF(Check[[#This Row],[סטטוס]]="פנויה",IF(N403="גמר מלא סטנדרט",".GMS",IF(N403="גמר מלא טיוב חומרים",".GMC",IF(N403="גמר מינימלי",".GM",IF(N403="דירת שיווק",".DS","")))),""),IF(M403="זומן לטרום",".ZLT",IF(M403="טרום מסירה",".TM",IF(M403="טרום מסירה מהנדס",".TMM",IF(M403="מסירת חזקה",".MH",IF(M403="מסירת חזקה מהנדס",".MHM",""))))),".",VLOOKUP(Check[[#This Row],[טיפוס]],Tipus[],5,FALSE),".",VLOOKUP(Check[[#This Row],[מגדל]],Tower,2,FALSE),".Ap.",Check[[#This Row],[מספר דירה]])</f>
        <v>S.S.2G.TN.Ap.64</v>
      </c>
      <c r="C403" s="3" t="s">
        <v>56</v>
      </c>
      <c r="D403" s="3">
        <v>8</v>
      </c>
      <c r="E403" s="4">
        <v>64</v>
      </c>
      <c r="F403" s="3">
        <v>803</v>
      </c>
      <c r="G403" s="3" t="s">
        <v>15</v>
      </c>
      <c r="H403" s="3">
        <f>VLOOKUP(Check[[#This Row],[טיפוס]],Tipus[],2,FALSE)</f>
        <v>2</v>
      </c>
      <c r="I403" s="3" t="str">
        <f>VLOOKUP(Check[[#This Row],[טיפוס]],Tipus[],3,FALSE)</f>
        <v>סטנדרט</v>
      </c>
      <c r="J403" s="3" t="str">
        <f>VLOOKUP(Check[[#This Row],[טיפוס]],Tipus[],4,FALSE)</f>
        <v>I</v>
      </c>
      <c r="K403" s="3" t="str">
        <f>IF(Check[[#This Row],[סטטוס2]]="הולד","פנויה",Check[[#This Row],[סטטוס2]])</f>
        <v>מכורה</v>
      </c>
      <c r="L403" s="382" t="s">
        <v>130</v>
      </c>
      <c r="M403" s="382"/>
      <c r="N403" s="383"/>
      <c r="O403" s="383"/>
      <c r="P403" s="411"/>
      <c r="Q403" s="411"/>
      <c r="R403" s="383"/>
      <c r="S403" s="390">
        <v>44350</v>
      </c>
      <c r="T403" s="390" t="s">
        <v>1177</v>
      </c>
      <c r="U403" s="387"/>
      <c r="V403" s="387"/>
      <c r="W403" s="387"/>
    </row>
    <row r="404" spans="1:23" x14ac:dyDescent="0.2">
      <c r="A404" s="13" t="str">
        <f>_xlfn.CONCAT(VLOOKUP(Check[[#This Row],[סטטוס]],Sold,2,FALSE),IF(Check[[#This Row],[סטטוס]]="פנויה",IF(N404="גמר מלא סטנדרט",".GMS",IF(N404="גמר מלא טיוב חומרים",".GMC",IF(N404="גמר מינימלי",".GM",IF(N404="דירת שיווק",".DS","")))),""),".",VLOOKUP(Check[[#This Row],[טיפוס]],Tipus[],5,FALSE),".",VLOOKUP(Check[[#This Row],[מגדל]],Tower,2,FALSE),".Ap.",Check[[#This Row],[מספר דירה]])</f>
        <v>S.S.4A.TN.Ap.65</v>
      </c>
      <c r="B404" s="13" t="str">
        <f>_xlfn.CONCAT(VLOOKUP(Check[[#This Row],[סטטוס]],Sold,2,FALSE),IF(Check[[#This Row],[סטטוס]]="פנויה",IF(N404="גמר מלא סטנדרט",".GMS",IF(N404="גמר מלא טיוב חומרים",".GMC",IF(N404="גמר מינימלי",".GM",IF(N404="דירת שיווק",".DS","")))),""),IF(M404="זומן לטרום",".ZLT",IF(M404="טרום מסירה",".TM",IF(M404="טרום מסירה מהנדס",".TMM",IF(M404="מסירת חזקה",".MH",IF(M404="מסירת חזקה מהנדס",".MHM",""))))),".",VLOOKUP(Check[[#This Row],[טיפוס]],Tipus[],5,FALSE),".",VLOOKUP(Check[[#This Row],[מגדל]],Tower,2,FALSE),".Ap.",Check[[#This Row],[מספר דירה]])</f>
        <v>S.S.4A.TN.Ap.65</v>
      </c>
      <c r="C404" s="3" t="s">
        <v>56</v>
      </c>
      <c r="D404" s="3">
        <v>8</v>
      </c>
      <c r="E404" s="4">
        <v>65</v>
      </c>
      <c r="F404" s="3">
        <v>804</v>
      </c>
      <c r="G404" s="5" t="s">
        <v>14</v>
      </c>
      <c r="H404" s="5">
        <f>VLOOKUP(Check[[#This Row],[טיפוס]],Tipus[],2,FALSE)</f>
        <v>4</v>
      </c>
      <c r="I404" s="5" t="str">
        <f>VLOOKUP(Check[[#This Row],[טיפוס]],Tipus[],3,FALSE)</f>
        <v>סטנדרט</v>
      </c>
      <c r="J404" s="5" t="str">
        <f>VLOOKUP(Check[[#This Row],[טיפוס]],Tipus[],4,FALSE)</f>
        <v>J</v>
      </c>
      <c r="K404" s="3" t="str">
        <f>IF(Check[[#This Row],[סטטוס2]]="הולד","פנויה",Check[[#This Row],[סטטוס2]])</f>
        <v>מכורה</v>
      </c>
      <c r="L404" s="382" t="s">
        <v>130</v>
      </c>
      <c r="M404" s="382"/>
      <c r="N404" s="383"/>
      <c r="O404" s="383"/>
      <c r="P404" s="411"/>
      <c r="Q404" s="411"/>
      <c r="R404" s="383"/>
      <c r="S404" s="390">
        <v>44251</v>
      </c>
      <c r="T404" s="390" t="s">
        <v>1178</v>
      </c>
      <c r="U404" s="387" t="s">
        <v>600</v>
      </c>
      <c r="V404" s="387"/>
      <c r="W404" s="387"/>
    </row>
    <row r="405" spans="1:23" x14ac:dyDescent="0.2">
      <c r="A405" s="13" t="str">
        <f>_xlfn.CONCAT(VLOOKUP(Check[[#This Row],[סטטוס]],Sold,2,FALSE),IF(Check[[#This Row],[סטטוס]]="פנויה",IF(N405="גמר מלא סטנדרט",".GMS",IF(N405="גמר מלא טיוב חומרים",".GMC",IF(N405="גמר מינימלי",".GM",IF(N405="דירת שיווק",".DS","")))),""),".",VLOOKUP(Check[[#This Row],[טיפוס]],Tipus[],5,FALSE),".",VLOOKUP(Check[[#This Row],[מגדל]],Tower,2,FALSE),".Ap.",Check[[#This Row],[מספר דירה]])</f>
        <v>O.S.2F.TN.Ap.66</v>
      </c>
      <c r="B405" s="13" t="str">
        <f>_xlfn.CONCAT(VLOOKUP(Check[[#This Row],[סטטוס]],Sold,2,FALSE),IF(Check[[#This Row],[סטטוס]]="פנויה",IF(N405="גמר מלא סטנדרט",".GMS",IF(N405="גמר מלא טיוב חומרים",".GMC",IF(N405="גמר מינימלי",".GM",IF(N405="דירת שיווק",".DS","")))),""),IF(M405="זומן לטרום",".ZLT",IF(M405="טרום מסירה",".TM",IF(M405="טרום מסירה מהנדס",".TMM",IF(M405="מסירת חזקה",".MH",IF(M405="מסירת חזקה מהנדס",".MHM",""))))),".",VLOOKUP(Check[[#This Row],[טיפוס]],Tipus[],5,FALSE),".",VLOOKUP(Check[[#This Row],[מגדל]],Tower,2,FALSE),".Ap.",Check[[#This Row],[מספר דירה]])</f>
        <v>O.S.2F.TN.Ap.66</v>
      </c>
      <c r="C405" s="3" t="s">
        <v>56</v>
      </c>
      <c r="D405" s="3">
        <v>8</v>
      </c>
      <c r="E405" s="4">
        <v>66</v>
      </c>
      <c r="F405" s="3">
        <v>805</v>
      </c>
      <c r="G405" s="5" t="s">
        <v>12</v>
      </c>
      <c r="H405" s="5">
        <f>VLOOKUP(Check[[#This Row],[טיפוס]],Tipus[],2,FALSE)</f>
        <v>2</v>
      </c>
      <c r="I405" s="5" t="str">
        <f>VLOOKUP(Check[[#This Row],[טיפוס]],Tipus[],3,FALSE)</f>
        <v>סטנדרט</v>
      </c>
      <c r="J405" s="5" t="str">
        <f>VLOOKUP(Check[[#This Row],[טיפוס]],Tipus[],4,FALSE)</f>
        <v>A</v>
      </c>
      <c r="K405" s="3" t="str">
        <f>IF(Check[[#This Row],[סטטוס2]]="הולד","פנויה",Check[[#This Row],[סטטוס2]])</f>
        <v>בעלים</v>
      </c>
      <c r="L405" s="382" t="s">
        <v>91</v>
      </c>
      <c r="M405" s="382"/>
      <c r="N405" s="383"/>
      <c r="O405" s="383"/>
      <c r="P405" s="411"/>
      <c r="Q405" s="411"/>
      <c r="R405" s="383"/>
      <c r="S405" s="390"/>
      <c r="T405" s="390" t="s">
        <v>254</v>
      </c>
      <c r="U405" s="387" t="s">
        <v>255</v>
      </c>
      <c r="V405" s="387" t="s">
        <v>214</v>
      </c>
      <c r="W405" s="387" t="s">
        <v>256</v>
      </c>
    </row>
    <row r="406" spans="1:23" x14ac:dyDescent="0.2">
      <c r="A406" s="13" t="str">
        <f>_xlfn.CONCAT(VLOOKUP(Check[[#This Row],[סטטוס]],Sold,2,FALSE),IF(Check[[#This Row],[סטטוס]]="פנויה",IF(N406="גמר מלא סטנדרט",".GMS",IF(N406="גמר מלא טיוב חומרים",".GMC",IF(N406="גמר מינימלי",".GM",IF(N406="דירת שיווק",".DS","")))),""),".",VLOOKUP(Check[[#This Row],[טיפוס]],Tipus[],5,FALSE),".",VLOOKUP(Check[[#This Row],[מגדל]],Tower,2,FALSE),".Ap.",Check[[#This Row],[מספר דירה]])</f>
        <v>S.S.2E.TN.Ap.67</v>
      </c>
      <c r="B406" s="13" t="str">
        <f>_xlfn.CONCAT(VLOOKUP(Check[[#This Row],[סטטוס]],Sold,2,FALSE),IF(Check[[#This Row],[סטטוס]]="פנויה",IF(N406="גמר מלא סטנדרט",".GMS",IF(N406="גמר מלא טיוב חומרים",".GMC",IF(N406="גמר מינימלי",".GM",IF(N406="דירת שיווק",".DS","")))),""),IF(M406="זומן לטרום",".ZLT",IF(M406="טרום מסירה",".TM",IF(M406="טרום מסירה מהנדס",".TMM",IF(M406="מסירת חזקה",".MH",IF(M406="מסירת חזקה מהנדס",".MHM",""))))),".",VLOOKUP(Check[[#This Row],[טיפוס]],Tipus[],5,FALSE),".",VLOOKUP(Check[[#This Row],[מגדל]],Tower,2,FALSE),".Ap.",Check[[#This Row],[מספר דירה]])</f>
        <v>S.S.2E.TN.Ap.67</v>
      </c>
      <c r="C406" s="3" t="s">
        <v>56</v>
      </c>
      <c r="D406" s="3">
        <v>8</v>
      </c>
      <c r="E406" s="4">
        <v>67</v>
      </c>
      <c r="F406" s="3">
        <v>806</v>
      </c>
      <c r="G406" s="5" t="s">
        <v>11</v>
      </c>
      <c r="H406" s="5">
        <f>VLOOKUP(Check[[#This Row],[טיפוס]],Tipus[],2,FALSE)</f>
        <v>2</v>
      </c>
      <c r="I406" s="5" t="str">
        <f>VLOOKUP(Check[[#This Row],[טיפוס]],Tipus[],3,FALSE)</f>
        <v>סטנדרט</v>
      </c>
      <c r="J406" s="5" t="str">
        <f>VLOOKUP(Check[[#This Row],[טיפוס]],Tipus[],4,FALSE)</f>
        <v>B</v>
      </c>
      <c r="K406" s="3" t="str">
        <f>IF(Check[[#This Row],[סטטוס2]]="הולד","פנויה",Check[[#This Row],[סטטוס2]])</f>
        <v>מכורה</v>
      </c>
      <c r="L406" s="382" t="s">
        <v>130</v>
      </c>
      <c r="M406" s="382"/>
      <c r="N406" s="383"/>
      <c r="O406" s="383"/>
      <c r="P406" s="411"/>
      <c r="Q406" s="411"/>
      <c r="R406" s="383"/>
      <c r="S406" s="390">
        <v>44224</v>
      </c>
      <c r="T406" s="390" t="s">
        <v>1173</v>
      </c>
      <c r="U406" s="387" t="s">
        <v>601</v>
      </c>
      <c r="V406" s="387"/>
      <c r="W406" s="387"/>
    </row>
    <row r="407" spans="1:23" x14ac:dyDescent="0.2">
      <c r="A407" s="13" t="str">
        <f>_xlfn.CONCAT(VLOOKUP(Check[[#This Row],[סטטוס]],Sold,2,FALSE),IF(Check[[#This Row],[סטטוס]]="פנויה",IF(N407="גמר מלא סטנדרט",".GMS",IF(N407="גמר מלא טיוב חומרים",".GMC",IF(N407="גמר מינימלי",".GM",IF(N407="דירת שיווק",".DS","")))),""),".",VLOOKUP(Check[[#This Row],[טיפוס]],Tipus[],5,FALSE),".",VLOOKUP(Check[[#This Row],[מגדל]],Tower,2,FALSE),".Ap.",Check[[#This Row],[מספר דירה]])</f>
        <v>S.S.2D.TN.Ap.68</v>
      </c>
      <c r="B407" s="13" t="str">
        <f>_xlfn.CONCAT(VLOOKUP(Check[[#This Row],[סטטוס]],Sold,2,FALSE),IF(Check[[#This Row],[סטטוס]]="פנויה",IF(N407="גמר מלא סטנדרט",".GMS",IF(N407="גמר מלא טיוב חומרים",".GMC",IF(N407="גמר מינימלי",".GM",IF(N407="דירת שיווק",".DS","")))),""),IF(M407="זומן לטרום",".ZLT",IF(M407="טרום מסירה",".TM",IF(M407="טרום מסירה מהנדס",".TMM",IF(M407="מסירת חזקה",".MH",IF(M407="מסירת חזקה מהנדס",".MHM",""))))),".",VLOOKUP(Check[[#This Row],[טיפוס]],Tipus[],5,FALSE),".",VLOOKUP(Check[[#This Row],[מגדל]],Tower,2,FALSE),".Ap.",Check[[#This Row],[מספר דירה]])</f>
        <v>S.S.2D.TN.Ap.68</v>
      </c>
      <c r="C407" s="3" t="s">
        <v>56</v>
      </c>
      <c r="D407" s="3">
        <v>8</v>
      </c>
      <c r="E407" s="4">
        <v>68</v>
      </c>
      <c r="F407" s="3">
        <v>807</v>
      </c>
      <c r="G407" s="3" t="s">
        <v>10</v>
      </c>
      <c r="H407" s="3">
        <f>VLOOKUP(Check[[#This Row],[טיפוס]],Tipus[],2,FALSE)</f>
        <v>2</v>
      </c>
      <c r="I407" s="3" t="str">
        <f>VLOOKUP(Check[[#This Row],[טיפוס]],Tipus[],3,FALSE)</f>
        <v>סטנדרט</v>
      </c>
      <c r="J407" s="3" t="str">
        <f>VLOOKUP(Check[[#This Row],[טיפוס]],Tipus[],4,FALSE)</f>
        <v>C</v>
      </c>
      <c r="K407" s="3" t="str">
        <f>IF(Check[[#This Row],[סטטוס2]]="הולד","פנויה",Check[[#This Row],[סטטוס2]])</f>
        <v>מכורה</v>
      </c>
      <c r="L407" s="382" t="s">
        <v>130</v>
      </c>
      <c r="M407" s="382"/>
      <c r="N407" s="383"/>
      <c r="O407" s="383"/>
      <c r="P407" s="411"/>
      <c r="Q407" s="411"/>
      <c r="R407" s="383"/>
      <c r="S407" s="390">
        <v>44224</v>
      </c>
      <c r="T407" s="390" t="s">
        <v>1173</v>
      </c>
      <c r="U407" s="387" t="s">
        <v>602</v>
      </c>
      <c r="V407" s="387"/>
      <c r="W407" s="387"/>
    </row>
    <row r="408" spans="1:23" x14ac:dyDescent="0.2">
      <c r="A408" s="13" t="str">
        <f>_xlfn.CONCAT(VLOOKUP(Check[[#This Row],[סטטוס]],Sold,2,FALSE),IF(Check[[#This Row],[סטטוס]]="פנויה",IF(N408="גמר מלא סטנדרט",".GMS",IF(N408="גמר מלא טיוב חומרים",".GMC",IF(N408="גמר מינימלי",".GM",IF(N408="דירת שיווק",".DS","")))),""),".",VLOOKUP(Check[[#This Row],[טיפוס]],Tipus[],5,FALSE),".",VLOOKUP(Check[[#This Row],[מגדל]],Tower,2,FALSE),".Ap.",Check[[#This Row],[מספר דירה]])</f>
        <v>S.S.3A.TN.Ap.69</v>
      </c>
      <c r="B408" s="13" t="str">
        <f>_xlfn.CONCAT(VLOOKUP(Check[[#This Row],[סטטוס]],Sold,2,FALSE),IF(Check[[#This Row],[סטטוס]]="פנויה",IF(N408="גמר מלא סטנדרט",".GMS",IF(N408="גמר מלא טיוב חומרים",".GMC",IF(N408="גמר מינימלי",".GM",IF(N408="דירת שיווק",".DS","")))),""),IF(M408="זומן לטרום",".ZLT",IF(M408="טרום מסירה",".TM",IF(M408="טרום מסירה מהנדס",".TMM",IF(M408="מסירת חזקה",".MH",IF(M408="מסירת חזקה מהנדס",".MHM",""))))),".",VLOOKUP(Check[[#This Row],[טיפוס]],Tipus[],5,FALSE),".",VLOOKUP(Check[[#This Row],[מגדל]],Tower,2,FALSE),".Ap.",Check[[#This Row],[מספר דירה]])</f>
        <v>S.S.3A.TN.Ap.69</v>
      </c>
      <c r="C408" s="3" t="s">
        <v>56</v>
      </c>
      <c r="D408" s="3">
        <v>9</v>
      </c>
      <c r="E408" s="4">
        <v>69</v>
      </c>
      <c r="F408" s="3">
        <v>908</v>
      </c>
      <c r="G408" s="3" t="s">
        <v>9</v>
      </c>
      <c r="H408" s="3">
        <f>VLOOKUP(Check[[#This Row],[טיפוס]],Tipus[],2,FALSE)</f>
        <v>3</v>
      </c>
      <c r="I408" s="3" t="str">
        <f>VLOOKUP(Check[[#This Row],[טיפוס]],Tipus[],3,FALSE)</f>
        <v>סטנדרט</v>
      </c>
      <c r="J408" s="3" t="str">
        <f>VLOOKUP(Check[[#This Row],[טיפוס]],Tipus[],4,FALSE)</f>
        <v>D</v>
      </c>
      <c r="K408" s="3" t="str">
        <f>IF(Check[[#This Row],[סטטוס2]]="הולד","פנויה",Check[[#This Row],[סטטוס2]])</f>
        <v>מכורה</v>
      </c>
      <c r="L408" s="382" t="s">
        <v>130</v>
      </c>
      <c r="M408" s="382"/>
      <c r="N408" s="383"/>
      <c r="O408" s="383"/>
      <c r="P408" s="411"/>
      <c r="Q408" s="411"/>
      <c r="R408" s="383"/>
      <c r="S408" s="390">
        <v>44252</v>
      </c>
      <c r="T408" s="390" t="s">
        <v>1345</v>
      </c>
      <c r="U408" s="387" t="s">
        <v>603</v>
      </c>
      <c r="V408" s="387"/>
      <c r="W408" s="387"/>
    </row>
    <row r="409" spans="1:23" x14ac:dyDescent="0.2">
      <c r="A409" s="13" t="str">
        <f>_xlfn.CONCAT(VLOOKUP(Check[[#This Row],[סטטוס]],Sold,2,FALSE),IF(Check[[#This Row],[סטטוס]]="פנויה",IF(N409="גמר מלא סטנדרט",".GMS",IF(N409="גמר מלא טיוב חומרים",".GMC",IF(N409="גמר מינימלי",".GM",IF(N409="דירת שיווק",".DS","")))),""),".",VLOOKUP(Check[[#This Row],[טיפוס]],Tipus[],5,FALSE),".",VLOOKUP(Check[[#This Row],[מגדל]],Tower,2,FALSE),".Ap.",Check[[#This Row],[מספר דירה]])</f>
        <v>S.S.2C.TN.Ap.70</v>
      </c>
      <c r="B409" s="13" t="str">
        <f>_xlfn.CONCAT(VLOOKUP(Check[[#This Row],[סטטוס]],Sold,2,FALSE),IF(Check[[#This Row],[סטטוס]]="פנויה",IF(N409="גמר מלא סטנדרט",".GMS",IF(N409="גמר מלא טיוב חומרים",".GMC",IF(N409="גמר מינימלי",".GM",IF(N409="דירת שיווק",".DS","")))),""),IF(M409="זומן לטרום",".ZLT",IF(M409="טרום מסירה",".TM",IF(M409="טרום מסירה מהנדס",".TMM",IF(M409="מסירת חזקה",".MH",IF(M409="מסירת חזקה מהנדס",".MHM",""))))),".",VLOOKUP(Check[[#This Row],[טיפוס]],Tipus[],5,FALSE),".",VLOOKUP(Check[[#This Row],[מגדל]],Tower,2,FALSE),".Ap.",Check[[#This Row],[מספר דירה]])</f>
        <v>S.S.2C.TN.Ap.70</v>
      </c>
      <c r="C409" s="3" t="s">
        <v>56</v>
      </c>
      <c r="D409" s="3">
        <v>9</v>
      </c>
      <c r="E409" s="4">
        <v>70</v>
      </c>
      <c r="F409" s="3">
        <v>909</v>
      </c>
      <c r="G409" s="3" t="s">
        <v>8</v>
      </c>
      <c r="H409" s="3">
        <f>VLOOKUP(Check[[#This Row],[טיפוס]],Tipus[],2,FALSE)</f>
        <v>2</v>
      </c>
      <c r="I409" s="3" t="str">
        <f>VLOOKUP(Check[[#This Row],[טיפוס]],Tipus[],3,FALSE)</f>
        <v>סטנדרט</v>
      </c>
      <c r="J409" s="3" t="str">
        <f>VLOOKUP(Check[[#This Row],[טיפוס]],Tipus[],4,FALSE)</f>
        <v>E</v>
      </c>
      <c r="K409" s="3" t="str">
        <f>IF(Check[[#This Row],[סטטוס2]]="הולד","פנויה",Check[[#This Row],[סטטוס2]])</f>
        <v>מכורה</v>
      </c>
      <c r="L409" s="382" t="s">
        <v>130</v>
      </c>
      <c r="M409" s="382"/>
      <c r="N409" s="383"/>
      <c r="O409" s="383"/>
      <c r="P409" s="411"/>
      <c r="Q409" s="411"/>
      <c r="R409" s="383"/>
      <c r="S409" s="390">
        <v>44273</v>
      </c>
      <c r="T409" s="390" t="s">
        <v>1175</v>
      </c>
      <c r="U409" s="387" t="s">
        <v>604</v>
      </c>
      <c r="V409" s="387"/>
      <c r="W409" s="387"/>
    </row>
    <row r="410" spans="1:23" x14ac:dyDescent="0.2">
      <c r="A410" s="13" t="str">
        <f>_xlfn.CONCAT(VLOOKUP(Check[[#This Row],[סטטוס]],Sold,2,FALSE),IF(Check[[#This Row],[סטטוס]]="פנויה",IF(N410="גמר מלא סטנדרט",".GMS",IF(N410="גמר מלא טיוב חומרים",".GMC",IF(N410="גמר מינימלי",".GM",IF(N410="דירת שיווק",".DS","")))),""),".",VLOOKUP(Check[[#This Row],[טיפוס]],Tipus[],5,FALSE),".",VLOOKUP(Check[[#This Row],[מגדל]],Tower,2,FALSE),".Ap.",Check[[#This Row],[מספר דירה]])</f>
        <v>S.S.2B.TN.Ap.71</v>
      </c>
      <c r="B410" s="13" t="str">
        <f>_xlfn.CONCAT(VLOOKUP(Check[[#This Row],[סטטוס]],Sold,2,FALSE),IF(Check[[#This Row],[סטטוס]]="פנויה",IF(N410="גמר מלא סטנדרט",".GMS",IF(N410="גמר מלא טיוב חומרים",".GMC",IF(N410="גמר מינימלי",".GM",IF(N410="דירת שיווק",".DS","")))),""),IF(M410="זומן לטרום",".ZLT",IF(M410="טרום מסירה",".TM",IF(M410="טרום מסירה מהנדס",".TMM",IF(M410="מסירת חזקה",".MH",IF(M410="מסירת חזקה מהנדס",".MHM",""))))),".",VLOOKUP(Check[[#This Row],[טיפוס]],Tipus[],5,FALSE),".",VLOOKUP(Check[[#This Row],[מגדל]],Tower,2,FALSE),".Ap.",Check[[#This Row],[מספר דירה]])</f>
        <v>S.S.2B.TN.Ap.71</v>
      </c>
      <c r="C410" s="3" t="s">
        <v>56</v>
      </c>
      <c r="D410" s="3">
        <v>9</v>
      </c>
      <c r="E410" s="4">
        <v>71</v>
      </c>
      <c r="F410" s="3">
        <v>910</v>
      </c>
      <c r="G410" s="5" t="s">
        <v>7</v>
      </c>
      <c r="H410" s="5">
        <f>VLOOKUP(Check[[#This Row],[טיפוס]],Tipus[],2,FALSE)</f>
        <v>2</v>
      </c>
      <c r="I410" s="5" t="str">
        <f>VLOOKUP(Check[[#This Row],[טיפוס]],Tipus[],3,FALSE)</f>
        <v>סטנדרט</v>
      </c>
      <c r="J410" s="5" t="str">
        <f>VLOOKUP(Check[[#This Row],[טיפוס]],Tipus[],4,FALSE)</f>
        <v>F</v>
      </c>
      <c r="K410" s="3" t="str">
        <f>IF(Check[[#This Row],[סטטוס2]]="הולד","פנויה",Check[[#This Row],[סטטוס2]])</f>
        <v>מכורה</v>
      </c>
      <c r="L410" s="382" t="s">
        <v>130</v>
      </c>
      <c r="M410" s="382"/>
      <c r="N410" s="383"/>
      <c r="O410" s="383"/>
      <c r="P410" s="411"/>
      <c r="Q410" s="411"/>
      <c r="R410" s="383"/>
      <c r="S410" s="390">
        <v>44217</v>
      </c>
      <c r="T410" s="390" t="s">
        <v>1173</v>
      </c>
      <c r="U410" s="387" t="s">
        <v>605</v>
      </c>
      <c r="V410" s="387"/>
      <c r="W410" s="387"/>
    </row>
    <row r="411" spans="1:23" x14ac:dyDescent="0.2">
      <c r="A411" s="13" t="str">
        <f>_xlfn.CONCAT(VLOOKUP(Check[[#This Row],[סטטוס]],Sold,2,FALSE),IF(Check[[#This Row],[סטטוס]]="פנויה",IF(N411="גמר מלא סטנדרט",".GMS",IF(N411="גמר מלא טיוב חומרים",".GMC",IF(N411="גמר מינימלי",".GM",IF(N411="דירת שיווק",".DS","")))),""),".",VLOOKUP(Check[[#This Row],[טיפוס]],Tipus[],5,FALSE),".",VLOOKUP(Check[[#This Row],[מגדל]],Tower,2,FALSE),".Ap.",Check[[#This Row],[מספר דירה]])</f>
        <v>S.S.2A.TN.Ap.72</v>
      </c>
      <c r="B411" s="13" t="str">
        <f>_xlfn.CONCAT(VLOOKUP(Check[[#This Row],[סטטוס]],Sold,2,FALSE),IF(Check[[#This Row],[סטטוס]]="פנויה",IF(N411="גמר מלא סטנדרט",".GMS",IF(N411="גמר מלא טיוב חומרים",".GMC",IF(N411="גמר מינימלי",".GM",IF(N411="דירת שיווק",".DS","")))),""),IF(M411="זומן לטרום",".ZLT",IF(M411="טרום מסירה",".TM",IF(M411="טרום מסירה מהנדס",".TMM",IF(M411="מסירת חזקה",".MH",IF(M411="מסירת חזקה מהנדס",".MHM",""))))),".",VLOOKUP(Check[[#This Row],[טיפוס]],Tipus[],5,FALSE),".",VLOOKUP(Check[[#This Row],[מגדל]],Tower,2,FALSE),".Ap.",Check[[#This Row],[מספר דירה]])</f>
        <v>S.S.2A.TN.Ap.72</v>
      </c>
      <c r="C411" s="3" t="s">
        <v>56</v>
      </c>
      <c r="D411" s="3">
        <v>9</v>
      </c>
      <c r="E411" s="4">
        <v>72</v>
      </c>
      <c r="F411" s="3">
        <v>901</v>
      </c>
      <c r="G411" s="5" t="s">
        <v>6</v>
      </c>
      <c r="H411" s="5">
        <f>VLOOKUP(Check[[#This Row],[טיפוס]],Tipus[],2,FALSE)</f>
        <v>2</v>
      </c>
      <c r="I411" s="5" t="str">
        <f>VLOOKUP(Check[[#This Row],[טיפוס]],Tipus[],3,FALSE)</f>
        <v>סטנדרט</v>
      </c>
      <c r="J411" s="5" t="str">
        <f>VLOOKUP(Check[[#This Row],[טיפוס]],Tipus[],4,FALSE)</f>
        <v>G</v>
      </c>
      <c r="K411" s="3" t="str">
        <f>IF(Check[[#This Row],[סטטוס2]]="הולד","פנויה",Check[[#This Row],[סטטוס2]])</f>
        <v>מכורה</v>
      </c>
      <c r="L411" s="382" t="s">
        <v>130</v>
      </c>
      <c r="M411" s="382"/>
      <c r="N411" s="383"/>
      <c r="O411" s="383"/>
      <c r="P411" s="411"/>
      <c r="Q411" s="411"/>
      <c r="R411" s="383"/>
      <c r="S411" s="390">
        <v>44250</v>
      </c>
      <c r="T411" s="390" t="s">
        <v>1348</v>
      </c>
      <c r="U411" s="387" t="s">
        <v>606</v>
      </c>
      <c r="V411" s="387"/>
      <c r="W411" s="387"/>
    </row>
    <row r="412" spans="1:23" x14ac:dyDescent="0.2">
      <c r="A412" s="13" t="str">
        <f>_xlfn.CONCAT(VLOOKUP(Check[[#This Row],[סטטוס]],Sold,2,FALSE),IF(Check[[#This Row],[סטטוס]]="פנויה",IF(N412="גמר מלא סטנדרט",".GMS",IF(N412="גמר מלא טיוב חומרים",".GMC",IF(N412="גמר מינימלי",".GM",IF(N412="דירת שיווק",".DS","")))),""),".",VLOOKUP(Check[[#This Row],[טיפוס]],Tipus[],5,FALSE),".",VLOOKUP(Check[[#This Row],[מגדל]],Tower,2,FALSE),".Ap.",Check[[#This Row],[מספר דירה]])</f>
        <v>S.S.4B.TN.Ap.73</v>
      </c>
      <c r="B412" s="13" t="str">
        <f>_xlfn.CONCAT(VLOOKUP(Check[[#This Row],[סטטוס]],Sold,2,FALSE),IF(Check[[#This Row],[סטטוס]]="פנויה",IF(N412="גמר מלא סטנדרט",".GMS",IF(N412="גמר מלא טיוב חומרים",".GMC",IF(N412="גמר מינימלי",".GM",IF(N412="דירת שיווק",".DS","")))),""),IF(M412="זומן לטרום",".ZLT",IF(M412="טרום מסירה",".TM",IF(M412="טרום מסירה מהנדס",".TMM",IF(M412="מסירת חזקה",".MH",IF(M412="מסירת חזקה מהנדס",".MHM",""))))),".",VLOOKUP(Check[[#This Row],[טיפוס]],Tipus[],5,FALSE),".",VLOOKUP(Check[[#This Row],[מגדל]],Tower,2,FALSE),".Ap.",Check[[#This Row],[מספר דירה]])</f>
        <v>S.S.4B.TN.Ap.73</v>
      </c>
      <c r="C412" s="3" t="s">
        <v>56</v>
      </c>
      <c r="D412" s="3">
        <v>9</v>
      </c>
      <c r="E412" s="4">
        <v>73</v>
      </c>
      <c r="F412" s="3">
        <v>902</v>
      </c>
      <c r="G412" s="5" t="s">
        <v>16</v>
      </c>
      <c r="H412" s="5">
        <f>VLOOKUP(Check[[#This Row],[טיפוס]],Tipus[],2,FALSE)</f>
        <v>4</v>
      </c>
      <c r="I412" s="5" t="str">
        <f>VLOOKUP(Check[[#This Row],[טיפוס]],Tipus[],3,FALSE)</f>
        <v>סטנדרט</v>
      </c>
      <c r="J412" s="5" t="str">
        <f>VLOOKUP(Check[[#This Row],[טיפוס]],Tipus[],4,FALSE)</f>
        <v>H</v>
      </c>
      <c r="K412" s="3" t="str">
        <f>IF(Check[[#This Row],[סטטוס2]]="הולד","פנויה",Check[[#This Row],[סטטוס2]])</f>
        <v>מכורה</v>
      </c>
      <c r="L412" s="382" t="s">
        <v>130</v>
      </c>
      <c r="M412" s="382"/>
      <c r="N412" s="383"/>
      <c r="O412" s="383"/>
      <c r="P412" s="411"/>
      <c r="Q412" s="411"/>
      <c r="R412" s="383"/>
      <c r="S412" s="390">
        <v>44304</v>
      </c>
      <c r="T412" s="390" t="s">
        <v>1349</v>
      </c>
      <c r="U412" s="387" t="s">
        <v>607</v>
      </c>
      <c r="V412" s="387"/>
      <c r="W412" s="387"/>
    </row>
    <row r="413" spans="1:23" x14ac:dyDescent="0.2">
      <c r="A413" s="13" t="str">
        <f>_xlfn.CONCAT(VLOOKUP(Check[[#This Row],[סטטוס]],Sold,2,FALSE),IF(Check[[#This Row],[סטטוס]]="פנויה",IF(N413="גמר מלא סטנדרט",".GMS",IF(N413="גמר מלא טיוב חומרים",".GMC",IF(N413="גמר מינימלי",".GM",IF(N413="דירת שיווק",".DS","")))),""),".",VLOOKUP(Check[[#This Row],[טיפוס]],Tipus[],5,FALSE),".",VLOOKUP(Check[[#This Row],[מגדל]],Tower,2,FALSE),".Ap.",Check[[#This Row],[מספר דירה]])</f>
        <v>S.S.2G.TN.Ap.74</v>
      </c>
      <c r="B413" s="13" t="str">
        <f>_xlfn.CONCAT(VLOOKUP(Check[[#This Row],[סטטוס]],Sold,2,FALSE),IF(Check[[#This Row],[סטטוס]]="פנויה",IF(N413="גמר מלא סטנדרט",".GMS",IF(N413="גמר מלא טיוב חומרים",".GMC",IF(N413="גמר מינימלי",".GM",IF(N413="דירת שיווק",".DS","")))),""),IF(M413="זומן לטרום",".ZLT",IF(M413="טרום מסירה",".TM",IF(M413="טרום מסירה מהנדס",".TMM",IF(M413="מסירת חזקה",".MH",IF(M413="מסירת חזקה מהנדס",".MHM",""))))),".",VLOOKUP(Check[[#This Row],[טיפוס]],Tipus[],5,FALSE),".",VLOOKUP(Check[[#This Row],[מגדל]],Tower,2,FALSE),".Ap.",Check[[#This Row],[מספר דירה]])</f>
        <v>S.S.2G.TN.Ap.74</v>
      </c>
      <c r="C413" s="3" t="s">
        <v>56</v>
      </c>
      <c r="D413" s="3">
        <v>9</v>
      </c>
      <c r="E413" s="4">
        <v>74</v>
      </c>
      <c r="F413" s="3">
        <v>903</v>
      </c>
      <c r="G413" s="3" t="s">
        <v>15</v>
      </c>
      <c r="H413" s="3">
        <f>VLOOKUP(Check[[#This Row],[טיפוס]],Tipus[],2,FALSE)</f>
        <v>2</v>
      </c>
      <c r="I413" s="3" t="str">
        <f>VLOOKUP(Check[[#This Row],[טיפוס]],Tipus[],3,FALSE)</f>
        <v>סטנדרט</v>
      </c>
      <c r="J413" s="3" t="str">
        <f>VLOOKUP(Check[[#This Row],[טיפוס]],Tipus[],4,FALSE)</f>
        <v>I</v>
      </c>
      <c r="K413" s="3" t="str">
        <f>IF(Check[[#This Row],[סטטוס2]]="הולד","פנויה",Check[[#This Row],[סטטוס2]])</f>
        <v>מכורה</v>
      </c>
      <c r="L413" s="382" t="s">
        <v>130</v>
      </c>
      <c r="M413" s="382"/>
      <c r="N413" s="383"/>
      <c r="O413" s="383"/>
      <c r="P413" s="411"/>
      <c r="Q413" s="411"/>
      <c r="R413" s="383"/>
      <c r="S413" s="390">
        <v>44327</v>
      </c>
      <c r="T413" s="390" t="s">
        <v>1179</v>
      </c>
      <c r="U413" s="387"/>
      <c r="V413" s="387"/>
      <c r="W413" s="387"/>
    </row>
    <row r="414" spans="1:23" x14ac:dyDescent="0.2">
      <c r="A414" s="13" t="str">
        <f>_xlfn.CONCAT(VLOOKUP(Check[[#This Row],[סטטוס]],Sold,2,FALSE),IF(Check[[#This Row],[סטטוס]]="פנויה",IF(N414="גמר מלא סטנדרט",".GMS",IF(N414="גמר מלא טיוב חומרים",".GMC",IF(N414="גמר מינימלי",".GM",IF(N414="דירת שיווק",".DS","")))),""),".",VLOOKUP(Check[[#This Row],[טיפוס]],Tipus[],5,FALSE),".",VLOOKUP(Check[[#This Row],[מגדל]],Tower,2,FALSE),".Ap.",Check[[#This Row],[מספר דירה]])</f>
        <v>S.S.4A.TN.Ap.75</v>
      </c>
      <c r="B414" s="13" t="str">
        <f>_xlfn.CONCAT(VLOOKUP(Check[[#This Row],[סטטוס]],Sold,2,FALSE),IF(Check[[#This Row],[סטטוס]]="פנויה",IF(N414="גמר מלא סטנדרט",".GMS",IF(N414="גמר מלא טיוב חומרים",".GMC",IF(N414="גמר מינימלי",".GM",IF(N414="דירת שיווק",".DS","")))),""),IF(M414="זומן לטרום",".ZLT",IF(M414="טרום מסירה",".TM",IF(M414="טרום מסירה מהנדס",".TMM",IF(M414="מסירת חזקה",".MH",IF(M414="מסירת חזקה מהנדס",".MHM",""))))),".",VLOOKUP(Check[[#This Row],[טיפוס]],Tipus[],5,FALSE),".",VLOOKUP(Check[[#This Row],[מגדל]],Tower,2,FALSE),".Ap.",Check[[#This Row],[מספר דירה]])</f>
        <v>S.S.4A.TN.Ap.75</v>
      </c>
      <c r="C414" s="3" t="s">
        <v>56</v>
      </c>
      <c r="D414" s="3">
        <v>9</v>
      </c>
      <c r="E414" s="4">
        <v>75</v>
      </c>
      <c r="F414" s="3">
        <v>904</v>
      </c>
      <c r="G414" s="5" t="s">
        <v>14</v>
      </c>
      <c r="H414" s="5">
        <f>VLOOKUP(Check[[#This Row],[טיפוס]],Tipus[],2,FALSE)</f>
        <v>4</v>
      </c>
      <c r="I414" s="5" t="str">
        <f>VLOOKUP(Check[[#This Row],[טיפוס]],Tipus[],3,FALSE)</f>
        <v>סטנדרט</v>
      </c>
      <c r="J414" s="5" t="str">
        <f>VLOOKUP(Check[[#This Row],[טיפוס]],Tipus[],4,FALSE)</f>
        <v>J</v>
      </c>
      <c r="K414" s="3" t="str">
        <f>IF(Check[[#This Row],[סטטוס2]]="הולד","פנויה",Check[[#This Row],[סטטוס2]])</f>
        <v>מכורה</v>
      </c>
      <c r="L414" s="382" t="s">
        <v>130</v>
      </c>
      <c r="M414" s="382"/>
      <c r="N414" s="383"/>
      <c r="O414" s="383"/>
      <c r="P414" s="411"/>
      <c r="Q414" s="411"/>
      <c r="R414" s="383"/>
      <c r="S414" s="390">
        <v>44252</v>
      </c>
      <c r="T414" s="390" t="s">
        <v>1180</v>
      </c>
      <c r="U414" s="387" t="s">
        <v>609</v>
      </c>
      <c r="V414" s="387"/>
      <c r="W414" s="387"/>
    </row>
    <row r="415" spans="1:23" x14ac:dyDescent="0.2">
      <c r="A415" s="13" t="str">
        <f>_xlfn.CONCAT(VLOOKUP(Check[[#This Row],[סטטוס]],Sold,2,FALSE),IF(Check[[#This Row],[סטטוס]]="פנויה",IF(N415="גמר מלא סטנדרט",".GMS",IF(N415="גמר מלא טיוב חומרים",".GMC",IF(N415="גמר מינימלי",".GM",IF(N415="דירת שיווק",".DS","")))),""),".",VLOOKUP(Check[[#This Row],[טיפוס]],Tipus[],5,FALSE),".",VLOOKUP(Check[[#This Row],[מגדל]],Tower,2,FALSE),".Ap.",Check[[#This Row],[מספר דירה]])</f>
        <v>O.S.2F.TN.Ap.76</v>
      </c>
      <c r="B415" s="13" t="str">
        <f>_xlfn.CONCAT(VLOOKUP(Check[[#This Row],[סטטוס]],Sold,2,FALSE),IF(Check[[#This Row],[סטטוס]]="פנויה",IF(N415="גמר מלא סטנדרט",".GMS",IF(N415="גמר מלא טיוב חומרים",".GMC",IF(N415="גמר מינימלי",".GM",IF(N415="דירת שיווק",".DS","")))),""),IF(M415="זומן לטרום",".ZLT",IF(M415="טרום מסירה",".TM",IF(M415="טרום מסירה מהנדס",".TMM",IF(M415="מסירת חזקה",".MH",IF(M415="מסירת חזקה מהנדס",".MHM",""))))),".",VLOOKUP(Check[[#This Row],[טיפוס]],Tipus[],5,FALSE),".",VLOOKUP(Check[[#This Row],[מגדל]],Tower,2,FALSE),".Ap.",Check[[#This Row],[מספר דירה]])</f>
        <v>O.S.2F.TN.Ap.76</v>
      </c>
      <c r="C415" s="3" t="s">
        <v>56</v>
      </c>
      <c r="D415" s="3">
        <v>9</v>
      </c>
      <c r="E415" s="4">
        <v>76</v>
      </c>
      <c r="F415" s="3">
        <v>905</v>
      </c>
      <c r="G415" s="5" t="s">
        <v>12</v>
      </c>
      <c r="H415" s="5">
        <f>VLOOKUP(Check[[#This Row],[טיפוס]],Tipus[],2,FALSE)</f>
        <v>2</v>
      </c>
      <c r="I415" s="5" t="str">
        <f>VLOOKUP(Check[[#This Row],[טיפוס]],Tipus[],3,FALSE)</f>
        <v>סטנדרט</v>
      </c>
      <c r="J415" s="5" t="str">
        <f>VLOOKUP(Check[[#This Row],[טיפוס]],Tipus[],4,FALSE)</f>
        <v>A</v>
      </c>
      <c r="K415" s="3" t="str">
        <f>IF(Check[[#This Row],[סטטוס2]]="הולד","פנויה",Check[[#This Row],[סטטוס2]])</f>
        <v>בעלים</v>
      </c>
      <c r="L415" s="382" t="s">
        <v>91</v>
      </c>
      <c r="M415" s="382"/>
      <c r="N415" s="383"/>
      <c r="O415" s="383"/>
      <c r="P415" s="411"/>
      <c r="Q415" s="411"/>
      <c r="R415" s="383"/>
      <c r="S415" s="390"/>
      <c r="T415" s="390" t="s">
        <v>254</v>
      </c>
      <c r="U415" s="387" t="s">
        <v>257</v>
      </c>
      <c r="V415" s="387" t="s">
        <v>214</v>
      </c>
      <c r="W415" s="387" t="s">
        <v>214</v>
      </c>
    </row>
    <row r="416" spans="1:23" x14ac:dyDescent="0.2">
      <c r="A416" s="13" t="str">
        <f>_xlfn.CONCAT(VLOOKUP(Check[[#This Row],[סטטוס]],Sold,2,FALSE),IF(Check[[#This Row],[סטטוס]]="פנויה",IF(N416="גמר מלא סטנדרט",".GMS",IF(N416="גמר מלא טיוב חומרים",".GMC",IF(N416="גמר מינימלי",".GM",IF(N416="דירת שיווק",".DS","")))),""),".",VLOOKUP(Check[[#This Row],[טיפוס]],Tipus[],5,FALSE),".",VLOOKUP(Check[[#This Row],[מגדל]],Tower,2,FALSE),".Ap.",Check[[#This Row],[מספר דירה]])</f>
        <v>S.S.2E.TN.Ap.77</v>
      </c>
      <c r="B416" s="13" t="str">
        <f>_xlfn.CONCAT(VLOOKUP(Check[[#This Row],[סטטוס]],Sold,2,FALSE),IF(Check[[#This Row],[סטטוס]]="פנויה",IF(N416="גמר מלא סטנדרט",".GMS",IF(N416="גמר מלא טיוב חומרים",".GMC",IF(N416="גמר מינימלי",".GM",IF(N416="דירת שיווק",".DS","")))),""),IF(M416="זומן לטרום",".ZLT",IF(M416="טרום מסירה",".TM",IF(M416="טרום מסירה מהנדס",".TMM",IF(M416="מסירת חזקה",".MH",IF(M416="מסירת חזקה מהנדס",".MHM",""))))),".",VLOOKUP(Check[[#This Row],[טיפוס]],Tipus[],5,FALSE),".",VLOOKUP(Check[[#This Row],[מגדל]],Tower,2,FALSE),".Ap.",Check[[#This Row],[מספר דירה]])</f>
        <v>S.S.2E.TN.Ap.77</v>
      </c>
      <c r="C416" s="3" t="s">
        <v>56</v>
      </c>
      <c r="D416" s="3">
        <v>9</v>
      </c>
      <c r="E416" s="4">
        <v>77</v>
      </c>
      <c r="F416" s="3">
        <v>906</v>
      </c>
      <c r="G416" s="5" t="s">
        <v>11</v>
      </c>
      <c r="H416" s="5">
        <f>VLOOKUP(Check[[#This Row],[טיפוס]],Tipus[],2,FALSE)</f>
        <v>2</v>
      </c>
      <c r="I416" s="5" t="str">
        <f>VLOOKUP(Check[[#This Row],[טיפוס]],Tipus[],3,FALSE)</f>
        <v>סטנדרט</v>
      </c>
      <c r="J416" s="5" t="str">
        <f>VLOOKUP(Check[[#This Row],[טיפוס]],Tipus[],4,FALSE)</f>
        <v>B</v>
      </c>
      <c r="K416" s="3" t="str">
        <f>IF(Check[[#This Row],[סטטוס2]]="הולד","פנויה",Check[[#This Row],[סטטוס2]])</f>
        <v>מכורה</v>
      </c>
      <c r="L416" s="382" t="s">
        <v>130</v>
      </c>
      <c r="M416" s="382"/>
      <c r="N416" s="383"/>
      <c r="O416" s="383"/>
      <c r="P416" s="411"/>
      <c r="Q416" s="411"/>
      <c r="R416" s="383"/>
      <c r="S416" s="390">
        <v>44224</v>
      </c>
      <c r="T416" s="390" t="s">
        <v>1173</v>
      </c>
      <c r="U416" s="387" t="s">
        <v>610</v>
      </c>
      <c r="V416" s="387"/>
      <c r="W416" s="387"/>
    </row>
    <row r="417" spans="1:23" x14ac:dyDescent="0.2">
      <c r="A417" s="13" t="str">
        <f>_xlfn.CONCAT(VLOOKUP(Check[[#This Row],[סטטוס]],Sold,2,FALSE),IF(Check[[#This Row],[סטטוס]]="פנויה",IF(N417="גמר מלא סטנדרט",".GMS",IF(N417="גמר מלא טיוב חומרים",".GMC",IF(N417="גמר מינימלי",".GM",IF(N417="דירת שיווק",".DS","")))),""),".",VLOOKUP(Check[[#This Row],[טיפוס]],Tipus[],5,FALSE),".",VLOOKUP(Check[[#This Row],[מגדל]],Tower,2,FALSE),".Ap.",Check[[#This Row],[מספר דירה]])</f>
        <v>S.S.2D.TN.Ap.78</v>
      </c>
      <c r="B417" s="13" t="str">
        <f>_xlfn.CONCAT(VLOOKUP(Check[[#This Row],[סטטוס]],Sold,2,FALSE),IF(Check[[#This Row],[סטטוס]]="פנויה",IF(N417="גמר מלא סטנדרט",".GMS",IF(N417="גמר מלא טיוב חומרים",".GMC",IF(N417="גמר מינימלי",".GM",IF(N417="דירת שיווק",".DS","")))),""),IF(M417="זומן לטרום",".ZLT",IF(M417="טרום מסירה",".TM",IF(M417="טרום מסירה מהנדס",".TMM",IF(M417="מסירת חזקה",".MH",IF(M417="מסירת חזקה מהנדס",".MHM",""))))),".",VLOOKUP(Check[[#This Row],[טיפוס]],Tipus[],5,FALSE),".",VLOOKUP(Check[[#This Row],[מגדל]],Tower,2,FALSE),".Ap.",Check[[#This Row],[מספר דירה]])</f>
        <v>S.S.2D.TN.Ap.78</v>
      </c>
      <c r="C417" s="3" t="s">
        <v>56</v>
      </c>
      <c r="D417" s="3">
        <v>9</v>
      </c>
      <c r="E417" s="4">
        <v>78</v>
      </c>
      <c r="F417" s="3">
        <v>907</v>
      </c>
      <c r="G417" s="3" t="s">
        <v>10</v>
      </c>
      <c r="H417" s="3">
        <f>VLOOKUP(Check[[#This Row],[טיפוס]],Tipus[],2,FALSE)</f>
        <v>2</v>
      </c>
      <c r="I417" s="3" t="str">
        <f>VLOOKUP(Check[[#This Row],[טיפוס]],Tipus[],3,FALSE)</f>
        <v>סטנדרט</v>
      </c>
      <c r="J417" s="3" t="str">
        <f>VLOOKUP(Check[[#This Row],[טיפוס]],Tipus[],4,FALSE)</f>
        <v>C</v>
      </c>
      <c r="K417" s="3" t="str">
        <f>IF(Check[[#This Row],[סטטוס2]]="הולד","פנויה",Check[[#This Row],[סטטוס2]])</f>
        <v>מכורה</v>
      </c>
      <c r="L417" s="382" t="s">
        <v>130</v>
      </c>
      <c r="M417" s="382"/>
      <c r="N417" s="383"/>
      <c r="O417" s="383"/>
      <c r="P417" s="411"/>
      <c r="Q417" s="411"/>
      <c r="R417" s="383"/>
      <c r="S417" s="390">
        <v>44266</v>
      </c>
      <c r="T417" s="390" t="s">
        <v>1181</v>
      </c>
      <c r="U417" s="387" t="s">
        <v>611</v>
      </c>
      <c r="V417" s="387"/>
      <c r="W417" s="387"/>
    </row>
    <row r="418" spans="1:23" x14ac:dyDescent="0.2">
      <c r="A418" s="13" t="str">
        <f>_xlfn.CONCAT(VLOOKUP(Check[[#This Row],[סטטוס]],Sold,2,FALSE),IF(Check[[#This Row],[סטטוס]]="פנויה",IF(N418="גמר מלא סטנדרט",".GMS",IF(N418="גמר מלא טיוב חומרים",".GMC",IF(N418="גמר מינימלי",".GM",IF(N418="דירת שיווק",".DS","")))),""),".",VLOOKUP(Check[[#This Row],[טיפוס]],Tipus[],5,FALSE),".",VLOOKUP(Check[[#This Row],[מגדל]],Tower,2,FALSE),".Ap.",Check[[#This Row],[מספר דירה]])</f>
        <v>S.S.3A.TN.Ap.79</v>
      </c>
      <c r="B418" s="13" t="str">
        <f>_xlfn.CONCAT(VLOOKUP(Check[[#This Row],[סטטוס]],Sold,2,FALSE),IF(Check[[#This Row],[סטטוס]]="פנויה",IF(N418="גמר מלא סטנדרט",".GMS",IF(N418="גמר מלא טיוב חומרים",".GMC",IF(N418="גמר מינימלי",".GM",IF(N418="דירת שיווק",".DS","")))),""),IF(M418="זומן לטרום",".ZLT",IF(M418="טרום מסירה",".TM",IF(M418="טרום מסירה מהנדס",".TMM",IF(M418="מסירת חזקה",".MH",IF(M418="מסירת חזקה מהנדס",".MHM",""))))),".",VLOOKUP(Check[[#This Row],[טיפוס]],Tipus[],5,FALSE),".",VLOOKUP(Check[[#This Row],[מגדל]],Tower,2,FALSE),".Ap.",Check[[#This Row],[מספר דירה]])</f>
        <v>S.S.3A.TN.Ap.79</v>
      </c>
      <c r="C418" s="3" t="s">
        <v>56</v>
      </c>
      <c r="D418" s="3">
        <v>10</v>
      </c>
      <c r="E418" s="4">
        <v>79</v>
      </c>
      <c r="F418" s="3">
        <v>1007</v>
      </c>
      <c r="G418" s="3" t="s">
        <v>9</v>
      </c>
      <c r="H418" s="5">
        <f>VLOOKUP(Check[[#This Row],[טיפוס]],Tipus[],2,FALSE)</f>
        <v>3</v>
      </c>
      <c r="I418" s="5" t="str">
        <f>VLOOKUP(Check[[#This Row],[טיפוס]],Tipus[],3,FALSE)</f>
        <v>סטנדרט</v>
      </c>
      <c r="J418" s="5" t="str">
        <f>VLOOKUP(Check[[#This Row],[טיפוס]],Tipus[],4,FALSE)</f>
        <v>D</v>
      </c>
      <c r="K418" s="3" t="str">
        <f>IF(Check[[#This Row],[סטטוס2]]="הולד","פנויה",Check[[#This Row],[סטטוס2]])</f>
        <v>מכורה</v>
      </c>
      <c r="L418" s="382" t="s">
        <v>130</v>
      </c>
      <c r="M418" s="382"/>
      <c r="N418" s="383"/>
      <c r="O418" s="383"/>
      <c r="P418" s="411"/>
      <c r="Q418" s="411"/>
      <c r="R418" s="383"/>
      <c r="S418" s="390">
        <v>44353</v>
      </c>
      <c r="T418" s="390" t="s">
        <v>1350</v>
      </c>
      <c r="U418" s="387" t="s">
        <v>612</v>
      </c>
      <c r="V418" s="387"/>
      <c r="W418" s="387"/>
    </row>
    <row r="419" spans="1:23" x14ac:dyDescent="0.2">
      <c r="A419" s="13" t="str">
        <f>_xlfn.CONCAT(VLOOKUP(Check[[#This Row],[סטטוס]],Sold,2,FALSE),IF(Check[[#This Row],[סטטוס]]="פנויה",IF(N419="גמר מלא סטנדרט",".GMS",IF(N419="גמר מלא טיוב חומרים",".GMC",IF(N419="גמר מינימלי",".GM",IF(N419="דירת שיווק",".DS","")))),""),".",VLOOKUP(Check[[#This Row],[טיפוס]],Tipus[],5,FALSE),".",VLOOKUP(Check[[#This Row],[מגדל]],Tower,2,FALSE),".Ap.",Check[[#This Row],[מספר דירה]])</f>
        <v>S.S.3C.TN.Ap.80</v>
      </c>
      <c r="B419" s="13" t="str">
        <f>_xlfn.CONCAT(VLOOKUP(Check[[#This Row],[סטטוס]],Sold,2,FALSE),IF(Check[[#This Row],[סטטוס]]="פנויה",IF(N419="גמר מלא סטנדרט",".GMS",IF(N419="גמר מלא טיוב חומרים",".GMC",IF(N419="גמר מינימלי",".GM",IF(N419="דירת שיווק",".DS","")))),""),IF(M419="זומן לטרום",".ZLT",IF(M419="טרום מסירה",".TM",IF(M419="טרום מסירה מהנדס",".TMM",IF(M419="מסירת חזקה",".MH",IF(M419="מסירת חזקה מהנדס",".MHM",""))))),".",VLOOKUP(Check[[#This Row],[טיפוס]],Tipus[],5,FALSE),".",VLOOKUP(Check[[#This Row],[מגדל]],Tower,2,FALSE),".Ap.",Check[[#This Row],[מספר דירה]])</f>
        <v>S.S.3C.TN.Ap.80</v>
      </c>
      <c r="C419" s="3" t="s">
        <v>56</v>
      </c>
      <c r="D419" s="3">
        <v>10</v>
      </c>
      <c r="E419" s="4">
        <v>80</v>
      </c>
      <c r="F419" s="3">
        <v>1008</v>
      </c>
      <c r="G419" s="3" t="s">
        <v>18</v>
      </c>
      <c r="H419" s="5">
        <f>VLOOKUP(Check[[#This Row],[טיפוס]],Tipus[],2,FALSE)</f>
        <v>3</v>
      </c>
      <c r="I419" s="5" t="str">
        <f>VLOOKUP(Check[[#This Row],[טיפוס]],Tipus[],3,FALSE)</f>
        <v>סטנדרט</v>
      </c>
      <c r="J419" s="5" t="str">
        <f>VLOOKUP(Check[[#This Row],[טיפוס]],Tipus[],4,FALSE)</f>
        <v>E</v>
      </c>
      <c r="K419" s="3" t="str">
        <f>IF(Check[[#This Row],[סטטוס2]]="הולד","פנויה",Check[[#This Row],[סטטוס2]])</f>
        <v>מכורה</v>
      </c>
      <c r="L419" s="382" t="s">
        <v>130</v>
      </c>
      <c r="M419" s="382"/>
      <c r="N419" s="383"/>
      <c r="O419" s="383"/>
      <c r="P419" s="411"/>
      <c r="Q419" s="411"/>
      <c r="R419" s="383"/>
      <c r="S419" s="390">
        <v>44255</v>
      </c>
      <c r="T419" s="390" t="s">
        <v>1182</v>
      </c>
      <c r="U419" s="387" t="s">
        <v>613</v>
      </c>
      <c r="V419" s="387"/>
      <c r="W419" s="387"/>
    </row>
    <row r="420" spans="1:23" x14ac:dyDescent="0.2">
      <c r="A420" s="13" t="str">
        <f>_xlfn.CONCAT(VLOOKUP(Check[[#This Row],[סטטוס]],Sold,2,FALSE),IF(Check[[#This Row],[סטטוס]]="פנויה",IF(N420="גמר מלא סטנדרט",".GMS",IF(N420="גמר מלא טיוב חומרים",".GMC",IF(N420="גמר מינימלי",".GM",IF(N420="דירת שיווק",".DS","")))),""),".",VLOOKUP(Check[[#This Row],[טיפוס]],Tipus[],5,FALSE),".",VLOOKUP(Check[[#This Row],[מגדל]],Tower,2,FALSE),".Ap.",Check[[#This Row],[מספר דירה]])</f>
        <v>S.S.3B.TN.Ap.81</v>
      </c>
      <c r="B420" s="13" t="str">
        <f>_xlfn.CONCAT(VLOOKUP(Check[[#This Row],[סטטוס]],Sold,2,FALSE),IF(Check[[#This Row],[סטטוס]]="פנויה",IF(N420="גמר מלא סטנדרט",".GMS",IF(N420="גמר מלא טיוב חומרים",".GMC",IF(N420="גמר מינימלי",".GM",IF(N420="דירת שיווק",".DS","")))),""),IF(M420="זומן לטרום",".ZLT",IF(M420="טרום מסירה",".TM",IF(M420="טרום מסירה מהנדס",".TMM",IF(M420="מסירת חזקה",".MH",IF(M420="מסירת חזקה מהנדס",".MHM",""))))),".",VLOOKUP(Check[[#This Row],[טיפוס]],Tipus[],5,FALSE),".",VLOOKUP(Check[[#This Row],[מגדל]],Tower,2,FALSE),".Ap.",Check[[#This Row],[מספר דירה]])</f>
        <v>S.S.3B.TN.Ap.81</v>
      </c>
      <c r="C420" s="3" t="s">
        <v>56</v>
      </c>
      <c r="D420" s="3">
        <v>10</v>
      </c>
      <c r="E420" s="4">
        <v>81</v>
      </c>
      <c r="F420" s="3">
        <v>1001</v>
      </c>
      <c r="G420" s="5" t="s">
        <v>19</v>
      </c>
      <c r="H420" s="5">
        <f>VLOOKUP(Check[[#This Row],[טיפוס]],Tipus[],2,FALSE)</f>
        <v>3</v>
      </c>
      <c r="I420" s="5" t="str">
        <f>VLOOKUP(Check[[#This Row],[טיפוס]],Tipus[],3,FALSE)</f>
        <v>סטנדרט</v>
      </c>
      <c r="J420" s="5" t="str">
        <f>VLOOKUP(Check[[#This Row],[טיפוס]],Tipus[],4,FALSE)</f>
        <v>G</v>
      </c>
      <c r="K420" s="3" t="str">
        <f>IF(Check[[#This Row],[סטטוס2]]="הולד","פנויה",Check[[#This Row],[סטטוס2]])</f>
        <v>מכורה</v>
      </c>
      <c r="L420" s="382" t="s">
        <v>130</v>
      </c>
      <c r="M420" s="382"/>
      <c r="N420" s="383"/>
      <c r="O420" s="383"/>
      <c r="P420" s="411"/>
      <c r="Q420" s="411"/>
      <c r="R420" s="383"/>
      <c r="S420" s="390">
        <v>44238</v>
      </c>
      <c r="T420" s="390" t="s">
        <v>1351</v>
      </c>
      <c r="U420" s="387" t="s">
        <v>614</v>
      </c>
      <c r="V420" s="387"/>
      <c r="W420" s="387"/>
    </row>
    <row r="421" spans="1:23" x14ac:dyDescent="0.2">
      <c r="A421" s="13" t="str">
        <f>_xlfn.CONCAT(VLOOKUP(Check[[#This Row],[סטטוס]],Sold,2,FALSE),IF(Check[[#This Row],[סטטוס]]="פנויה",IF(N421="גמר מלא סטנדרט",".GMS",IF(N421="גמר מלא טיוב חומרים",".GMC",IF(N421="גמר מינימלי",".GM",IF(N421="דירת שיווק",".DS","")))),""),".",VLOOKUP(Check[[#This Row],[טיפוס]],Tipus[],5,FALSE),".",VLOOKUP(Check[[#This Row],[מגדל]],Tower,2,FALSE),".Ap.",Check[[#This Row],[מספר דירה]])</f>
        <v>S.S.4B.TN.Ap.82</v>
      </c>
      <c r="B421" s="13" t="str">
        <f>_xlfn.CONCAT(VLOOKUP(Check[[#This Row],[סטטוס]],Sold,2,FALSE),IF(Check[[#This Row],[סטטוס]]="פנויה",IF(N421="גמר מלא סטנדרט",".GMS",IF(N421="גמר מלא טיוב חומרים",".GMC",IF(N421="גמר מינימלי",".GM",IF(N421="דירת שיווק",".DS","")))),""),IF(M421="זומן לטרום",".ZLT",IF(M421="טרום מסירה",".TM",IF(M421="טרום מסירה מהנדס",".TMM",IF(M421="מסירת חזקה",".MH",IF(M421="מסירת חזקה מהנדס",".MHM",""))))),".",VLOOKUP(Check[[#This Row],[טיפוס]],Tipus[],5,FALSE),".",VLOOKUP(Check[[#This Row],[מגדל]],Tower,2,FALSE),".Ap.",Check[[#This Row],[מספר דירה]])</f>
        <v>S.S.4B.TN.Ap.82</v>
      </c>
      <c r="C421" s="3" t="s">
        <v>56</v>
      </c>
      <c r="D421" s="3">
        <v>10</v>
      </c>
      <c r="E421" s="4">
        <v>82</v>
      </c>
      <c r="F421" s="3">
        <v>1002</v>
      </c>
      <c r="G421" s="5" t="s">
        <v>16</v>
      </c>
      <c r="H421" s="5">
        <f>VLOOKUP(Check[[#This Row],[טיפוס]],Tipus[],2,FALSE)</f>
        <v>4</v>
      </c>
      <c r="I421" s="5" t="str">
        <f>VLOOKUP(Check[[#This Row],[טיפוס]],Tipus[],3,FALSE)</f>
        <v>סטנדרט</v>
      </c>
      <c r="J421" s="5" t="str">
        <f>VLOOKUP(Check[[#This Row],[טיפוס]],Tipus[],4,FALSE)</f>
        <v>H</v>
      </c>
      <c r="K421" s="3" t="str">
        <f>IF(Check[[#This Row],[סטטוס2]]="הולד","פנויה",Check[[#This Row],[סטטוס2]])</f>
        <v>מכורה</v>
      </c>
      <c r="L421" s="382" t="s">
        <v>130</v>
      </c>
      <c r="M421" s="382"/>
      <c r="N421" s="383"/>
      <c r="O421" s="383"/>
      <c r="P421" s="411"/>
      <c r="Q421" s="411"/>
      <c r="R421" s="383"/>
      <c r="S421" s="390">
        <v>44252</v>
      </c>
      <c r="T421" s="390" t="s">
        <v>1183</v>
      </c>
      <c r="U421" s="387" t="s">
        <v>615</v>
      </c>
      <c r="V421" s="387"/>
      <c r="W421" s="387"/>
    </row>
    <row r="422" spans="1:23" x14ac:dyDescent="0.2">
      <c r="A422" s="13" t="str">
        <f>_xlfn.CONCAT(VLOOKUP(Check[[#This Row],[סטטוס]],Sold,2,FALSE),IF(Check[[#This Row],[סטטוס]]="פנויה",IF(N422="גמר מלא סטנדרט",".GMS",IF(N422="גמר מלא טיוב חומרים",".GMC",IF(N422="גמר מינימלי",".GM",IF(N422="דירת שיווק",".DS","")))),""),".",VLOOKUP(Check[[#This Row],[טיפוס]],Tipus[],5,FALSE),".",VLOOKUP(Check[[#This Row],[מגדל]],Tower,2,FALSE),".Ap.",Check[[#This Row],[מספר דירה]])</f>
        <v>S.S.2G.TN.Ap.83</v>
      </c>
      <c r="B422" s="13" t="str">
        <f>_xlfn.CONCAT(VLOOKUP(Check[[#This Row],[סטטוס]],Sold,2,FALSE),IF(Check[[#This Row],[סטטוס]]="פנויה",IF(N422="גמר מלא סטנדרט",".GMS",IF(N422="גמר מלא טיוב חומרים",".GMC",IF(N422="גמר מינימלי",".GM",IF(N422="דירת שיווק",".DS","")))),""),IF(M422="זומן לטרום",".ZLT",IF(M422="טרום מסירה",".TM",IF(M422="טרום מסירה מהנדס",".TMM",IF(M422="מסירת חזקה",".MH",IF(M422="מסירת חזקה מהנדס",".MHM",""))))),".",VLOOKUP(Check[[#This Row],[טיפוס]],Tipus[],5,FALSE),".",VLOOKUP(Check[[#This Row],[מגדל]],Tower,2,FALSE),".Ap.",Check[[#This Row],[מספר דירה]])</f>
        <v>S.S.2G.TN.Ap.83</v>
      </c>
      <c r="C422" s="3" t="s">
        <v>56</v>
      </c>
      <c r="D422" s="3">
        <v>10</v>
      </c>
      <c r="E422" s="4">
        <v>83</v>
      </c>
      <c r="F422" s="3">
        <v>1003</v>
      </c>
      <c r="G422" s="5" t="s">
        <v>15</v>
      </c>
      <c r="H422" s="5">
        <f>VLOOKUP(Check[[#This Row],[טיפוס]],Tipus[],2,FALSE)</f>
        <v>2</v>
      </c>
      <c r="I422" s="5" t="str">
        <f>VLOOKUP(Check[[#This Row],[טיפוס]],Tipus[],3,FALSE)</f>
        <v>סטנדרט</v>
      </c>
      <c r="J422" s="5" t="str">
        <f>VLOOKUP(Check[[#This Row],[טיפוס]],Tipus[],4,FALSE)</f>
        <v>I</v>
      </c>
      <c r="K422" s="3" t="str">
        <f>IF(Check[[#This Row],[סטטוס2]]="הולד","פנויה",Check[[#This Row],[סטטוס2]])</f>
        <v>מכורה</v>
      </c>
      <c r="L422" s="382" t="s">
        <v>130</v>
      </c>
      <c r="M422" s="382"/>
      <c r="N422" s="383"/>
      <c r="O422" s="383"/>
      <c r="P422" s="411"/>
      <c r="Q422" s="411"/>
      <c r="R422" s="383"/>
      <c r="S422" s="390">
        <v>44439</v>
      </c>
      <c r="T422" s="390" t="s">
        <v>1184</v>
      </c>
      <c r="U422" s="387" t="s">
        <v>616</v>
      </c>
      <c r="V422" s="387"/>
      <c r="W422" s="387"/>
    </row>
    <row r="423" spans="1:23" x14ac:dyDescent="0.2">
      <c r="A423" s="13" t="str">
        <f>_xlfn.CONCAT(VLOOKUP(Check[[#This Row],[סטטוס]],Sold,2,FALSE),IF(Check[[#This Row],[סטטוס]]="פנויה",IF(N423="גמר מלא סטנדרט",".GMS",IF(N423="גמר מלא טיוב חומרים",".GMC",IF(N423="גמר מינימלי",".GM",IF(N423="דירת שיווק",".DS","")))),""),".",VLOOKUP(Check[[#This Row],[טיפוס]],Tipus[],5,FALSE),".",VLOOKUP(Check[[#This Row],[מגדל]],Tower,2,FALSE),".Ap.",Check[[#This Row],[מספר דירה]])</f>
        <v>O.S.4A.TN.Ap.84</v>
      </c>
      <c r="B423" s="13" t="str">
        <f>_xlfn.CONCAT(VLOOKUP(Check[[#This Row],[סטטוס]],Sold,2,FALSE),IF(Check[[#This Row],[סטטוס]]="פנויה",IF(N423="גמר מלא סטנדרט",".GMS",IF(N423="גמר מלא טיוב חומרים",".GMC",IF(N423="גמר מינימלי",".GM",IF(N423="דירת שיווק",".DS","")))),""),IF(M423="זומן לטרום",".ZLT",IF(M423="טרום מסירה",".TM",IF(M423="טרום מסירה מהנדס",".TMM",IF(M423="מסירת חזקה",".MH",IF(M423="מסירת חזקה מהנדס",".MHM",""))))),".",VLOOKUP(Check[[#This Row],[טיפוס]],Tipus[],5,FALSE),".",VLOOKUP(Check[[#This Row],[מגדל]],Tower,2,FALSE),".Ap.",Check[[#This Row],[מספר דירה]])</f>
        <v>O.S.4A.TN.Ap.84</v>
      </c>
      <c r="C423" s="3" t="s">
        <v>56</v>
      </c>
      <c r="D423" s="3">
        <v>10</v>
      </c>
      <c r="E423" s="4">
        <v>84</v>
      </c>
      <c r="F423" s="3">
        <v>1004</v>
      </c>
      <c r="G423" s="3" t="s">
        <v>14</v>
      </c>
      <c r="H423" s="5">
        <f>VLOOKUP(Check[[#This Row],[טיפוס]],Tipus[],2,FALSE)</f>
        <v>4</v>
      </c>
      <c r="I423" s="5" t="str">
        <f>VLOOKUP(Check[[#This Row],[טיפוס]],Tipus[],3,FALSE)</f>
        <v>סטנדרט</v>
      </c>
      <c r="J423" s="5" t="str">
        <f>VLOOKUP(Check[[#This Row],[טיפוס]],Tipus[],4,FALSE)</f>
        <v>J</v>
      </c>
      <c r="K423" s="3" t="str">
        <f>IF(Check[[#This Row],[סטטוס2]]="הולד","פנויה",Check[[#This Row],[סטטוס2]])</f>
        <v>בעלים</v>
      </c>
      <c r="L423" s="382" t="s">
        <v>91</v>
      </c>
      <c r="M423" s="382"/>
      <c r="N423" s="383"/>
      <c r="O423" s="383"/>
      <c r="P423" s="411"/>
      <c r="Q423" s="411"/>
      <c r="R423" s="383"/>
      <c r="S423" s="390"/>
      <c r="T423" s="390" t="s">
        <v>258</v>
      </c>
      <c r="U423" s="387" t="s">
        <v>259</v>
      </c>
      <c r="V423" s="387" t="s">
        <v>214</v>
      </c>
      <c r="W423" s="387" t="s">
        <v>242</v>
      </c>
    </row>
    <row r="424" spans="1:23" x14ac:dyDescent="0.2">
      <c r="A424" s="13" t="str">
        <f>_xlfn.CONCAT(VLOOKUP(Check[[#This Row],[סטטוס]],Sold,2,FALSE),IF(Check[[#This Row],[סטטוס]]="פנויה",IF(N424="גמר מלא סטנדרט",".GMS",IF(N424="גמר מלא טיוב חומרים",".GMC",IF(N424="גמר מינימלי",".GM",IF(N424="דירת שיווק",".DS","")))),""),".",VLOOKUP(Check[[#This Row],[טיפוס]],Tipus[],5,FALSE),".",VLOOKUP(Check[[#This Row],[מגדל]],Tower,2,FALSE),".Ap.",Check[[#This Row],[מספר דירה]])</f>
        <v>S.S.3E.TN.Ap.85</v>
      </c>
      <c r="B424" s="13" t="str">
        <f>_xlfn.CONCAT(VLOOKUP(Check[[#This Row],[סטטוס]],Sold,2,FALSE),IF(Check[[#This Row],[סטטוס]]="פנויה",IF(N424="גמר מלא סטנדרט",".GMS",IF(N424="גמר מלא טיוב חומרים",".GMC",IF(N424="גמר מינימלי",".GM",IF(N424="דירת שיווק",".DS","")))),""),IF(M424="זומן לטרום",".ZLT",IF(M424="טרום מסירה",".TM",IF(M424="טרום מסירה מהנדס",".TMM",IF(M424="מסירת חזקה",".MH",IF(M424="מסירת חזקה מהנדס",".MHM",""))))),".",VLOOKUP(Check[[#This Row],[טיפוס]],Tipus[],5,FALSE),".",VLOOKUP(Check[[#This Row],[מגדל]],Tower,2,FALSE),".Ap.",Check[[#This Row],[מספר דירה]])</f>
        <v>S.S.3E.TN.Ap.85</v>
      </c>
      <c r="C424" s="3" t="s">
        <v>56</v>
      </c>
      <c r="D424" s="3">
        <v>10</v>
      </c>
      <c r="E424" s="4">
        <v>85</v>
      </c>
      <c r="F424" s="3">
        <v>1005</v>
      </c>
      <c r="G424" s="5" t="s">
        <v>20</v>
      </c>
      <c r="H424" s="5">
        <f>VLOOKUP(Check[[#This Row],[טיפוס]],Tipus[],2,FALSE)</f>
        <v>3</v>
      </c>
      <c r="I424" s="5" t="str">
        <f>VLOOKUP(Check[[#This Row],[טיפוס]],Tipus[],3,FALSE)</f>
        <v>סטנדרט</v>
      </c>
      <c r="J424" s="5" t="str">
        <f>VLOOKUP(Check[[#This Row],[טיפוס]],Tipus[],4,FALSE)</f>
        <v>A</v>
      </c>
      <c r="K424" s="3" t="str">
        <f>IF(Check[[#This Row],[סטטוס2]]="הולד","פנויה",Check[[#This Row],[סטטוס2]])</f>
        <v>מכורה</v>
      </c>
      <c r="L424" s="382" t="s">
        <v>130</v>
      </c>
      <c r="M424" s="382"/>
      <c r="N424" s="383"/>
      <c r="O424" s="383"/>
      <c r="P424" s="411"/>
      <c r="Q424" s="411"/>
      <c r="R424" s="383"/>
      <c r="S424" s="390">
        <v>44249</v>
      </c>
      <c r="T424" s="390" t="s">
        <v>1352</v>
      </c>
      <c r="U424" s="387" t="s">
        <v>617</v>
      </c>
      <c r="V424" s="387"/>
      <c r="W424" s="387"/>
    </row>
    <row r="425" spans="1:23" x14ac:dyDescent="0.2">
      <c r="A425" s="13" t="str">
        <f>_xlfn.CONCAT(VLOOKUP(Check[[#This Row],[סטטוס]],Sold,2,FALSE),IF(Check[[#This Row],[סטטוס]]="פנויה",IF(N425="גמר מלא סטנדרט",".GMS",IF(N425="גמר מלא טיוב חומרים",".GMC",IF(N425="גמר מינימלי",".GM",IF(N425="דירת שיווק",".DS","")))),""),".",VLOOKUP(Check[[#This Row],[טיפוס]],Tipus[],5,FALSE),".",VLOOKUP(Check[[#This Row],[מגדל]],Tower,2,FALSE),".Ap.",Check[[#This Row],[מספר דירה]])</f>
        <v>S.S.3D.TN.Ap.86</v>
      </c>
      <c r="B425" s="13" t="str">
        <f>_xlfn.CONCAT(VLOOKUP(Check[[#This Row],[סטטוס]],Sold,2,FALSE),IF(Check[[#This Row],[סטטוס]]="פנויה",IF(N425="גמר מלא סטנדרט",".GMS",IF(N425="גמר מלא טיוב חומרים",".GMC",IF(N425="גמר מינימלי",".GM",IF(N425="דירת שיווק",".DS","")))),""),IF(M425="זומן לטרום",".ZLT",IF(M425="טרום מסירה",".TM",IF(M425="טרום מסירה מהנדס",".TMM",IF(M425="מסירת חזקה",".MH",IF(M425="מסירת חזקה מהנדס",".MHM",""))))),".",VLOOKUP(Check[[#This Row],[טיפוס]],Tipus[],5,FALSE),".",VLOOKUP(Check[[#This Row],[מגדל]],Tower,2,FALSE),".Ap.",Check[[#This Row],[מספר דירה]])</f>
        <v>S.S.3D.TN.Ap.86</v>
      </c>
      <c r="C425" s="3" t="s">
        <v>56</v>
      </c>
      <c r="D425" s="3">
        <v>10</v>
      </c>
      <c r="E425" s="4">
        <v>86</v>
      </c>
      <c r="F425" s="3">
        <v>1006</v>
      </c>
      <c r="G425" s="5" t="s">
        <v>21</v>
      </c>
      <c r="H425" s="5">
        <f>VLOOKUP(Check[[#This Row],[טיפוס]],Tipus[],2,FALSE)</f>
        <v>3</v>
      </c>
      <c r="I425" s="5" t="str">
        <f>VLOOKUP(Check[[#This Row],[טיפוס]],Tipus[],3,FALSE)</f>
        <v>סטנדרט</v>
      </c>
      <c r="J425" s="5" t="str">
        <f>VLOOKUP(Check[[#This Row],[טיפוס]],Tipus[],4,FALSE)</f>
        <v>C</v>
      </c>
      <c r="K425" s="3" t="str">
        <f>IF(Check[[#This Row],[סטטוס2]]="הולד","פנויה",Check[[#This Row],[סטטוס2]])</f>
        <v>מכורה</v>
      </c>
      <c r="L425" s="382" t="s">
        <v>130</v>
      </c>
      <c r="M425" s="382"/>
      <c r="N425" s="383"/>
      <c r="O425" s="383"/>
      <c r="P425" s="411"/>
      <c r="Q425" s="411"/>
      <c r="R425" s="383"/>
      <c r="S425" s="390">
        <v>44424</v>
      </c>
      <c r="T425" s="390" t="s">
        <v>1185</v>
      </c>
      <c r="U425" s="387" t="s">
        <v>619</v>
      </c>
      <c r="V425" s="387"/>
      <c r="W425" s="387"/>
    </row>
    <row r="426" spans="1:23" x14ac:dyDescent="0.2">
      <c r="A426" s="13" t="str">
        <f>_xlfn.CONCAT(VLOOKUP(Check[[#This Row],[סטטוס]],Sold,2,FALSE),IF(Check[[#This Row],[סטטוס]]="פנויה",IF(N426="גמר מלא סטנדרט",".GMS",IF(N426="גמר מלא טיוב חומרים",".GMC",IF(N426="גמר מינימלי",".GM",IF(N426="דירת שיווק",".DS","")))),""),".",VLOOKUP(Check[[#This Row],[טיפוס]],Tipus[],5,FALSE),".",VLOOKUP(Check[[#This Row],[מגדל]],Tower,2,FALSE),".Ap.",Check[[#This Row],[מספר דירה]])</f>
        <v>S.S.3A.TN.Ap.87</v>
      </c>
      <c r="B426" s="13" t="str">
        <f>_xlfn.CONCAT(VLOOKUP(Check[[#This Row],[סטטוס]],Sold,2,FALSE),IF(Check[[#This Row],[סטטוס]]="פנויה",IF(N426="גמר מלא סטנדרט",".GMS",IF(N426="גמר מלא טיוב חומרים",".GMC",IF(N426="גמר מינימלי",".GM",IF(N426="דירת שיווק",".DS","")))),""),IF(M426="זומן לטרום",".ZLT",IF(M426="טרום מסירה",".TM",IF(M426="טרום מסירה מהנדס",".TMM",IF(M426="מסירת חזקה",".MH",IF(M426="מסירת חזקה מהנדס",".MHM",""))))),".",VLOOKUP(Check[[#This Row],[טיפוס]],Tipus[],5,FALSE),".",VLOOKUP(Check[[#This Row],[מגדל]],Tower,2,FALSE),".Ap.",Check[[#This Row],[מספר דירה]])</f>
        <v>S.S.3A.TN.Ap.87</v>
      </c>
      <c r="C426" s="3" t="s">
        <v>56</v>
      </c>
      <c r="D426" s="3">
        <v>11</v>
      </c>
      <c r="E426" s="4">
        <v>87</v>
      </c>
      <c r="F426" s="3">
        <v>1107</v>
      </c>
      <c r="G426" s="3" t="s">
        <v>9</v>
      </c>
      <c r="H426" s="5">
        <f>VLOOKUP(Check[[#This Row],[טיפוס]],Tipus[],2,FALSE)</f>
        <v>3</v>
      </c>
      <c r="I426" s="5" t="str">
        <f>VLOOKUP(Check[[#This Row],[טיפוס]],Tipus[],3,FALSE)</f>
        <v>סטנדרט</v>
      </c>
      <c r="J426" s="5" t="str">
        <f>VLOOKUP(Check[[#This Row],[טיפוס]],Tipus[],4,FALSE)</f>
        <v>D</v>
      </c>
      <c r="K426" s="3" t="str">
        <f>IF(Check[[#This Row],[סטטוס2]]="הולד","פנויה",Check[[#This Row],[סטטוס2]])</f>
        <v>מכורה</v>
      </c>
      <c r="L426" s="382" t="s">
        <v>130</v>
      </c>
      <c r="M426" s="382"/>
      <c r="N426" s="383"/>
      <c r="O426" s="383"/>
      <c r="P426" s="411"/>
      <c r="Q426" s="411"/>
      <c r="R426" s="383"/>
      <c r="S426" s="390">
        <v>44215</v>
      </c>
      <c r="T426" s="390" t="s">
        <v>1353</v>
      </c>
      <c r="U426" s="387" t="s">
        <v>620</v>
      </c>
      <c r="V426" s="387"/>
      <c r="W426" s="387"/>
    </row>
    <row r="427" spans="1:23" x14ac:dyDescent="0.2">
      <c r="A427" s="13" t="str">
        <f>_xlfn.CONCAT(VLOOKUP(Check[[#This Row],[סטטוס]],Sold,2,FALSE),IF(Check[[#This Row],[סטטוס]]="פנויה",IF(N427="גמר מלא סטנדרט",".GMS",IF(N427="גמר מלא טיוב חומרים",".GMC",IF(N427="גמר מינימלי",".GM",IF(N427="דירת שיווק",".DS","")))),""),".",VLOOKUP(Check[[#This Row],[טיפוס]],Tipus[],5,FALSE),".",VLOOKUP(Check[[#This Row],[מגדל]],Tower,2,FALSE),".Ap.",Check[[#This Row],[מספר דירה]])</f>
        <v>O.S.3C.TN.Ap.88</v>
      </c>
      <c r="B427" s="13" t="str">
        <f>_xlfn.CONCAT(VLOOKUP(Check[[#This Row],[סטטוס]],Sold,2,FALSE),IF(Check[[#This Row],[סטטוס]]="פנויה",IF(N427="גמר מלא סטנדרט",".GMS",IF(N427="גמר מלא טיוב חומרים",".GMC",IF(N427="גמר מינימלי",".GM",IF(N427="דירת שיווק",".DS","")))),""),IF(M427="זומן לטרום",".ZLT",IF(M427="טרום מסירה",".TM",IF(M427="טרום מסירה מהנדס",".TMM",IF(M427="מסירת חזקה",".MH",IF(M427="מסירת חזקה מהנדס",".MHM",""))))),".",VLOOKUP(Check[[#This Row],[טיפוס]],Tipus[],5,FALSE),".",VLOOKUP(Check[[#This Row],[מגדל]],Tower,2,FALSE),".Ap.",Check[[#This Row],[מספר דירה]])</f>
        <v>O.S.3C.TN.Ap.88</v>
      </c>
      <c r="C427" s="3" t="s">
        <v>56</v>
      </c>
      <c r="D427" s="3">
        <v>11</v>
      </c>
      <c r="E427" s="4">
        <v>88</v>
      </c>
      <c r="F427" s="3">
        <v>1108</v>
      </c>
      <c r="G427" s="3" t="s">
        <v>18</v>
      </c>
      <c r="H427" s="5">
        <f>VLOOKUP(Check[[#This Row],[טיפוס]],Tipus[],2,FALSE)</f>
        <v>3</v>
      </c>
      <c r="I427" s="5" t="str">
        <f>VLOOKUP(Check[[#This Row],[טיפוס]],Tipus[],3,FALSE)</f>
        <v>סטנדרט</v>
      </c>
      <c r="J427" s="5" t="str">
        <f>VLOOKUP(Check[[#This Row],[טיפוס]],Tipus[],4,FALSE)</f>
        <v>E</v>
      </c>
      <c r="K427" s="3" t="str">
        <f>IF(Check[[#This Row],[סטטוס2]]="הולד","פנויה",Check[[#This Row],[סטטוס2]])</f>
        <v>בעלים</v>
      </c>
      <c r="L427" s="382" t="s">
        <v>91</v>
      </c>
      <c r="M427" s="382"/>
      <c r="N427" s="383"/>
      <c r="O427" s="383"/>
      <c r="P427" s="411"/>
      <c r="Q427" s="411"/>
      <c r="R427" s="383"/>
      <c r="S427" s="390"/>
      <c r="T427" s="390" t="s">
        <v>260</v>
      </c>
      <c r="U427" s="387" t="s">
        <v>261</v>
      </c>
      <c r="V427" s="387" t="s">
        <v>214</v>
      </c>
      <c r="W427" s="387" t="s">
        <v>250</v>
      </c>
    </row>
    <row r="428" spans="1:23" x14ac:dyDescent="0.2">
      <c r="A428" s="13" t="str">
        <f>_xlfn.CONCAT(VLOOKUP(Check[[#This Row],[סטטוס]],Sold,2,FALSE),IF(Check[[#This Row],[סטטוס]]="פנויה",IF(N428="גמר מלא סטנדרט",".GMS",IF(N428="גמר מלא טיוב חומרים",".GMC",IF(N428="גמר מינימלי",".GM",IF(N428="דירת שיווק",".DS","")))),""),".",VLOOKUP(Check[[#This Row],[טיפוס]],Tipus[],5,FALSE),".",VLOOKUP(Check[[#This Row],[מגדל]],Tower,2,FALSE),".Ap.",Check[[#This Row],[מספר דירה]])</f>
        <v>S.S.3B.TN.Ap.89</v>
      </c>
      <c r="B428" s="13" t="str">
        <f>_xlfn.CONCAT(VLOOKUP(Check[[#This Row],[סטטוס]],Sold,2,FALSE),IF(Check[[#This Row],[סטטוס]]="פנויה",IF(N428="גמר מלא סטנדרט",".GMS",IF(N428="גמר מלא טיוב חומרים",".GMC",IF(N428="גמר מינימלי",".GM",IF(N428="דירת שיווק",".DS","")))),""),IF(M428="זומן לטרום",".ZLT",IF(M428="טרום מסירה",".TM",IF(M428="טרום מסירה מהנדס",".TMM",IF(M428="מסירת חזקה",".MH",IF(M428="מסירת חזקה מהנדס",".MHM",""))))),".",VLOOKUP(Check[[#This Row],[טיפוס]],Tipus[],5,FALSE),".",VLOOKUP(Check[[#This Row],[מגדל]],Tower,2,FALSE),".Ap.",Check[[#This Row],[מספר דירה]])</f>
        <v>S.S.3B.TN.Ap.89</v>
      </c>
      <c r="C428" s="3" t="s">
        <v>56</v>
      </c>
      <c r="D428" s="3">
        <v>11</v>
      </c>
      <c r="E428" s="4">
        <v>89</v>
      </c>
      <c r="F428" s="3">
        <v>1101</v>
      </c>
      <c r="G428" s="5" t="s">
        <v>19</v>
      </c>
      <c r="H428" s="5">
        <f>VLOOKUP(Check[[#This Row],[טיפוס]],Tipus[],2,FALSE)</f>
        <v>3</v>
      </c>
      <c r="I428" s="5" t="str">
        <f>VLOOKUP(Check[[#This Row],[טיפוס]],Tipus[],3,FALSE)</f>
        <v>סטנדרט</v>
      </c>
      <c r="J428" s="5" t="str">
        <f>VLOOKUP(Check[[#This Row],[טיפוס]],Tipus[],4,FALSE)</f>
        <v>G</v>
      </c>
      <c r="K428" s="3" t="str">
        <f>IF(Check[[#This Row],[סטטוס2]]="הולד","פנויה",Check[[#This Row],[סטטוס2]])</f>
        <v>מכורה</v>
      </c>
      <c r="L428" s="382" t="s">
        <v>130</v>
      </c>
      <c r="M428" s="382"/>
      <c r="N428" s="383"/>
      <c r="O428" s="383"/>
      <c r="P428" s="411"/>
      <c r="Q428" s="411"/>
      <c r="R428" s="383"/>
      <c r="S428" s="390">
        <v>44243</v>
      </c>
      <c r="T428" s="390" t="s">
        <v>1186</v>
      </c>
      <c r="U428" s="387" t="s">
        <v>621</v>
      </c>
      <c r="V428" s="387"/>
      <c r="W428" s="387"/>
    </row>
    <row r="429" spans="1:23" x14ac:dyDescent="0.2">
      <c r="A429" s="13" t="str">
        <f>_xlfn.CONCAT(VLOOKUP(Check[[#This Row],[סטטוס]],Sold,2,FALSE),IF(Check[[#This Row],[סטטוס]]="פנויה",IF(N429="גמר מלא סטנדרט",".GMS",IF(N429="גמר מלא טיוב חומרים",".GMC",IF(N429="גמר מינימלי",".GM",IF(N429="דירת שיווק",".DS","")))),""),".",VLOOKUP(Check[[#This Row],[טיפוס]],Tipus[],5,FALSE),".",VLOOKUP(Check[[#This Row],[מגדל]],Tower,2,FALSE),".Ap.",Check[[#This Row],[מספר דירה]])</f>
        <v>S.S.4B.TN.Ap.90</v>
      </c>
      <c r="B429" s="13" t="str">
        <f>_xlfn.CONCAT(VLOOKUP(Check[[#This Row],[סטטוס]],Sold,2,FALSE),IF(Check[[#This Row],[סטטוס]]="פנויה",IF(N429="גמר מלא סטנדרט",".GMS",IF(N429="גמר מלא טיוב חומרים",".GMC",IF(N429="גמר מינימלי",".GM",IF(N429="דירת שיווק",".DS","")))),""),IF(M429="זומן לטרום",".ZLT",IF(M429="טרום מסירה",".TM",IF(M429="טרום מסירה מהנדס",".TMM",IF(M429="מסירת חזקה",".MH",IF(M429="מסירת חזקה מהנדס",".MHM",""))))),".",VLOOKUP(Check[[#This Row],[טיפוס]],Tipus[],5,FALSE),".",VLOOKUP(Check[[#This Row],[מגדל]],Tower,2,FALSE),".Ap.",Check[[#This Row],[מספר דירה]])</f>
        <v>S.S.4B.TN.Ap.90</v>
      </c>
      <c r="C429" s="3" t="s">
        <v>56</v>
      </c>
      <c r="D429" s="3">
        <v>11</v>
      </c>
      <c r="E429" s="4">
        <v>90</v>
      </c>
      <c r="F429" s="3">
        <v>1102</v>
      </c>
      <c r="G429" s="5" t="s">
        <v>16</v>
      </c>
      <c r="H429" s="5">
        <f>VLOOKUP(Check[[#This Row],[טיפוס]],Tipus[],2,FALSE)</f>
        <v>4</v>
      </c>
      <c r="I429" s="5" t="str">
        <f>VLOOKUP(Check[[#This Row],[טיפוס]],Tipus[],3,FALSE)</f>
        <v>סטנדרט</v>
      </c>
      <c r="J429" s="5" t="str">
        <f>VLOOKUP(Check[[#This Row],[טיפוס]],Tipus[],4,FALSE)</f>
        <v>H</v>
      </c>
      <c r="K429" s="3" t="str">
        <f>IF(Check[[#This Row],[סטטוס2]]="הולד","פנויה",Check[[#This Row],[סטטוס2]])</f>
        <v>מכורה</v>
      </c>
      <c r="L429" s="382" t="s">
        <v>130</v>
      </c>
      <c r="M429" s="382"/>
      <c r="N429" s="383"/>
      <c r="O429" s="383"/>
      <c r="P429" s="411"/>
      <c r="Q429" s="411"/>
      <c r="R429" s="383"/>
      <c r="S429" s="390">
        <v>44230</v>
      </c>
      <c r="T429" s="390" t="s">
        <v>1187</v>
      </c>
      <c r="U429" s="387" t="s">
        <v>622</v>
      </c>
      <c r="V429" s="387"/>
      <c r="W429" s="387"/>
    </row>
    <row r="430" spans="1:23" x14ac:dyDescent="0.2">
      <c r="A430" s="13" t="str">
        <f>_xlfn.CONCAT(VLOOKUP(Check[[#This Row],[סטטוס]],Sold,2,FALSE),IF(Check[[#This Row],[סטטוס]]="פנויה",IF(N430="גמר מלא סטנדרט",".GMS",IF(N430="גמר מלא טיוב חומרים",".GMC",IF(N430="גמר מינימלי",".GM",IF(N430="דירת שיווק",".DS","")))),""),".",VLOOKUP(Check[[#This Row],[טיפוס]],Tipus[],5,FALSE),".",VLOOKUP(Check[[#This Row],[מגדל]],Tower,2,FALSE),".Ap.",Check[[#This Row],[מספר דירה]])</f>
        <v>S.S.2G.TN.Ap.91</v>
      </c>
      <c r="B430" s="13" t="str">
        <f>_xlfn.CONCAT(VLOOKUP(Check[[#This Row],[סטטוס]],Sold,2,FALSE),IF(Check[[#This Row],[סטטוס]]="פנויה",IF(N430="גמר מלא סטנדרט",".GMS",IF(N430="גמר מלא טיוב חומרים",".GMC",IF(N430="גמר מינימלי",".GM",IF(N430="דירת שיווק",".DS","")))),""),IF(M430="זומן לטרום",".ZLT",IF(M430="טרום מסירה",".TM",IF(M430="טרום מסירה מהנדס",".TMM",IF(M430="מסירת חזקה",".MH",IF(M430="מסירת חזקה מהנדס",".MHM",""))))),".",VLOOKUP(Check[[#This Row],[טיפוס]],Tipus[],5,FALSE),".",VLOOKUP(Check[[#This Row],[מגדל]],Tower,2,FALSE),".Ap.",Check[[#This Row],[מספר דירה]])</f>
        <v>S.S.2G.TN.Ap.91</v>
      </c>
      <c r="C430" s="3" t="s">
        <v>56</v>
      </c>
      <c r="D430" s="3">
        <v>11</v>
      </c>
      <c r="E430" s="4">
        <v>91</v>
      </c>
      <c r="F430" s="3">
        <v>1103</v>
      </c>
      <c r="G430" s="5" t="s">
        <v>15</v>
      </c>
      <c r="H430" s="5">
        <f>VLOOKUP(Check[[#This Row],[טיפוס]],Tipus[],2,FALSE)</f>
        <v>2</v>
      </c>
      <c r="I430" s="5" t="str">
        <f>VLOOKUP(Check[[#This Row],[טיפוס]],Tipus[],3,FALSE)</f>
        <v>סטנדרט</v>
      </c>
      <c r="J430" s="5" t="str">
        <f>VLOOKUP(Check[[#This Row],[טיפוס]],Tipus[],4,FALSE)</f>
        <v>I</v>
      </c>
      <c r="K430" s="3" t="str">
        <f>IF(Check[[#This Row],[סטטוס2]]="הולד","פנויה",Check[[#This Row],[סטטוס2]])</f>
        <v>מכורה</v>
      </c>
      <c r="L430" s="382" t="s">
        <v>130</v>
      </c>
      <c r="M430" s="382"/>
      <c r="N430" s="383"/>
      <c r="O430" s="383"/>
      <c r="P430" s="411"/>
      <c r="Q430" s="411"/>
      <c r="R430" s="383"/>
      <c r="S430" s="390">
        <v>44245</v>
      </c>
      <c r="T430" s="390" t="s">
        <v>1188</v>
      </c>
      <c r="U430" s="387" t="s">
        <v>623</v>
      </c>
      <c r="V430" s="387"/>
      <c r="W430" s="387"/>
    </row>
    <row r="431" spans="1:23" x14ac:dyDescent="0.2">
      <c r="A431" s="13" t="str">
        <f>_xlfn.CONCAT(VLOOKUP(Check[[#This Row],[סטטוס]],Sold,2,FALSE),IF(Check[[#This Row],[סטטוס]]="פנויה",IF(N431="גמר מלא סטנדרט",".GMS",IF(N431="גמר מלא טיוב חומרים",".GMC",IF(N431="גמר מינימלי",".GM",IF(N431="דירת שיווק",".DS","")))),""),".",VLOOKUP(Check[[#This Row],[טיפוס]],Tipus[],5,FALSE),".",VLOOKUP(Check[[#This Row],[מגדל]],Tower,2,FALSE),".Ap.",Check[[#This Row],[מספר דירה]])</f>
        <v>S.S.4A.TN.Ap.92</v>
      </c>
      <c r="B431" s="13" t="str">
        <f>_xlfn.CONCAT(VLOOKUP(Check[[#This Row],[סטטוס]],Sold,2,FALSE),IF(Check[[#This Row],[סטטוס]]="פנויה",IF(N431="גמר מלא סטנדרט",".GMS",IF(N431="גמר מלא טיוב חומרים",".GMC",IF(N431="גמר מינימלי",".GM",IF(N431="דירת שיווק",".DS","")))),""),IF(M431="זומן לטרום",".ZLT",IF(M431="טרום מסירה",".TM",IF(M431="טרום מסירה מהנדס",".TMM",IF(M431="מסירת חזקה",".MH",IF(M431="מסירת חזקה מהנדס",".MHM",""))))),".",VLOOKUP(Check[[#This Row],[טיפוס]],Tipus[],5,FALSE),".",VLOOKUP(Check[[#This Row],[מגדל]],Tower,2,FALSE),".Ap.",Check[[#This Row],[מספר דירה]])</f>
        <v>S.S.4A.TN.Ap.92</v>
      </c>
      <c r="C431" s="3" t="s">
        <v>56</v>
      </c>
      <c r="D431" s="3">
        <v>11</v>
      </c>
      <c r="E431" s="4">
        <v>92</v>
      </c>
      <c r="F431" s="3">
        <v>1104</v>
      </c>
      <c r="G431" s="3" t="s">
        <v>14</v>
      </c>
      <c r="H431" s="5">
        <f>VLOOKUP(Check[[#This Row],[טיפוס]],Tipus[],2,FALSE)</f>
        <v>4</v>
      </c>
      <c r="I431" s="5" t="str">
        <f>VLOOKUP(Check[[#This Row],[טיפוס]],Tipus[],3,FALSE)</f>
        <v>סטנדרט</v>
      </c>
      <c r="J431" s="5" t="str">
        <f>VLOOKUP(Check[[#This Row],[טיפוס]],Tipus[],4,FALSE)</f>
        <v>J</v>
      </c>
      <c r="K431" s="3" t="str">
        <f>IF(Check[[#This Row],[סטטוס2]]="הולד","פנויה",Check[[#This Row],[סטטוס2]])</f>
        <v>מכורה</v>
      </c>
      <c r="L431" s="382" t="s">
        <v>130</v>
      </c>
      <c r="M431" s="382"/>
      <c r="N431" s="383"/>
      <c r="O431" s="383"/>
      <c r="P431" s="411"/>
      <c r="Q431" s="411"/>
      <c r="R431" s="383"/>
      <c r="S431" s="390">
        <v>44257</v>
      </c>
      <c r="T431" s="390" t="s">
        <v>1189</v>
      </c>
      <c r="U431" s="387" t="s">
        <v>624</v>
      </c>
      <c r="V431" s="387"/>
      <c r="W431" s="387"/>
    </row>
    <row r="432" spans="1:23" x14ac:dyDescent="0.2">
      <c r="A432" s="13" t="str">
        <f>_xlfn.CONCAT(VLOOKUP(Check[[#This Row],[סטטוס]],Sold,2,FALSE),IF(Check[[#This Row],[סטטוס]]="פנויה",IF(N432="גמר מלא סטנדרט",".GMS",IF(N432="גמר מלא טיוב חומרים",".GMC",IF(N432="גמר מינימלי",".GM",IF(N432="דירת שיווק",".DS","")))),""),".",VLOOKUP(Check[[#This Row],[טיפוס]],Tipus[],5,FALSE),".",VLOOKUP(Check[[#This Row],[מגדל]],Tower,2,FALSE),".Ap.",Check[[#This Row],[מספר דירה]])</f>
        <v>S.S.3E.TN.Ap.93</v>
      </c>
      <c r="B432" s="13" t="str">
        <f>_xlfn.CONCAT(VLOOKUP(Check[[#This Row],[סטטוס]],Sold,2,FALSE),IF(Check[[#This Row],[סטטוס]]="פנויה",IF(N432="גמר מלא סטנדרט",".GMS",IF(N432="גמר מלא טיוב חומרים",".GMC",IF(N432="גמר מינימלי",".GM",IF(N432="דירת שיווק",".DS","")))),""),IF(M432="זומן לטרום",".ZLT",IF(M432="טרום מסירה",".TM",IF(M432="טרום מסירה מהנדס",".TMM",IF(M432="מסירת חזקה",".MH",IF(M432="מסירת חזקה מהנדס",".MHM",""))))),".",VLOOKUP(Check[[#This Row],[טיפוס]],Tipus[],5,FALSE),".",VLOOKUP(Check[[#This Row],[מגדל]],Tower,2,FALSE),".Ap.",Check[[#This Row],[מספר דירה]])</f>
        <v>S.S.3E.TN.Ap.93</v>
      </c>
      <c r="C432" s="3" t="s">
        <v>56</v>
      </c>
      <c r="D432" s="3">
        <v>11</v>
      </c>
      <c r="E432" s="4">
        <v>93</v>
      </c>
      <c r="F432" s="3">
        <v>1105</v>
      </c>
      <c r="G432" s="5" t="s">
        <v>20</v>
      </c>
      <c r="H432" s="5">
        <f>VLOOKUP(Check[[#This Row],[טיפוס]],Tipus[],2,FALSE)</f>
        <v>3</v>
      </c>
      <c r="I432" s="5" t="str">
        <f>VLOOKUP(Check[[#This Row],[טיפוס]],Tipus[],3,FALSE)</f>
        <v>סטנדרט</v>
      </c>
      <c r="J432" s="5" t="str">
        <f>VLOOKUP(Check[[#This Row],[טיפוס]],Tipus[],4,FALSE)</f>
        <v>A</v>
      </c>
      <c r="K432" s="3" t="str">
        <f>IF(Check[[#This Row],[סטטוס2]]="הולד","פנויה",Check[[#This Row],[סטטוס2]])</f>
        <v>מכורה</v>
      </c>
      <c r="L432" s="382" t="s">
        <v>130</v>
      </c>
      <c r="M432" s="382"/>
      <c r="N432" s="383"/>
      <c r="O432" s="383"/>
      <c r="P432" s="411"/>
      <c r="Q432" s="411"/>
      <c r="R432" s="383"/>
      <c r="S432" s="390">
        <v>44228</v>
      </c>
      <c r="T432" s="390" t="s">
        <v>1190</v>
      </c>
      <c r="U432" s="387" t="s">
        <v>625</v>
      </c>
      <c r="V432" s="387"/>
      <c r="W432" s="387"/>
    </row>
    <row r="433" spans="1:23" x14ac:dyDescent="0.2">
      <c r="A433" s="13" t="str">
        <f>_xlfn.CONCAT(VLOOKUP(Check[[#This Row],[סטטוס]],Sold,2,FALSE),IF(Check[[#This Row],[סטטוס]]="פנויה",IF(N433="גמר מלא סטנדרט",".GMS",IF(N433="גמר מלא טיוב חומרים",".GMC",IF(N433="גמר מינימלי",".GM",IF(N433="דירת שיווק",".DS","")))),""),".",VLOOKUP(Check[[#This Row],[טיפוס]],Tipus[],5,FALSE),".",VLOOKUP(Check[[#This Row],[מגדל]],Tower,2,FALSE),".Ap.",Check[[#This Row],[מספר דירה]])</f>
        <v>S.S.3D.TN.Ap.94</v>
      </c>
      <c r="B433" s="13" t="str">
        <f>_xlfn.CONCAT(VLOOKUP(Check[[#This Row],[סטטוס]],Sold,2,FALSE),IF(Check[[#This Row],[סטטוס]]="פנויה",IF(N433="גמר מלא סטנדרט",".GMS",IF(N433="גמר מלא טיוב חומרים",".GMC",IF(N433="גמר מינימלי",".GM",IF(N433="דירת שיווק",".DS","")))),""),IF(M433="זומן לטרום",".ZLT",IF(M433="טרום מסירה",".TM",IF(M433="טרום מסירה מהנדס",".TMM",IF(M433="מסירת חזקה",".MH",IF(M433="מסירת חזקה מהנדס",".MHM",""))))),".",VLOOKUP(Check[[#This Row],[טיפוס]],Tipus[],5,FALSE),".",VLOOKUP(Check[[#This Row],[מגדל]],Tower,2,FALSE),".Ap.",Check[[#This Row],[מספר דירה]])</f>
        <v>S.S.3D.TN.Ap.94</v>
      </c>
      <c r="C433" s="3" t="s">
        <v>56</v>
      </c>
      <c r="D433" s="3">
        <v>11</v>
      </c>
      <c r="E433" s="4">
        <v>94</v>
      </c>
      <c r="F433" s="3">
        <v>1106</v>
      </c>
      <c r="G433" s="5" t="s">
        <v>21</v>
      </c>
      <c r="H433" s="5">
        <f>VLOOKUP(Check[[#This Row],[טיפוס]],Tipus[],2,FALSE)</f>
        <v>3</v>
      </c>
      <c r="I433" s="5" t="str">
        <f>VLOOKUP(Check[[#This Row],[טיפוס]],Tipus[],3,FALSE)</f>
        <v>סטנדרט</v>
      </c>
      <c r="J433" s="5" t="str">
        <f>VLOOKUP(Check[[#This Row],[טיפוס]],Tipus[],4,FALSE)</f>
        <v>C</v>
      </c>
      <c r="K433" s="3" t="str">
        <f>IF(Check[[#This Row],[סטטוס2]]="הולד","פנויה",Check[[#This Row],[סטטוס2]])</f>
        <v>מכורה</v>
      </c>
      <c r="L433" s="382" t="s">
        <v>130</v>
      </c>
      <c r="M433" s="382"/>
      <c r="N433" s="383"/>
      <c r="O433" s="383"/>
      <c r="P433" s="411"/>
      <c r="Q433" s="411"/>
      <c r="R433" s="383"/>
      <c r="S433" s="390">
        <v>44472</v>
      </c>
      <c r="T433" s="390" t="s">
        <v>1191</v>
      </c>
      <c r="U433" s="387" t="s">
        <v>626</v>
      </c>
      <c r="V433" s="387"/>
      <c r="W433" s="387"/>
    </row>
    <row r="434" spans="1:23" x14ac:dyDescent="0.2">
      <c r="A434" s="13" t="str">
        <f>_xlfn.CONCAT(VLOOKUP(Check[[#This Row],[סטטוס]],Sold,2,FALSE),IF(Check[[#This Row],[סטטוס]]="פנויה",IF(N434="גמר מלא סטנדרט",".GMS",IF(N434="גמר מלא טיוב חומרים",".GMC",IF(N434="גמר מינימלי",".GM",IF(N434="דירת שיווק",".DS","")))),""),".",VLOOKUP(Check[[#This Row],[טיפוס]],Tipus[],5,FALSE),".",VLOOKUP(Check[[#This Row],[מגדל]],Tower,2,FALSE),".Ap.",Check[[#This Row],[מספר דירה]])</f>
        <v>S.S.3A.TN.Ap.95</v>
      </c>
      <c r="B434" s="13" t="str">
        <f>_xlfn.CONCAT(VLOOKUP(Check[[#This Row],[סטטוס]],Sold,2,FALSE),IF(Check[[#This Row],[סטטוס]]="פנויה",IF(N434="גמר מלא סטנדרט",".GMS",IF(N434="גמר מלא טיוב חומרים",".GMC",IF(N434="גמר מינימלי",".GM",IF(N434="דירת שיווק",".DS","")))),""),IF(M434="זומן לטרום",".ZLT",IF(M434="טרום מסירה",".TM",IF(M434="טרום מסירה מהנדס",".TMM",IF(M434="מסירת חזקה",".MH",IF(M434="מסירת חזקה מהנדס",".MHM",""))))),".",VLOOKUP(Check[[#This Row],[טיפוס]],Tipus[],5,FALSE),".",VLOOKUP(Check[[#This Row],[מגדל]],Tower,2,FALSE),".Ap.",Check[[#This Row],[מספר דירה]])</f>
        <v>S.S.3A.TN.Ap.95</v>
      </c>
      <c r="C434" s="3" t="s">
        <v>56</v>
      </c>
      <c r="D434" s="3">
        <v>12</v>
      </c>
      <c r="E434" s="4">
        <v>95</v>
      </c>
      <c r="F434" s="3">
        <v>1207</v>
      </c>
      <c r="G434" s="3" t="s">
        <v>9</v>
      </c>
      <c r="H434" s="5">
        <f>VLOOKUP(Check[[#This Row],[טיפוס]],Tipus[],2,FALSE)</f>
        <v>3</v>
      </c>
      <c r="I434" s="5" t="str">
        <f>VLOOKUP(Check[[#This Row],[טיפוס]],Tipus[],3,FALSE)</f>
        <v>סטנדרט</v>
      </c>
      <c r="J434" s="5" t="str">
        <f>VLOOKUP(Check[[#This Row],[טיפוס]],Tipus[],4,FALSE)</f>
        <v>D</v>
      </c>
      <c r="K434" s="3" t="str">
        <f>IF(Check[[#This Row],[סטטוס2]]="הולד","פנויה",Check[[#This Row],[סטטוס2]])</f>
        <v>מכורה</v>
      </c>
      <c r="L434" s="382" t="s">
        <v>130</v>
      </c>
      <c r="M434" s="382"/>
      <c r="N434" s="383"/>
      <c r="O434" s="383"/>
      <c r="P434" s="411"/>
      <c r="Q434" s="411"/>
      <c r="R434" s="383"/>
      <c r="S434" s="390">
        <v>44353</v>
      </c>
      <c r="T434" s="390" t="s">
        <v>1192</v>
      </c>
      <c r="U434" s="387" t="s">
        <v>627</v>
      </c>
      <c r="V434" s="387"/>
      <c r="W434" s="387"/>
    </row>
    <row r="435" spans="1:23" x14ac:dyDescent="0.2">
      <c r="A435" s="13" t="str">
        <f>_xlfn.CONCAT(VLOOKUP(Check[[#This Row],[סטטוס]],Sold,2,FALSE),IF(Check[[#This Row],[סטטוס]]="פנויה",IF(N435="גמר מלא סטנדרט",".GMS",IF(N435="גמר מלא טיוב חומרים",".GMC",IF(N435="גמר מינימלי",".GM",IF(N435="דירת שיווק",".DS","")))),""),".",VLOOKUP(Check[[#This Row],[טיפוס]],Tipus[],5,FALSE),".",VLOOKUP(Check[[#This Row],[מגדל]],Tower,2,FALSE),".Ap.",Check[[#This Row],[מספר דירה]])</f>
        <v>S.S.3C.TN.Ap.96</v>
      </c>
      <c r="B435" s="13" t="str">
        <f>_xlfn.CONCAT(VLOOKUP(Check[[#This Row],[סטטוס]],Sold,2,FALSE),IF(Check[[#This Row],[סטטוס]]="פנויה",IF(N435="גמר מלא סטנדרט",".GMS",IF(N435="גמר מלא טיוב חומרים",".GMC",IF(N435="גמר מינימלי",".GM",IF(N435="דירת שיווק",".DS","")))),""),IF(M435="זומן לטרום",".ZLT",IF(M435="טרום מסירה",".TM",IF(M435="טרום מסירה מהנדס",".TMM",IF(M435="מסירת חזקה",".MH",IF(M435="מסירת חזקה מהנדס",".MHM",""))))),".",VLOOKUP(Check[[#This Row],[טיפוס]],Tipus[],5,FALSE),".",VLOOKUP(Check[[#This Row],[מגדל]],Tower,2,FALSE),".Ap.",Check[[#This Row],[מספר דירה]])</f>
        <v>S.S.3C.TN.Ap.96</v>
      </c>
      <c r="C435" s="3" t="s">
        <v>56</v>
      </c>
      <c r="D435" s="3">
        <v>12</v>
      </c>
      <c r="E435" s="4">
        <v>96</v>
      </c>
      <c r="F435" s="3">
        <v>1208</v>
      </c>
      <c r="G435" s="3" t="s">
        <v>18</v>
      </c>
      <c r="H435" s="5">
        <f>VLOOKUP(Check[[#This Row],[טיפוס]],Tipus[],2,FALSE)</f>
        <v>3</v>
      </c>
      <c r="I435" s="5" t="str">
        <f>VLOOKUP(Check[[#This Row],[טיפוס]],Tipus[],3,FALSE)</f>
        <v>סטנדרט</v>
      </c>
      <c r="J435" s="5" t="str">
        <f>VLOOKUP(Check[[#This Row],[טיפוס]],Tipus[],4,FALSE)</f>
        <v>E</v>
      </c>
      <c r="K435" s="3" t="str">
        <f>IF(Check[[#This Row],[סטטוס2]]="הולד","פנויה",Check[[#This Row],[סטטוס2]])</f>
        <v>מכורה</v>
      </c>
      <c r="L435" s="382" t="s">
        <v>130</v>
      </c>
      <c r="M435" s="382"/>
      <c r="N435" s="383"/>
      <c r="O435" s="383"/>
      <c r="P435" s="411"/>
      <c r="Q435" s="411"/>
      <c r="R435" s="383"/>
      <c r="S435" s="390">
        <v>44276</v>
      </c>
      <c r="T435" s="390" t="s">
        <v>1354</v>
      </c>
      <c r="U435" s="387" t="s">
        <v>628</v>
      </c>
      <c r="V435" s="387"/>
      <c r="W435" s="387"/>
    </row>
    <row r="436" spans="1:23" x14ac:dyDescent="0.2">
      <c r="A436" s="13" t="str">
        <f>_xlfn.CONCAT(VLOOKUP(Check[[#This Row],[סטטוס]],Sold,2,FALSE),IF(Check[[#This Row],[סטטוס]]="פנויה",IF(N436="גמר מלא סטנדרט",".GMS",IF(N436="גמר מלא טיוב חומרים",".GMC",IF(N436="גמר מינימלי",".GM",IF(N436="דירת שיווק",".DS","")))),""),".",VLOOKUP(Check[[#This Row],[טיפוס]],Tipus[],5,FALSE),".",VLOOKUP(Check[[#This Row],[מגדל]],Tower,2,FALSE),".Ap.",Check[[#This Row],[מספר דירה]])</f>
        <v>S.S.3B.TN.Ap.97</v>
      </c>
      <c r="B436" s="13" t="str">
        <f>_xlfn.CONCAT(VLOOKUP(Check[[#This Row],[סטטוס]],Sold,2,FALSE),IF(Check[[#This Row],[סטטוס]]="פנויה",IF(N436="גמר מלא סטנדרט",".GMS",IF(N436="גמר מלא טיוב חומרים",".GMC",IF(N436="גמר מינימלי",".GM",IF(N436="דירת שיווק",".DS","")))),""),IF(M436="זומן לטרום",".ZLT",IF(M436="טרום מסירה",".TM",IF(M436="טרום מסירה מהנדס",".TMM",IF(M436="מסירת חזקה",".MH",IF(M436="מסירת חזקה מהנדס",".MHM",""))))),".",VLOOKUP(Check[[#This Row],[טיפוס]],Tipus[],5,FALSE),".",VLOOKUP(Check[[#This Row],[מגדל]],Tower,2,FALSE),".Ap.",Check[[#This Row],[מספר דירה]])</f>
        <v>S.S.3B.TN.Ap.97</v>
      </c>
      <c r="C436" s="3" t="s">
        <v>56</v>
      </c>
      <c r="D436" s="3">
        <v>12</v>
      </c>
      <c r="E436" s="4">
        <v>97</v>
      </c>
      <c r="F436" s="3">
        <v>1201</v>
      </c>
      <c r="G436" s="5" t="s">
        <v>19</v>
      </c>
      <c r="H436" s="5">
        <f>VLOOKUP(Check[[#This Row],[טיפוס]],Tipus[],2,FALSE)</f>
        <v>3</v>
      </c>
      <c r="I436" s="5" t="str">
        <f>VLOOKUP(Check[[#This Row],[טיפוס]],Tipus[],3,FALSE)</f>
        <v>סטנדרט</v>
      </c>
      <c r="J436" s="5" t="str">
        <f>VLOOKUP(Check[[#This Row],[טיפוס]],Tipus[],4,FALSE)</f>
        <v>G</v>
      </c>
      <c r="K436" s="3" t="str">
        <f>IF(Check[[#This Row],[סטטוס2]]="הולד","פנויה",Check[[#This Row],[סטטוס2]])</f>
        <v>מכורה</v>
      </c>
      <c r="L436" s="382" t="s">
        <v>130</v>
      </c>
      <c r="M436" s="382"/>
      <c r="N436" s="383"/>
      <c r="O436" s="383"/>
      <c r="P436" s="411"/>
      <c r="Q436" s="411"/>
      <c r="R436" s="383"/>
      <c r="S436" s="390">
        <v>44273</v>
      </c>
      <c r="T436" s="390" t="s">
        <v>1355</v>
      </c>
      <c r="U436" s="387" t="s">
        <v>629</v>
      </c>
      <c r="V436" s="387"/>
      <c r="W436" s="387"/>
    </row>
    <row r="437" spans="1:23" x14ac:dyDescent="0.2">
      <c r="A437" s="13" t="str">
        <f>_xlfn.CONCAT(VLOOKUP(Check[[#This Row],[סטטוס]],Sold,2,FALSE),IF(Check[[#This Row],[סטטוס]]="פנויה",IF(N437="גמר מלא סטנדרט",".GMS",IF(N437="גמר מלא טיוב חומרים",".GMC",IF(N437="גמר מינימלי",".GM",IF(N437="דירת שיווק",".DS","")))),""),".",VLOOKUP(Check[[#This Row],[טיפוס]],Tipus[],5,FALSE),".",VLOOKUP(Check[[#This Row],[מגדל]],Tower,2,FALSE),".Ap.",Check[[#This Row],[מספר דירה]])</f>
        <v>S.S.4B.TN.Ap.98</v>
      </c>
      <c r="B437" s="13" t="str">
        <f>_xlfn.CONCAT(VLOOKUP(Check[[#This Row],[סטטוס]],Sold,2,FALSE),IF(Check[[#This Row],[סטטוס]]="פנויה",IF(N437="גמר מלא סטנדרט",".GMS",IF(N437="גמר מלא טיוב חומרים",".GMC",IF(N437="גמר מינימלי",".GM",IF(N437="דירת שיווק",".DS","")))),""),IF(M437="זומן לטרום",".ZLT",IF(M437="טרום מסירה",".TM",IF(M437="טרום מסירה מהנדס",".TMM",IF(M437="מסירת חזקה",".MH",IF(M437="מסירת חזקה מהנדס",".MHM",""))))),".",VLOOKUP(Check[[#This Row],[טיפוס]],Tipus[],5,FALSE),".",VLOOKUP(Check[[#This Row],[מגדל]],Tower,2,FALSE),".Ap.",Check[[#This Row],[מספר דירה]])</f>
        <v>S.S.4B.TN.Ap.98</v>
      </c>
      <c r="C437" s="3" t="s">
        <v>56</v>
      </c>
      <c r="D437" s="3">
        <v>12</v>
      </c>
      <c r="E437" s="4">
        <v>98</v>
      </c>
      <c r="F437" s="3">
        <v>1202</v>
      </c>
      <c r="G437" s="5" t="s">
        <v>16</v>
      </c>
      <c r="H437" s="5">
        <f>VLOOKUP(Check[[#This Row],[טיפוס]],Tipus[],2,FALSE)</f>
        <v>4</v>
      </c>
      <c r="I437" s="5" t="str">
        <f>VLOOKUP(Check[[#This Row],[טיפוס]],Tipus[],3,FALSE)</f>
        <v>סטנדרט</v>
      </c>
      <c r="J437" s="5" t="str">
        <f>VLOOKUP(Check[[#This Row],[טיפוס]],Tipus[],4,FALSE)</f>
        <v>H</v>
      </c>
      <c r="K437" s="3" t="str">
        <f>IF(Check[[#This Row],[סטטוס2]]="הולד","פנויה",Check[[#This Row],[סטטוס2]])</f>
        <v>מכורה</v>
      </c>
      <c r="L437" s="382" t="s">
        <v>130</v>
      </c>
      <c r="M437" s="382"/>
      <c r="N437" s="383"/>
      <c r="O437" s="383"/>
      <c r="P437" s="411"/>
      <c r="Q437" s="411"/>
      <c r="R437" s="383"/>
      <c r="S437" s="390">
        <v>44251</v>
      </c>
      <c r="T437" s="390" t="s">
        <v>1193</v>
      </c>
      <c r="U437" s="387" t="s">
        <v>630</v>
      </c>
      <c r="V437" s="387"/>
      <c r="W437" s="387"/>
    </row>
    <row r="438" spans="1:23" x14ac:dyDescent="0.2">
      <c r="A438" s="13" t="str">
        <f>_xlfn.CONCAT(VLOOKUP(Check[[#This Row],[סטטוס]],Sold,2,FALSE),IF(Check[[#This Row],[סטטוס]]="פנויה",IF(N438="גמר מלא סטנדרט",".GMS",IF(N438="גמר מלא טיוב חומרים",".GMC",IF(N438="גמר מינימלי",".GM",IF(N438="דירת שיווק",".DS","")))),""),".",VLOOKUP(Check[[#This Row],[טיפוס]],Tipus[],5,FALSE),".",VLOOKUP(Check[[#This Row],[מגדל]],Tower,2,FALSE),".Ap.",Check[[#This Row],[מספר דירה]])</f>
        <v>S.S.2G.TN.Ap.99</v>
      </c>
      <c r="B438" s="13" t="str">
        <f>_xlfn.CONCAT(VLOOKUP(Check[[#This Row],[סטטוס]],Sold,2,FALSE),IF(Check[[#This Row],[סטטוס]]="פנויה",IF(N438="גמר מלא סטנדרט",".GMS",IF(N438="גמר מלא טיוב חומרים",".GMC",IF(N438="גמר מינימלי",".GM",IF(N438="דירת שיווק",".DS","")))),""),IF(M438="זומן לטרום",".ZLT",IF(M438="טרום מסירה",".TM",IF(M438="טרום מסירה מהנדס",".TMM",IF(M438="מסירת חזקה",".MH",IF(M438="מסירת חזקה מהנדס",".MHM",""))))),".",VLOOKUP(Check[[#This Row],[טיפוס]],Tipus[],5,FALSE),".",VLOOKUP(Check[[#This Row],[מגדל]],Tower,2,FALSE),".Ap.",Check[[#This Row],[מספר דירה]])</f>
        <v>S.S.2G.TN.Ap.99</v>
      </c>
      <c r="C438" s="3" t="s">
        <v>56</v>
      </c>
      <c r="D438" s="3">
        <v>12</v>
      </c>
      <c r="E438" s="4">
        <v>99</v>
      </c>
      <c r="F438" s="3">
        <v>1203</v>
      </c>
      <c r="G438" s="5" t="s">
        <v>15</v>
      </c>
      <c r="H438" s="5">
        <f>VLOOKUP(Check[[#This Row],[טיפוס]],Tipus[],2,FALSE)</f>
        <v>2</v>
      </c>
      <c r="I438" s="5" t="str">
        <f>VLOOKUP(Check[[#This Row],[טיפוס]],Tipus[],3,FALSE)</f>
        <v>סטנדרט</v>
      </c>
      <c r="J438" s="5" t="str">
        <f>VLOOKUP(Check[[#This Row],[טיפוס]],Tipus[],4,FALSE)</f>
        <v>I</v>
      </c>
      <c r="K438" s="3" t="str">
        <f>IF(Check[[#This Row],[סטטוס2]]="הולד","פנויה",Check[[#This Row],[סטטוס2]])</f>
        <v>מכורה</v>
      </c>
      <c r="L438" s="382" t="s">
        <v>130</v>
      </c>
      <c r="M438" s="382"/>
      <c r="N438" s="383"/>
      <c r="O438" s="383"/>
      <c r="P438" s="411"/>
      <c r="Q438" s="411"/>
      <c r="R438" s="383"/>
      <c r="S438" s="390">
        <v>44245</v>
      </c>
      <c r="T438" s="390" t="s">
        <v>1194</v>
      </c>
      <c r="U438" s="387" t="s">
        <v>631</v>
      </c>
      <c r="V438" s="387"/>
      <c r="W438" s="387"/>
    </row>
    <row r="439" spans="1:23" x14ac:dyDescent="0.2">
      <c r="A439" s="13" t="str">
        <f>_xlfn.CONCAT(VLOOKUP(Check[[#This Row],[סטטוס]],Sold,2,FALSE),IF(Check[[#This Row],[סטטוס]]="פנויה",IF(N439="גמר מלא סטנדרט",".GMS",IF(N439="גמר מלא טיוב חומרים",".GMC",IF(N439="גמר מינימלי",".GM",IF(N439="דירת שיווק",".DS","")))),""),".",VLOOKUP(Check[[#This Row],[טיפוס]],Tipus[],5,FALSE),".",VLOOKUP(Check[[#This Row],[מגדל]],Tower,2,FALSE),".Ap.",Check[[#This Row],[מספר דירה]])</f>
        <v>S.S.4A.TN.Ap.100</v>
      </c>
      <c r="B439" s="13" t="str">
        <f>_xlfn.CONCAT(VLOOKUP(Check[[#This Row],[סטטוס]],Sold,2,FALSE),IF(Check[[#This Row],[סטטוס]]="פנויה",IF(N439="גמר מלא סטנדרט",".GMS",IF(N439="גמר מלא טיוב חומרים",".GMC",IF(N439="גמר מינימלי",".GM",IF(N439="דירת שיווק",".DS","")))),""),IF(M439="זומן לטרום",".ZLT",IF(M439="טרום מסירה",".TM",IF(M439="טרום מסירה מהנדס",".TMM",IF(M439="מסירת חזקה",".MH",IF(M439="מסירת חזקה מהנדס",".MHM",""))))),".",VLOOKUP(Check[[#This Row],[טיפוס]],Tipus[],5,FALSE),".",VLOOKUP(Check[[#This Row],[מגדל]],Tower,2,FALSE),".Ap.",Check[[#This Row],[מספר דירה]])</f>
        <v>S.S.4A.TN.Ap.100</v>
      </c>
      <c r="C439" s="3" t="s">
        <v>56</v>
      </c>
      <c r="D439" s="3">
        <v>12</v>
      </c>
      <c r="E439" s="4">
        <v>100</v>
      </c>
      <c r="F439" s="3">
        <v>1204</v>
      </c>
      <c r="G439" s="3" t="s">
        <v>14</v>
      </c>
      <c r="H439" s="5">
        <f>VLOOKUP(Check[[#This Row],[טיפוס]],Tipus[],2,FALSE)</f>
        <v>4</v>
      </c>
      <c r="I439" s="5" t="str">
        <f>VLOOKUP(Check[[#This Row],[טיפוס]],Tipus[],3,FALSE)</f>
        <v>סטנדרט</v>
      </c>
      <c r="J439" s="5" t="str">
        <f>VLOOKUP(Check[[#This Row],[טיפוס]],Tipus[],4,FALSE)</f>
        <v>J</v>
      </c>
      <c r="K439" s="3" t="str">
        <f>IF(Check[[#This Row],[סטטוס2]]="הולד","פנויה",Check[[#This Row],[סטטוס2]])</f>
        <v>מכורה</v>
      </c>
      <c r="L439" s="382" t="s">
        <v>130</v>
      </c>
      <c r="M439" s="382"/>
      <c r="N439" s="383"/>
      <c r="O439" s="383"/>
      <c r="P439" s="411"/>
      <c r="Q439" s="411"/>
      <c r="R439" s="383"/>
      <c r="S439" s="390">
        <v>44445</v>
      </c>
      <c r="T439" s="390" t="s">
        <v>632</v>
      </c>
      <c r="U439" s="387" t="s">
        <v>633</v>
      </c>
      <c r="V439" s="387"/>
      <c r="W439" s="387"/>
    </row>
    <row r="440" spans="1:23" x14ac:dyDescent="0.2">
      <c r="A440" s="13" t="str">
        <f>_xlfn.CONCAT(VLOOKUP(Check[[#This Row],[סטטוס]],Sold,2,FALSE),IF(Check[[#This Row],[סטטוס]]="פנויה",IF(N440="גמר מלא סטנדרט",".GMS",IF(N440="גמר מלא טיוב חומרים",".GMC",IF(N440="גמר מינימלי",".GM",IF(N440="דירת שיווק",".DS","")))),""),".",VLOOKUP(Check[[#This Row],[טיפוס]],Tipus[],5,FALSE),".",VLOOKUP(Check[[#This Row],[מגדל]],Tower,2,FALSE),".Ap.",Check[[#This Row],[מספר דירה]])</f>
        <v>S.S.3E.TN.Ap.101</v>
      </c>
      <c r="B440" s="13" t="str">
        <f>_xlfn.CONCAT(VLOOKUP(Check[[#This Row],[סטטוס]],Sold,2,FALSE),IF(Check[[#This Row],[סטטוס]]="פנויה",IF(N440="גמר מלא סטנדרט",".GMS",IF(N440="גמר מלא טיוב חומרים",".GMC",IF(N440="גמר מינימלי",".GM",IF(N440="דירת שיווק",".DS","")))),""),IF(M440="זומן לטרום",".ZLT",IF(M440="טרום מסירה",".TM",IF(M440="טרום מסירה מהנדס",".TMM",IF(M440="מסירת חזקה",".MH",IF(M440="מסירת חזקה מהנדס",".MHM",""))))),".",VLOOKUP(Check[[#This Row],[טיפוס]],Tipus[],5,FALSE),".",VLOOKUP(Check[[#This Row],[מגדל]],Tower,2,FALSE),".Ap.",Check[[#This Row],[מספר דירה]])</f>
        <v>S.S.3E.TN.Ap.101</v>
      </c>
      <c r="C440" s="3" t="s">
        <v>56</v>
      </c>
      <c r="D440" s="3">
        <v>12</v>
      </c>
      <c r="E440" s="4">
        <v>101</v>
      </c>
      <c r="F440" s="3">
        <v>1205</v>
      </c>
      <c r="G440" s="5" t="s">
        <v>20</v>
      </c>
      <c r="H440" s="5">
        <f>VLOOKUP(Check[[#This Row],[טיפוס]],Tipus[],2,FALSE)</f>
        <v>3</v>
      </c>
      <c r="I440" s="5" t="str">
        <f>VLOOKUP(Check[[#This Row],[טיפוס]],Tipus[],3,FALSE)</f>
        <v>סטנדרט</v>
      </c>
      <c r="J440" s="5" t="str">
        <f>VLOOKUP(Check[[#This Row],[טיפוס]],Tipus[],4,FALSE)</f>
        <v>A</v>
      </c>
      <c r="K440" s="3" t="str">
        <f>IF(Check[[#This Row],[סטטוס2]]="הולד","פנויה",Check[[#This Row],[סטטוס2]])</f>
        <v>מכורה</v>
      </c>
      <c r="L440" s="382" t="s">
        <v>130</v>
      </c>
      <c r="M440" s="382"/>
      <c r="N440" s="383"/>
      <c r="O440" s="383"/>
      <c r="P440" s="411"/>
      <c r="Q440" s="411"/>
      <c r="R440" s="383"/>
      <c r="S440" s="390">
        <v>44252</v>
      </c>
      <c r="T440" s="390" t="s">
        <v>634</v>
      </c>
      <c r="U440" s="387" t="s">
        <v>635</v>
      </c>
      <c r="V440" s="387"/>
      <c r="W440" s="387"/>
    </row>
    <row r="441" spans="1:23" x14ac:dyDescent="0.2">
      <c r="A441" s="13" t="str">
        <f>_xlfn.CONCAT(VLOOKUP(Check[[#This Row],[סטטוס]],Sold,2,FALSE),IF(Check[[#This Row],[סטטוס]]="פנויה",IF(N441="גמר מלא סטנדרט",".GMS",IF(N441="גמר מלא טיוב חומרים",".GMC",IF(N441="גמר מינימלי",".GM",IF(N441="דירת שיווק",".DS","")))),""),".",VLOOKUP(Check[[#This Row],[טיפוס]],Tipus[],5,FALSE),".",VLOOKUP(Check[[#This Row],[מגדל]],Tower,2,FALSE),".Ap.",Check[[#This Row],[מספר דירה]])</f>
        <v>S.S.3D.TN.Ap.102</v>
      </c>
      <c r="B441" s="13" t="str">
        <f>_xlfn.CONCAT(VLOOKUP(Check[[#This Row],[סטטוס]],Sold,2,FALSE),IF(Check[[#This Row],[סטטוס]]="פנויה",IF(N441="גמר מלא סטנדרט",".GMS",IF(N441="גמר מלא טיוב חומרים",".GMC",IF(N441="גמר מינימלי",".GM",IF(N441="דירת שיווק",".DS","")))),""),IF(M441="זומן לטרום",".ZLT",IF(M441="טרום מסירה",".TM",IF(M441="טרום מסירה מהנדס",".TMM",IF(M441="מסירת חזקה",".MH",IF(M441="מסירת חזקה מהנדס",".MHM",""))))),".",VLOOKUP(Check[[#This Row],[טיפוס]],Tipus[],5,FALSE),".",VLOOKUP(Check[[#This Row],[מגדל]],Tower,2,FALSE),".Ap.",Check[[#This Row],[מספר דירה]])</f>
        <v>S.S.3D.TN.Ap.102</v>
      </c>
      <c r="C441" s="3" t="s">
        <v>56</v>
      </c>
      <c r="D441" s="3">
        <v>12</v>
      </c>
      <c r="E441" s="4">
        <v>102</v>
      </c>
      <c r="F441" s="3">
        <v>1206</v>
      </c>
      <c r="G441" s="5" t="s">
        <v>21</v>
      </c>
      <c r="H441" s="5">
        <f>VLOOKUP(Check[[#This Row],[טיפוס]],Tipus[],2,FALSE)</f>
        <v>3</v>
      </c>
      <c r="I441" s="5" t="str">
        <f>VLOOKUP(Check[[#This Row],[טיפוס]],Tipus[],3,FALSE)</f>
        <v>סטנדרט</v>
      </c>
      <c r="J441" s="5" t="str">
        <f>VLOOKUP(Check[[#This Row],[טיפוס]],Tipus[],4,FALSE)</f>
        <v>C</v>
      </c>
      <c r="K441" s="3" t="str">
        <f>IF(Check[[#This Row],[סטטוס2]]="הולד","פנויה",Check[[#This Row],[סטטוס2]])</f>
        <v>מכורה</v>
      </c>
      <c r="L441" s="382" t="s">
        <v>130</v>
      </c>
      <c r="M441" s="382"/>
      <c r="N441" s="383"/>
      <c r="O441" s="383"/>
      <c r="P441" s="411"/>
      <c r="Q441" s="411"/>
      <c r="R441" s="383"/>
      <c r="S441" s="390">
        <v>44510</v>
      </c>
      <c r="T441" s="390" t="s">
        <v>636</v>
      </c>
      <c r="U441" s="387" t="s">
        <v>637</v>
      </c>
      <c r="V441" s="387"/>
      <c r="W441" s="387"/>
    </row>
    <row r="442" spans="1:23" x14ac:dyDescent="0.2">
      <c r="A442" s="13" t="str">
        <f>_xlfn.CONCAT(VLOOKUP(Check[[#This Row],[סטטוס]],Sold,2,FALSE),IF(Check[[#This Row],[סטטוס]]="פנויה",IF(N442="גמר מלא סטנדרט",".GMS",IF(N442="גמר מלא טיוב חומרים",".GMC",IF(N442="גמר מינימלי",".GM",IF(N442="דירת שיווק",".DS","")))),""),".",VLOOKUP(Check[[#This Row],[טיפוס]],Tipus[],5,FALSE),".",VLOOKUP(Check[[#This Row],[מגדל]],Tower,2,FALSE),".Ap.",Check[[#This Row],[מספר דירה]])</f>
        <v>S.S.3A.TN.Ap.103</v>
      </c>
      <c r="B442" s="13" t="str">
        <f>_xlfn.CONCAT(VLOOKUP(Check[[#This Row],[סטטוס]],Sold,2,FALSE),IF(Check[[#This Row],[סטטוס]]="פנויה",IF(N442="גמר מלא סטנדרט",".GMS",IF(N442="גמר מלא טיוב חומרים",".GMC",IF(N442="גמר מינימלי",".GM",IF(N442="דירת שיווק",".DS","")))),""),IF(M442="זומן לטרום",".ZLT",IF(M442="טרום מסירה",".TM",IF(M442="טרום מסירה מהנדס",".TMM",IF(M442="מסירת חזקה",".MH",IF(M442="מסירת חזקה מהנדס",".MHM",""))))),".",VLOOKUP(Check[[#This Row],[טיפוס]],Tipus[],5,FALSE),".",VLOOKUP(Check[[#This Row],[מגדל]],Tower,2,FALSE),".Ap.",Check[[#This Row],[מספר דירה]])</f>
        <v>S.S.3A.TN.Ap.103</v>
      </c>
      <c r="C442" s="3" t="s">
        <v>56</v>
      </c>
      <c r="D442" s="3">
        <v>13</v>
      </c>
      <c r="E442" s="4">
        <v>103</v>
      </c>
      <c r="F442" s="3">
        <v>1307</v>
      </c>
      <c r="G442" s="3" t="s">
        <v>9</v>
      </c>
      <c r="H442" s="5">
        <f>VLOOKUP(Check[[#This Row],[טיפוס]],Tipus[],2,FALSE)</f>
        <v>3</v>
      </c>
      <c r="I442" s="5" t="str">
        <f>VLOOKUP(Check[[#This Row],[טיפוס]],Tipus[],3,FALSE)</f>
        <v>סטנדרט</v>
      </c>
      <c r="J442" s="5" t="str">
        <f>VLOOKUP(Check[[#This Row],[טיפוס]],Tipus[],4,FALSE)</f>
        <v>D</v>
      </c>
      <c r="K442" s="3" t="str">
        <f>IF(Check[[#This Row],[סטטוס2]]="הולד","פנויה",Check[[#This Row],[סטטוס2]])</f>
        <v>מכורה</v>
      </c>
      <c r="L442" s="382" t="s">
        <v>130</v>
      </c>
      <c r="M442" s="382"/>
      <c r="N442" s="383"/>
      <c r="O442" s="383"/>
      <c r="P442" s="411"/>
      <c r="Q442" s="411"/>
      <c r="R442" s="383"/>
      <c r="S442" s="390">
        <v>45679</v>
      </c>
      <c r="T442" s="390" t="s">
        <v>1219</v>
      </c>
      <c r="U442" s="387"/>
      <c r="V442" s="387"/>
      <c r="W442" s="387"/>
    </row>
    <row r="443" spans="1:23" x14ac:dyDescent="0.2">
      <c r="A443" s="13" t="str">
        <f>_xlfn.CONCAT(VLOOKUP(Check[[#This Row],[סטטוס]],Sold,2,FALSE),IF(Check[[#This Row],[סטטוס]]="פנויה",IF(N443="גמר מלא סטנדרט",".GMS",IF(N443="גמר מלא טיוב חומרים",".GMC",IF(N443="גמר מינימלי",".GM",IF(N443="דירת שיווק",".DS","")))),""),".",VLOOKUP(Check[[#This Row],[טיפוס]],Tipus[],5,FALSE),".",VLOOKUP(Check[[#This Row],[מגדל]],Tower,2,FALSE),".Ap.",Check[[#This Row],[מספר דירה]])</f>
        <v>S.S.3C.TN.Ap.104</v>
      </c>
      <c r="B443" s="13" t="str">
        <f>_xlfn.CONCAT(VLOOKUP(Check[[#This Row],[סטטוס]],Sold,2,FALSE),IF(Check[[#This Row],[סטטוס]]="פנויה",IF(N443="גמר מלא סטנדרט",".GMS",IF(N443="גמר מלא טיוב חומרים",".GMC",IF(N443="גמר מינימלי",".GM",IF(N443="דירת שיווק",".DS","")))),""),IF(M443="זומן לטרום",".ZLT",IF(M443="טרום מסירה",".TM",IF(M443="טרום מסירה מהנדס",".TMM",IF(M443="מסירת חזקה",".MH",IF(M443="מסירת חזקה מהנדס",".MHM",""))))),".",VLOOKUP(Check[[#This Row],[טיפוס]],Tipus[],5,FALSE),".",VLOOKUP(Check[[#This Row],[מגדל]],Tower,2,FALSE),".Ap.",Check[[#This Row],[מספר דירה]])</f>
        <v>S.S.3C.TN.Ap.104</v>
      </c>
      <c r="C443" s="3" t="s">
        <v>56</v>
      </c>
      <c r="D443" s="3">
        <v>13</v>
      </c>
      <c r="E443" s="4">
        <v>104</v>
      </c>
      <c r="F443" s="3">
        <v>1308</v>
      </c>
      <c r="G443" s="3" t="s">
        <v>18</v>
      </c>
      <c r="H443" s="5">
        <f>VLOOKUP(Check[[#This Row],[טיפוס]],Tipus[],2,FALSE)</f>
        <v>3</v>
      </c>
      <c r="I443" s="5" t="str">
        <f>VLOOKUP(Check[[#This Row],[טיפוס]],Tipus[],3,FALSE)</f>
        <v>סטנדרט</v>
      </c>
      <c r="J443" s="5" t="str">
        <f>VLOOKUP(Check[[#This Row],[טיפוס]],Tipus[],4,FALSE)</f>
        <v>E</v>
      </c>
      <c r="K443" s="3" t="str">
        <f>IF(Check[[#This Row],[סטטוס2]]="הולד","פנויה",Check[[#This Row],[סטטוס2]])</f>
        <v>מכורה</v>
      </c>
      <c r="L443" s="382" t="s">
        <v>130</v>
      </c>
      <c r="M443" s="382"/>
      <c r="N443" s="383"/>
      <c r="O443" s="383"/>
      <c r="P443" s="411"/>
      <c r="Q443" s="411"/>
      <c r="R443" s="383"/>
      <c r="S443" s="390">
        <v>44472</v>
      </c>
      <c r="T443" s="390" t="s">
        <v>638</v>
      </c>
      <c r="U443" s="387" t="s">
        <v>639</v>
      </c>
      <c r="V443" s="387"/>
      <c r="W443" s="387"/>
    </row>
    <row r="444" spans="1:23" x14ac:dyDescent="0.2">
      <c r="A444" s="13" t="str">
        <f>_xlfn.CONCAT(VLOOKUP(Check[[#This Row],[סטטוס]],Sold,2,FALSE),IF(Check[[#This Row],[סטטוס]]="פנויה",IF(N444="גמר מלא סטנדרט",".GMS",IF(N444="גמר מלא טיוב חומרים",".GMC",IF(N444="גמר מינימלי",".GM",IF(N444="דירת שיווק",".DS","")))),""),".",VLOOKUP(Check[[#This Row],[טיפוס]],Tipus[],5,FALSE),".",VLOOKUP(Check[[#This Row],[מגדל]],Tower,2,FALSE),".Ap.",Check[[#This Row],[מספר דירה]])</f>
        <v>S.S.3B.TN.Ap.105</v>
      </c>
      <c r="B444" s="13" t="str">
        <f>_xlfn.CONCAT(VLOOKUP(Check[[#This Row],[סטטוס]],Sold,2,FALSE),IF(Check[[#This Row],[סטטוס]]="פנויה",IF(N444="גמר מלא סטנדרט",".GMS",IF(N444="גמר מלא טיוב חומרים",".GMC",IF(N444="גמר מינימלי",".GM",IF(N444="דירת שיווק",".DS","")))),""),IF(M444="זומן לטרום",".ZLT",IF(M444="טרום מסירה",".TM",IF(M444="טרום מסירה מהנדס",".TMM",IF(M444="מסירת חזקה",".MH",IF(M444="מסירת חזקה מהנדס",".MHM",""))))),".",VLOOKUP(Check[[#This Row],[טיפוס]],Tipus[],5,FALSE),".",VLOOKUP(Check[[#This Row],[מגדל]],Tower,2,FALSE),".Ap.",Check[[#This Row],[מספר דירה]])</f>
        <v>S.S.3B.TN.Ap.105</v>
      </c>
      <c r="C444" s="3" t="s">
        <v>56</v>
      </c>
      <c r="D444" s="3">
        <v>13</v>
      </c>
      <c r="E444" s="4">
        <v>105</v>
      </c>
      <c r="F444" s="3">
        <v>1301</v>
      </c>
      <c r="G444" s="5" t="s">
        <v>19</v>
      </c>
      <c r="H444" s="5">
        <f>VLOOKUP(Check[[#This Row],[טיפוס]],Tipus[],2,FALSE)</f>
        <v>3</v>
      </c>
      <c r="I444" s="5" t="str">
        <f>VLOOKUP(Check[[#This Row],[טיפוס]],Tipus[],3,FALSE)</f>
        <v>סטנדרט</v>
      </c>
      <c r="J444" s="5" t="str">
        <f>VLOOKUP(Check[[#This Row],[טיפוס]],Tipus[],4,FALSE)</f>
        <v>G</v>
      </c>
      <c r="K444" s="3" t="str">
        <f>IF(Check[[#This Row],[סטטוס2]]="הולד","פנויה",Check[[#This Row],[סטטוס2]])</f>
        <v>מכורה</v>
      </c>
      <c r="L444" s="382" t="s">
        <v>130</v>
      </c>
      <c r="M444" s="382"/>
      <c r="N444" s="383"/>
      <c r="O444" s="383"/>
      <c r="P444" s="411"/>
      <c r="Q444" s="411"/>
      <c r="R444" s="383"/>
      <c r="S444" s="390">
        <v>44306</v>
      </c>
      <c r="T444" s="390" t="s">
        <v>640</v>
      </c>
      <c r="U444" s="387" t="s">
        <v>641</v>
      </c>
      <c r="V444" s="387"/>
      <c r="W444" s="387"/>
    </row>
    <row r="445" spans="1:23" x14ac:dyDescent="0.2">
      <c r="A445" s="13" t="str">
        <f>_xlfn.CONCAT(VLOOKUP(Check[[#This Row],[סטטוס]],Sold,2,FALSE),IF(Check[[#This Row],[סטטוס]]="פנויה",IF(N445="גמר מלא סטנדרט",".GMS",IF(N445="גמר מלא טיוב חומרים",".GMC",IF(N445="גמר מינימלי",".GM",IF(N445="דירת שיווק",".DS","")))),""),".",VLOOKUP(Check[[#This Row],[טיפוס]],Tipus[],5,FALSE),".",VLOOKUP(Check[[#This Row],[מגדל]],Tower,2,FALSE),".Ap.",Check[[#This Row],[מספר דירה]])</f>
        <v>S.S.4B.TN.Ap.106</v>
      </c>
      <c r="B445" s="13" t="str">
        <f>_xlfn.CONCAT(VLOOKUP(Check[[#This Row],[סטטוס]],Sold,2,FALSE),IF(Check[[#This Row],[סטטוס]]="פנויה",IF(N445="גמר מלא סטנדרט",".GMS",IF(N445="גמר מלא טיוב חומרים",".GMC",IF(N445="גמר מינימלי",".GM",IF(N445="דירת שיווק",".DS","")))),""),IF(M445="זומן לטרום",".ZLT",IF(M445="טרום מסירה",".TM",IF(M445="טרום מסירה מהנדס",".TMM",IF(M445="מסירת חזקה",".MH",IF(M445="מסירת חזקה מהנדס",".MHM",""))))),".",VLOOKUP(Check[[#This Row],[טיפוס]],Tipus[],5,FALSE),".",VLOOKUP(Check[[#This Row],[מגדל]],Tower,2,FALSE),".Ap.",Check[[#This Row],[מספר דירה]])</f>
        <v>S.S.4B.TN.Ap.106</v>
      </c>
      <c r="C445" s="3" t="s">
        <v>56</v>
      </c>
      <c r="D445" s="3">
        <v>13</v>
      </c>
      <c r="E445" s="4">
        <v>106</v>
      </c>
      <c r="F445" s="3">
        <v>1302</v>
      </c>
      <c r="G445" s="5" t="s">
        <v>16</v>
      </c>
      <c r="H445" s="5">
        <f>VLOOKUP(Check[[#This Row],[טיפוס]],Tipus[],2,FALSE)</f>
        <v>4</v>
      </c>
      <c r="I445" s="5" t="str">
        <f>VLOOKUP(Check[[#This Row],[טיפוס]],Tipus[],3,FALSE)</f>
        <v>סטנדרט</v>
      </c>
      <c r="J445" s="5" t="str">
        <f>VLOOKUP(Check[[#This Row],[טיפוס]],Tipus[],4,FALSE)</f>
        <v>H</v>
      </c>
      <c r="K445" s="3" t="str">
        <f>IF(Check[[#This Row],[סטטוס2]]="הולד","פנויה",Check[[#This Row],[סטטוס2]])</f>
        <v>מכורה</v>
      </c>
      <c r="L445" s="382" t="s">
        <v>130</v>
      </c>
      <c r="M445" s="382"/>
      <c r="N445" s="383"/>
      <c r="O445" s="383"/>
      <c r="P445" s="411"/>
      <c r="Q445" s="411"/>
      <c r="R445" s="383"/>
      <c r="S445" s="390">
        <v>44231</v>
      </c>
      <c r="T445" s="390" t="s">
        <v>642</v>
      </c>
      <c r="U445" s="387" t="s">
        <v>643</v>
      </c>
      <c r="V445" s="387"/>
      <c r="W445" s="387"/>
    </row>
    <row r="446" spans="1:23" x14ac:dyDescent="0.2">
      <c r="A446" s="13" t="str">
        <f>_xlfn.CONCAT(VLOOKUP(Check[[#This Row],[סטטוס]],Sold,2,FALSE),IF(Check[[#This Row],[סטטוס]]="פנויה",IF(N446="גמר מלא סטנדרט",".GMS",IF(N446="גמר מלא טיוב חומרים",".GMC",IF(N446="גמר מינימלי",".GM",IF(N446="דירת שיווק",".DS","")))),""),".",VLOOKUP(Check[[#This Row],[טיפוס]],Tipus[],5,FALSE),".",VLOOKUP(Check[[#This Row],[מגדל]],Tower,2,FALSE),".Ap.",Check[[#This Row],[מספר דירה]])</f>
        <v>S.S.2G.TN.Ap.107</v>
      </c>
      <c r="B446" s="13" t="str">
        <f>_xlfn.CONCAT(VLOOKUP(Check[[#This Row],[סטטוס]],Sold,2,FALSE),IF(Check[[#This Row],[סטטוס]]="פנויה",IF(N446="גמר מלא סטנדרט",".GMS",IF(N446="גמר מלא טיוב חומרים",".GMC",IF(N446="גמר מינימלי",".GM",IF(N446="דירת שיווק",".DS","")))),""),IF(M446="זומן לטרום",".ZLT",IF(M446="טרום מסירה",".TM",IF(M446="טרום מסירה מהנדס",".TMM",IF(M446="מסירת חזקה",".MH",IF(M446="מסירת חזקה מהנדס",".MHM",""))))),".",VLOOKUP(Check[[#This Row],[טיפוס]],Tipus[],5,FALSE),".",VLOOKUP(Check[[#This Row],[מגדל]],Tower,2,FALSE),".Ap.",Check[[#This Row],[מספר דירה]])</f>
        <v>S.S.2G.TN.Ap.107</v>
      </c>
      <c r="C446" s="3" t="s">
        <v>56</v>
      </c>
      <c r="D446" s="3">
        <v>13</v>
      </c>
      <c r="E446" s="4">
        <v>107</v>
      </c>
      <c r="F446" s="3">
        <v>1303</v>
      </c>
      <c r="G446" s="5" t="s">
        <v>15</v>
      </c>
      <c r="H446" s="5">
        <f>VLOOKUP(Check[[#This Row],[טיפוס]],Tipus[],2,FALSE)</f>
        <v>2</v>
      </c>
      <c r="I446" s="5" t="str">
        <f>VLOOKUP(Check[[#This Row],[טיפוס]],Tipus[],3,FALSE)</f>
        <v>סטנדרט</v>
      </c>
      <c r="J446" s="5" t="str">
        <f>VLOOKUP(Check[[#This Row],[טיפוס]],Tipus[],4,FALSE)</f>
        <v>I</v>
      </c>
      <c r="K446" s="3" t="str">
        <f>IF(Check[[#This Row],[סטטוס2]]="הולד","פנויה",Check[[#This Row],[סטטוס2]])</f>
        <v>מכורה</v>
      </c>
      <c r="L446" s="382" t="s">
        <v>130</v>
      </c>
      <c r="M446" s="382"/>
      <c r="N446" s="383"/>
      <c r="O446" s="383"/>
      <c r="P446" s="411"/>
      <c r="Q446" s="411"/>
      <c r="R446" s="383"/>
      <c r="S446" s="390">
        <v>44224</v>
      </c>
      <c r="T446" s="390" t="s">
        <v>644</v>
      </c>
      <c r="U446" s="387" t="s">
        <v>645</v>
      </c>
      <c r="V446" s="387"/>
      <c r="W446" s="387"/>
    </row>
    <row r="447" spans="1:23" x14ac:dyDescent="0.2">
      <c r="A447" s="13" t="str">
        <f>_xlfn.CONCAT(VLOOKUP(Check[[#This Row],[סטטוס]],Sold,2,FALSE),IF(Check[[#This Row],[סטטוס]]="פנויה",IF(N447="גמר מלא סטנדרט",".GMS",IF(N447="גמר מלא טיוב חומרים",".GMC",IF(N447="גמר מינימלי",".GM",IF(N447="דירת שיווק",".DS","")))),""),".",VLOOKUP(Check[[#This Row],[טיפוס]],Tipus[],5,FALSE),".",VLOOKUP(Check[[#This Row],[מגדל]],Tower,2,FALSE),".Ap.",Check[[#This Row],[מספר דירה]])</f>
        <v>S.S.4A.TN.Ap.108</v>
      </c>
      <c r="B447" s="13" t="str">
        <f>_xlfn.CONCAT(VLOOKUP(Check[[#This Row],[סטטוס]],Sold,2,FALSE),IF(Check[[#This Row],[סטטוס]]="פנויה",IF(N447="גמר מלא סטנדרט",".GMS",IF(N447="גמר מלא טיוב חומרים",".GMC",IF(N447="גמר מינימלי",".GM",IF(N447="דירת שיווק",".DS","")))),""),IF(M447="זומן לטרום",".ZLT",IF(M447="טרום מסירה",".TM",IF(M447="טרום מסירה מהנדס",".TMM",IF(M447="מסירת חזקה",".MH",IF(M447="מסירת חזקה מהנדס",".MHM",""))))),".",VLOOKUP(Check[[#This Row],[טיפוס]],Tipus[],5,FALSE),".",VLOOKUP(Check[[#This Row],[מגדל]],Tower,2,FALSE),".Ap.",Check[[#This Row],[מספר דירה]])</f>
        <v>S.S.4A.TN.Ap.108</v>
      </c>
      <c r="C447" s="3" t="s">
        <v>56</v>
      </c>
      <c r="D447" s="3">
        <v>13</v>
      </c>
      <c r="E447" s="4">
        <v>108</v>
      </c>
      <c r="F447" s="3">
        <v>1304</v>
      </c>
      <c r="G447" s="3" t="s">
        <v>14</v>
      </c>
      <c r="H447" s="5">
        <f>VLOOKUP(Check[[#This Row],[טיפוס]],Tipus[],2,FALSE)</f>
        <v>4</v>
      </c>
      <c r="I447" s="5" t="str">
        <f>VLOOKUP(Check[[#This Row],[טיפוס]],Tipus[],3,FALSE)</f>
        <v>סטנדרט</v>
      </c>
      <c r="J447" s="5" t="str">
        <f>VLOOKUP(Check[[#This Row],[טיפוס]],Tipus[],4,FALSE)</f>
        <v>J</v>
      </c>
      <c r="K447" s="3" t="str">
        <f>IF(Check[[#This Row],[סטטוס2]]="הולד","פנויה",Check[[#This Row],[סטטוס2]])</f>
        <v>מכורה</v>
      </c>
      <c r="L447" s="382" t="s">
        <v>130</v>
      </c>
      <c r="M447" s="382"/>
      <c r="N447" s="383"/>
      <c r="O447" s="383"/>
      <c r="P447" s="411"/>
      <c r="Q447" s="411"/>
      <c r="R447" s="383"/>
      <c r="S447" s="390">
        <v>44223</v>
      </c>
      <c r="T447" s="390" t="s">
        <v>646</v>
      </c>
      <c r="U447" s="387" t="s">
        <v>647</v>
      </c>
      <c r="V447" s="387"/>
      <c r="W447" s="387"/>
    </row>
    <row r="448" spans="1:23" x14ac:dyDescent="0.2">
      <c r="A448" s="13" t="str">
        <f>_xlfn.CONCAT(VLOOKUP(Check[[#This Row],[סטטוס]],Sold,2,FALSE),IF(Check[[#This Row],[סטטוס]]="פנויה",IF(N448="גמר מלא סטנדרט",".GMS",IF(N448="גמר מלא טיוב חומרים",".GMC",IF(N448="גמר מינימלי",".GM",IF(N448="דירת שיווק",".DS","")))),""),".",VLOOKUP(Check[[#This Row],[טיפוס]],Tipus[],5,FALSE),".",VLOOKUP(Check[[#This Row],[מגדל]],Tower,2,FALSE),".Ap.",Check[[#This Row],[מספר דירה]])</f>
        <v>S.S.3E.TN.Ap.109</v>
      </c>
      <c r="B448" s="13" t="str">
        <f>_xlfn.CONCAT(VLOOKUP(Check[[#This Row],[סטטוס]],Sold,2,FALSE),IF(Check[[#This Row],[סטטוס]]="פנויה",IF(N448="גמר מלא סטנדרט",".GMS",IF(N448="גמר מלא טיוב חומרים",".GMC",IF(N448="גמר מינימלי",".GM",IF(N448="דירת שיווק",".DS","")))),""),IF(M448="זומן לטרום",".ZLT",IF(M448="טרום מסירה",".TM",IF(M448="טרום מסירה מהנדס",".TMM",IF(M448="מסירת חזקה",".MH",IF(M448="מסירת חזקה מהנדס",".MHM",""))))),".",VLOOKUP(Check[[#This Row],[טיפוס]],Tipus[],5,FALSE),".",VLOOKUP(Check[[#This Row],[מגדל]],Tower,2,FALSE),".Ap.",Check[[#This Row],[מספר דירה]])</f>
        <v>S.S.3E.TN.Ap.109</v>
      </c>
      <c r="C448" s="3" t="s">
        <v>56</v>
      </c>
      <c r="D448" s="3">
        <v>13</v>
      </c>
      <c r="E448" s="4">
        <v>109</v>
      </c>
      <c r="F448" s="3">
        <v>1305</v>
      </c>
      <c r="G448" s="5" t="s">
        <v>20</v>
      </c>
      <c r="H448" s="5">
        <f>VLOOKUP(Check[[#This Row],[טיפוס]],Tipus[],2,FALSE)</f>
        <v>3</v>
      </c>
      <c r="I448" s="5" t="str">
        <f>VLOOKUP(Check[[#This Row],[טיפוס]],Tipus[],3,FALSE)</f>
        <v>סטנדרט</v>
      </c>
      <c r="J448" s="5" t="str">
        <f>VLOOKUP(Check[[#This Row],[טיפוס]],Tipus[],4,FALSE)</f>
        <v>A</v>
      </c>
      <c r="K448" s="3" t="str">
        <f>IF(Check[[#This Row],[סטטוס2]]="הולד","פנויה",Check[[#This Row],[סטטוס2]])</f>
        <v>מכורה</v>
      </c>
      <c r="L448" s="382" t="s">
        <v>130</v>
      </c>
      <c r="M448" s="382"/>
      <c r="N448" s="383"/>
      <c r="O448" s="383"/>
      <c r="P448" s="411"/>
      <c r="Q448" s="411"/>
      <c r="R448" s="383"/>
      <c r="S448" s="390">
        <v>44255</v>
      </c>
      <c r="T448" s="390" t="s">
        <v>648</v>
      </c>
      <c r="U448" s="387" t="s">
        <v>649</v>
      </c>
      <c r="V448" s="387"/>
      <c r="W448" s="387"/>
    </row>
    <row r="449" spans="1:23" x14ac:dyDescent="0.2">
      <c r="A449" s="13" t="str">
        <f>_xlfn.CONCAT(VLOOKUP(Check[[#This Row],[סטטוס]],Sold,2,FALSE),IF(Check[[#This Row],[סטטוס]]="פנויה",IF(N449="גמר מלא סטנדרט",".GMS",IF(N449="גמר מלא טיוב חומרים",".GMC",IF(N449="גמר מינימלי",".GM",IF(N449="דירת שיווק",".DS","")))),""),".",VLOOKUP(Check[[#This Row],[טיפוס]],Tipus[],5,FALSE),".",VLOOKUP(Check[[#This Row],[מגדל]],Tower,2,FALSE),".Ap.",Check[[#This Row],[מספר דירה]])</f>
        <v>S.S.3D.TN.Ap.110</v>
      </c>
      <c r="B449" s="13" t="str">
        <f>_xlfn.CONCAT(VLOOKUP(Check[[#This Row],[סטטוס]],Sold,2,FALSE),IF(Check[[#This Row],[סטטוס]]="פנויה",IF(N449="גמר מלא סטנדרט",".GMS",IF(N449="גמר מלא טיוב חומרים",".GMC",IF(N449="גמר מינימלי",".GM",IF(N449="דירת שיווק",".DS","")))),""),IF(M449="זומן לטרום",".ZLT",IF(M449="טרום מסירה",".TM",IF(M449="טרום מסירה מהנדס",".TMM",IF(M449="מסירת חזקה",".MH",IF(M449="מסירת חזקה מהנדס",".MHM",""))))),".",VLOOKUP(Check[[#This Row],[טיפוס]],Tipus[],5,FALSE),".",VLOOKUP(Check[[#This Row],[מגדל]],Tower,2,FALSE),".Ap.",Check[[#This Row],[מספר דירה]])</f>
        <v>S.S.3D.TN.Ap.110</v>
      </c>
      <c r="C449" s="3" t="s">
        <v>56</v>
      </c>
      <c r="D449" s="3">
        <v>13</v>
      </c>
      <c r="E449" s="4">
        <v>110</v>
      </c>
      <c r="F449" s="3">
        <v>1306</v>
      </c>
      <c r="G449" s="5" t="s">
        <v>21</v>
      </c>
      <c r="H449" s="5">
        <f>VLOOKUP(Check[[#This Row],[טיפוס]],Tipus[],2,FALSE)</f>
        <v>3</v>
      </c>
      <c r="I449" s="5" t="str">
        <f>VLOOKUP(Check[[#This Row],[טיפוס]],Tipus[],3,FALSE)</f>
        <v>סטנדרט</v>
      </c>
      <c r="J449" s="5" t="str">
        <f>VLOOKUP(Check[[#This Row],[טיפוס]],Tipus[],4,FALSE)</f>
        <v>C</v>
      </c>
      <c r="K449" s="3" t="str">
        <f>IF(Check[[#This Row],[סטטוס2]]="הולד","פנויה",Check[[#This Row],[סטטוס2]])</f>
        <v>מכורה</v>
      </c>
      <c r="L449" s="382" t="s">
        <v>130</v>
      </c>
      <c r="M449" s="382"/>
      <c r="N449" s="383"/>
      <c r="O449" s="383"/>
      <c r="P449" s="411"/>
      <c r="Q449" s="411"/>
      <c r="R449" s="383"/>
      <c r="S449" s="390">
        <v>44503</v>
      </c>
      <c r="T449" s="390" t="s">
        <v>650</v>
      </c>
      <c r="U449" s="387" t="s">
        <v>651</v>
      </c>
      <c r="V449" s="387"/>
      <c r="W449" s="387"/>
    </row>
    <row r="450" spans="1:23" x14ac:dyDescent="0.2">
      <c r="A450" s="13" t="str">
        <f>_xlfn.CONCAT(VLOOKUP(Check[[#This Row],[סטטוס]],Sold,2,FALSE),IF(Check[[#This Row],[סטטוס]]="פנויה",IF(N450="גמר מלא סטנדרט",".GMS",IF(N450="גמר מלא טיוב חומרים",".GMC",IF(N450="גמר מינימלי",".GM",IF(N450="דירת שיווק",".DS","")))),""),".",VLOOKUP(Check[[#This Row],[טיפוס]],Tipus[],5,FALSE),".",VLOOKUP(Check[[#This Row],[מגדל]],Tower,2,FALSE),".Ap.",Check[[#This Row],[מספר דירה]])</f>
        <v>S.S.3A.TN.Ap.111</v>
      </c>
      <c r="B450" s="13" t="str">
        <f>_xlfn.CONCAT(VLOOKUP(Check[[#This Row],[סטטוס]],Sold,2,FALSE),IF(Check[[#This Row],[סטטוס]]="פנויה",IF(N450="גמר מלא סטנדרט",".GMS",IF(N450="גמר מלא טיוב חומרים",".GMC",IF(N450="גמר מינימלי",".GM",IF(N450="דירת שיווק",".DS","")))),""),IF(M450="זומן לטרום",".ZLT",IF(M450="טרום מסירה",".TM",IF(M450="טרום מסירה מהנדס",".TMM",IF(M450="מסירת חזקה",".MH",IF(M450="מסירת חזקה מהנדס",".MHM",""))))),".",VLOOKUP(Check[[#This Row],[טיפוס]],Tipus[],5,FALSE),".",VLOOKUP(Check[[#This Row],[מגדל]],Tower,2,FALSE),".Ap.",Check[[#This Row],[מספר דירה]])</f>
        <v>S.S.3A.TN.Ap.111</v>
      </c>
      <c r="C450" s="3" t="s">
        <v>56</v>
      </c>
      <c r="D450" s="3">
        <v>14</v>
      </c>
      <c r="E450" s="4">
        <v>111</v>
      </c>
      <c r="F450" s="3">
        <v>1407</v>
      </c>
      <c r="G450" s="3" t="s">
        <v>9</v>
      </c>
      <c r="H450" s="5">
        <f>VLOOKUP(Check[[#This Row],[טיפוס]],Tipus[],2,FALSE)</f>
        <v>3</v>
      </c>
      <c r="I450" s="5" t="str">
        <f>VLOOKUP(Check[[#This Row],[טיפוס]],Tipus[],3,FALSE)</f>
        <v>סטנדרט</v>
      </c>
      <c r="J450" s="5" t="str">
        <f>VLOOKUP(Check[[#This Row],[טיפוס]],Tipus[],4,FALSE)</f>
        <v>D</v>
      </c>
      <c r="K450" s="3" t="str">
        <f>IF(Check[[#This Row],[סטטוס2]]="הולד","פנויה",Check[[#This Row],[סטטוס2]])</f>
        <v>מכורה</v>
      </c>
      <c r="L450" s="382" t="s">
        <v>130</v>
      </c>
      <c r="M450" s="382"/>
      <c r="N450" s="383"/>
      <c r="O450" s="383"/>
      <c r="P450" s="411"/>
      <c r="Q450" s="411"/>
      <c r="R450" s="383"/>
      <c r="S450" s="390">
        <v>44923</v>
      </c>
      <c r="T450" s="390" t="s">
        <v>652</v>
      </c>
      <c r="U450" s="387" t="s">
        <v>653</v>
      </c>
      <c r="V450" s="387"/>
      <c r="W450" s="387"/>
    </row>
    <row r="451" spans="1:23" x14ac:dyDescent="0.2">
      <c r="A451" s="13" t="str">
        <f>_xlfn.CONCAT(VLOOKUP(Check[[#This Row],[סטטוס]],Sold,2,FALSE),IF(Check[[#This Row],[סטטוס]]="פנויה",IF(N451="גמר מלא סטנדרט",".GMS",IF(N451="גמר מלא טיוב חומרים",".GMC",IF(N451="גמר מינימלי",".GM",IF(N451="דירת שיווק",".DS","")))),""),".",VLOOKUP(Check[[#This Row],[טיפוס]],Tipus[],5,FALSE),".",VLOOKUP(Check[[#This Row],[מגדל]],Tower,2,FALSE),".Ap.",Check[[#This Row],[מספר דירה]])</f>
        <v>S.S.3C.TN.Ap.112</v>
      </c>
      <c r="B451" s="13" t="str">
        <f>_xlfn.CONCAT(VLOOKUP(Check[[#This Row],[סטטוס]],Sold,2,FALSE),IF(Check[[#This Row],[סטטוס]]="פנויה",IF(N451="גמר מלא סטנדרט",".GMS",IF(N451="גמר מלא טיוב חומרים",".GMC",IF(N451="גמר מינימלי",".GM",IF(N451="דירת שיווק",".DS","")))),""),IF(M451="זומן לטרום",".ZLT",IF(M451="טרום מסירה",".TM",IF(M451="טרום מסירה מהנדס",".TMM",IF(M451="מסירת חזקה",".MH",IF(M451="מסירת חזקה מהנדס",".MHM",""))))),".",VLOOKUP(Check[[#This Row],[טיפוס]],Tipus[],5,FALSE),".",VLOOKUP(Check[[#This Row],[מגדל]],Tower,2,FALSE),".Ap.",Check[[#This Row],[מספר דירה]])</f>
        <v>S.S.3C.TN.Ap.112</v>
      </c>
      <c r="C451" s="3" t="s">
        <v>56</v>
      </c>
      <c r="D451" s="3">
        <v>14</v>
      </c>
      <c r="E451" s="4">
        <v>112</v>
      </c>
      <c r="F451" s="3">
        <v>1408</v>
      </c>
      <c r="G451" s="3" t="s">
        <v>18</v>
      </c>
      <c r="H451" s="5">
        <f>VLOOKUP(Check[[#This Row],[טיפוס]],Tipus[],2,FALSE)</f>
        <v>3</v>
      </c>
      <c r="I451" s="5" t="str">
        <f>VLOOKUP(Check[[#This Row],[טיפוס]],Tipus[],3,FALSE)</f>
        <v>סטנדרט</v>
      </c>
      <c r="J451" s="5" t="str">
        <f>VLOOKUP(Check[[#This Row],[טיפוס]],Tipus[],4,FALSE)</f>
        <v>E</v>
      </c>
      <c r="K451" s="3" t="str">
        <f>IF(Check[[#This Row],[סטטוס2]]="הולד","פנויה",Check[[#This Row],[סטטוס2]])</f>
        <v>מכורה</v>
      </c>
      <c r="L451" s="382" t="s">
        <v>130</v>
      </c>
      <c r="M451" s="382"/>
      <c r="N451" s="383"/>
      <c r="O451" s="383"/>
      <c r="P451" s="411"/>
      <c r="Q451" s="411"/>
      <c r="R451" s="383"/>
      <c r="S451" s="390">
        <v>44474</v>
      </c>
      <c r="T451" s="390" t="s">
        <v>654</v>
      </c>
      <c r="U451" s="387" t="s">
        <v>655</v>
      </c>
      <c r="V451" s="387"/>
      <c r="W451" s="387"/>
    </row>
    <row r="452" spans="1:23" x14ac:dyDescent="0.2">
      <c r="A452" s="13" t="str">
        <f>_xlfn.CONCAT(VLOOKUP(Check[[#This Row],[סטטוס]],Sold,2,FALSE),IF(Check[[#This Row],[סטטוס]]="פנויה",IF(N452="גמר מלא סטנדרט",".GMS",IF(N452="גמר מלא טיוב חומרים",".GMC",IF(N452="גמר מינימלי",".GM",IF(N452="דירת שיווק",".DS","")))),""),".",VLOOKUP(Check[[#This Row],[טיפוס]],Tipus[],5,FALSE),".",VLOOKUP(Check[[#This Row],[מגדל]],Tower,2,FALSE),".Ap.",Check[[#This Row],[מספר דירה]])</f>
        <v>S.S.3B.TN.Ap.113</v>
      </c>
      <c r="B452" s="13" t="str">
        <f>_xlfn.CONCAT(VLOOKUP(Check[[#This Row],[סטטוס]],Sold,2,FALSE),IF(Check[[#This Row],[סטטוס]]="פנויה",IF(N452="גמר מלא סטנדרט",".GMS",IF(N452="גמר מלא טיוב חומרים",".GMC",IF(N452="גמר מינימלי",".GM",IF(N452="דירת שיווק",".DS","")))),""),IF(M452="זומן לטרום",".ZLT",IF(M452="טרום מסירה",".TM",IF(M452="טרום מסירה מהנדס",".TMM",IF(M452="מסירת חזקה",".MH",IF(M452="מסירת חזקה מהנדס",".MHM",""))))),".",VLOOKUP(Check[[#This Row],[טיפוס]],Tipus[],5,FALSE),".",VLOOKUP(Check[[#This Row],[מגדל]],Tower,2,FALSE),".Ap.",Check[[#This Row],[מספר דירה]])</f>
        <v>S.S.3B.TN.Ap.113</v>
      </c>
      <c r="C452" s="3" t="s">
        <v>56</v>
      </c>
      <c r="D452" s="3">
        <v>14</v>
      </c>
      <c r="E452" s="4">
        <v>113</v>
      </c>
      <c r="F452" s="3">
        <v>1401</v>
      </c>
      <c r="G452" s="5" t="s">
        <v>19</v>
      </c>
      <c r="H452" s="5">
        <f>VLOOKUP(Check[[#This Row],[טיפוס]],Tipus[],2,FALSE)</f>
        <v>3</v>
      </c>
      <c r="I452" s="5" t="str">
        <f>VLOOKUP(Check[[#This Row],[טיפוס]],Tipus[],3,FALSE)</f>
        <v>סטנדרט</v>
      </c>
      <c r="J452" s="5" t="str">
        <f>VLOOKUP(Check[[#This Row],[טיפוס]],Tipus[],4,FALSE)</f>
        <v>G</v>
      </c>
      <c r="K452" s="3" t="str">
        <f>IF(Check[[#This Row],[סטטוס2]]="הולד","פנויה",Check[[#This Row],[סטטוס2]])</f>
        <v>מכורה</v>
      </c>
      <c r="L452" s="382" t="s">
        <v>130</v>
      </c>
      <c r="M452" s="382"/>
      <c r="N452" s="383"/>
      <c r="O452" s="383"/>
      <c r="P452" s="411"/>
      <c r="Q452" s="411"/>
      <c r="R452" s="383"/>
      <c r="S452" s="390">
        <v>44311</v>
      </c>
      <c r="T452" s="390" t="s">
        <v>656</v>
      </c>
      <c r="U452" s="387" t="s">
        <v>657</v>
      </c>
      <c r="V452" s="387"/>
      <c r="W452" s="387"/>
    </row>
    <row r="453" spans="1:23" x14ac:dyDescent="0.2">
      <c r="A453" s="13" t="str">
        <f>_xlfn.CONCAT(VLOOKUP(Check[[#This Row],[סטטוס]],Sold,2,FALSE),IF(Check[[#This Row],[סטטוס]]="פנויה",IF(N453="גמר מלא סטנדרט",".GMS",IF(N453="גמר מלא טיוב חומרים",".GMC",IF(N453="גמר מינימלי",".GM",IF(N453="דירת שיווק",".DS","")))),""),".",VLOOKUP(Check[[#This Row],[טיפוס]],Tipus[],5,FALSE),".",VLOOKUP(Check[[#This Row],[מגדל]],Tower,2,FALSE),".Ap.",Check[[#This Row],[מספר דירה]])</f>
        <v>S.S.4B.TN.Ap.114</v>
      </c>
      <c r="B453" s="13" t="str">
        <f>_xlfn.CONCAT(VLOOKUP(Check[[#This Row],[סטטוס]],Sold,2,FALSE),IF(Check[[#This Row],[סטטוס]]="פנויה",IF(N453="גמר מלא סטנדרט",".GMS",IF(N453="גמר מלא טיוב חומרים",".GMC",IF(N453="גמר מינימלי",".GM",IF(N453="דירת שיווק",".DS","")))),""),IF(M453="זומן לטרום",".ZLT",IF(M453="טרום מסירה",".TM",IF(M453="טרום מסירה מהנדס",".TMM",IF(M453="מסירת חזקה",".MH",IF(M453="מסירת חזקה מהנדס",".MHM",""))))),".",VLOOKUP(Check[[#This Row],[טיפוס]],Tipus[],5,FALSE),".",VLOOKUP(Check[[#This Row],[מגדל]],Tower,2,FALSE),".Ap.",Check[[#This Row],[מספר דירה]])</f>
        <v>S.S.4B.TN.Ap.114</v>
      </c>
      <c r="C453" s="3" t="s">
        <v>56</v>
      </c>
      <c r="D453" s="3">
        <v>14</v>
      </c>
      <c r="E453" s="4">
        <v>114</v>
      </c>
      <c r="F453" s="3">
        <v>1402</v>
      </c>
      <c r="G453" s="5" t="s">
        <v>16</v>
      </c>
      <c r="H453" s="5">
        <f>VLOOKUP(Check[[#This Row],[טיפוס]],Tipus[],2,FALSE)</f>
        <v>4</v>
      </c>
      <c r="I453" s="5" t="str">
        <f>VLOOKUP(Check[[#This Row],[טיפוס]],Tipus[],3,FALSE)</f>
        <v>סטנדרט</v>
      </c>
      <c r="J453" s="5" t="str">
        <f>VLOOKUP(Check[[#This Row],[טיפוס]],Tipus[],4,FALSE)</f>
        <v>H</v>
      </c>
      <c r="K453" s="3" t="str">
        <f>IF(Check[[#This Row],[סטטוס2]]="הולד","פנויה",Check[[#This Row],[סטטוס2]])</f>
        <v>מכורה</v>
      </c>
      <c r="L453" s="382" t="s">
        <v>130</v>
      </c>
      <c r="M453" s="382"/>
      <c r="N453" s="383"/>
      <c r="O453" s="383"/>
      <c r="P453" s="411"/>
      <c r="Q453" s="411"/>
      <c r="R453" s="383"/>
      <c r="S453" s="390">
        <v>44243</v>
      </c>
      <c r="T453" s="390" t="s">
        <v>658</v>
      </c>
      <c r="U453" s="387" t="s">
        <v>659</v>
      </c>
      <c r="V453" s="387"/>
      <c r="W453" s="387"/>
    </row>
    <row r="454" spans="1:23" x14ac:dyDescent="0.2">
      <c r="A454" s="13" t="str">
        <f>_xlfn.CONCAT(VLOOKUP(Check[[#This Row],[סטטוס]],Sold,2,FALSE),IF(Check[[#This Row],[סטטוס]]="פנויה",IF(N454="גמר מלא סטנדרט",".GMS",IF(N454="גמר מלא טיוב חומרים",".GMC",IF(N454="גמר מינימלי",".GM",IF(N454="דירת שיווק",".DS","")))),""),".",VLOOKUP(Check[[#This Row],[טיפוס]],Tipus[],5,FALSE),".",VLOOKUP(Check[[#This Row],[מגדל]],Tower,2,FALSE),".Ap.",Check[[#This Row],[מספר דירה]])</f>
        <v>S.S.2G.TN.Ap.115</v>
      </c>
      <c r="B454" s="13" t="str">
        <f>_xlfn.CONCAT(VLOOKUP(Check[[#This Row],[סטטוס]],Sold,2,FALSE),IF(Check[[#This Row],[סטטוס]]="פנויה",IF(N454="גמר מלא סטנדרט",".GMS",IF(N454="גמר מלא טיוב חומרים",".GMC",IF(N454="גמר מינימלי",".GM",IF(N454="דירת שיווק",".DS","")))),""),IF(M454="זומן לטרום",".ZLT",IF(M454="טרום מסירה",".TM",IF(M454="טרום מסירה מהנדס",".TMM",IF(M454="מסירת חזקה",".MH",IF(M454="מסירת חזקה מהנדס",".MHM",""))))),".",VLOOKUP(Check[[#This Row],[טיפוס]],Tipus[],5,FALSE),".",VLOOKUP(Check[[#This Row],[מגדל]],Tower,2,FALSE),".Ap.",Check[[#This Row],[מספר דירה]])</f>
        <v>S.S.2G.TN.Ap.115</v>
      </c>
      <c r="C454" s="3" t="s">
        <v>56</v>
      </c>
      <c r="D454" s="3">
        <v>14</v>
      </c>
      <c r="E454" s="4">
        <v>115</v>
      </c>
      <c r="F454" s="3">
        <v>1403</v>
      </c>
      <c r="G454" s="5" t="s">
        <v>15</v>
      </c>
      <c r="H454" s="5">
        <f>VLOOKUP(Check[[#This Row],[טיפוס]],Tipus[],2,FALSE)</f>
        <v>2</v>
      </c>
      <c r="I454" s="5" t="str">
        <f>VLOOKUP(Check[[#This Row],[טיפוס]],Tipus[],3,FALSE)</f>
        <v>סטנדרט</v>
      </c>
      <c r="J454" s="5" t="str">
        <f>VLOOKUP(Check[[#This Row],[טיפוס]],Tipus[],4,FALSE)</f>
        <v>I</v>
      </c>
      <c r="K454" s="3" t="str">
        <f>IF(Check[[#This Row],[סטטוס2]]="הולד","פנויה",Check[[#This Row],[סטטוס2]])</f>
        <v>מכורה</v>
      </c>
      <c r="L454" s="382" t="s">
        <v>130</v>
      </c>
      <c r="M454" s="382"/>
      <c r="N454" s="383"/>
      <c r="O454" s="383"/>
      <c r="P454" s="411"/>
      <c r="Q454" s="411"/>
      <c r="R454" s="383"/>
      <c r="S454" s="390">
        <v>44217</v>
      </c>
      <c r="T454" s="390" t="s">
        <v>660</v>
      </c>
      <c r="U454" s="387" t="s">
        <v>661</v>
      </c>
      <c r="V454" s="387"/>
      <c r="W454" s="387"/>
    </row>
    <row r="455" spans="1:23" x14ac:dyDescent="0.2">
      <c r="A455" s="13" t="str">
        <f>_xlfn.CONCAT(VLOOKUP(Check[[#This Row],[סטטוס]],Sold,2,FALSE),IF(Check[[#This Row],[סטטוס]]="פנויה",IF(N455="גמר מלא סטנדרט",".GMS",IF(N455="גמר מלא טיוב חומרים",".GMC",IF(N455="גמר מינימלי",".GM",IF(N455="דירת שיווק",".DS","")))),""),".",VLOOKUP(Check[[#This Row],[טיפוס]],Tipus[],5,FALSE),".",VLOOKUP(Check[[#This Row],[מגדל]],Tower,2,FALSE),".Ap.",Check[[#This Row],[מספר דירה]])</f>
        <v>S.S.4A.TN.Ap.116</v>
      </c>
      <c r="B455" s="13" t="str">
        <f>_xlfn.CONCAT(VLOOKUP(Check[[#This Row],[סטטוס]],Sold,2,FALSE),IF(Check[[#This Row],[סטטוס]]="פנויה",IF(N455="גמר מלא סטנדרט",".GMS",IF(N455="גמר מלא טיוב חומרים",".GMC",IF(N455="גמר מינימלי",".GM",IF(N455="דירת שיווק",".DS","")))),""),IF(M455="זומן לטרום",".ZLT",IF(M455="טרום מסירה",".TM",IF(M455="טרום מסירה מהנדס",".TMM",IF(M455="מסירת חזקה",".MH",IF(M455="מסירת חזקה מהנדס",".MHM",""))))),".",VLOOKUP(Check[[#This Row],[טיפוס]],Tipus[],5,FALSE),".",VLOOKUP(Check[[#This Row],[מגדל]],Tower,2,FALSE),".Ap.",Check[[#This Row],[מספר דירה]])</f>
        <v>S.S.4A.TN.Ap.116</v>
      </c>
      <c r="C455" s="3" t="s">
        <v>56</v>
      </c>
      <c r="D455" s="3">
        <v>14</v>
      </c>
      <c r="E455" s="4">
        <v>116</v>
      </c>
      <c r="F455" s="3">
        <v>1404</v>
      </c>
      <c r="G455" s="3" t="s">
        <v>14</v>
      </c>
      <c r="H455" s="5">
        <f>VLOOKUP(Check[[#This Row],[טיפוס]],Tipus[],2,FALSE)</f>
        <v>4</v>
      </c>
      <c r="I455" s="5" t="str">
        <f>VLOOKUP(Check[[#This Row],[טיפוס]],Tipus[],3,FALSE)</f>
        <v>סטנדרט</v>
      </c>
      <c r="J455" s="5" t="str">
        <f>VLOOKUP(Check[[#This Row],[טיפוס]],Tipus[],4,FALSE)</f>
        <v>J</v>
      </c>
      <c r="K455" s="3" t="str">
        <f>IF(Check[[#This Row],[סטטוס2]]="הולד","פנויה",Check[[#This Row],[סטטוס2]])</f>
        <v>מכורה</v>
      </c>
      <c r="L455" s="382" t="s">
        <v>130</v>
      </c>
      <c r="M455" s="382"/>
      <c r="N455" s="383"/>
      <c r="O455" s="383"/>
      <c r="P455" s="411"/>
      <c r="Q455" s="411"/>
      <c r="R455" s="383"/>
      <c r="S455" s="390">
        <v>44404</v>
      </c>
      <c r="T455" s="390" t="s">
        <v>662</v>
      </c>
      <c r="U455" s="387" t="s">
        <v>663</v>
      </c>
      <c r="V455" s="387" t="s">
        <v>664</v>
      </c>
      <c r="W455" s="387"/>
    </row>
    <row r="456" spans="1:23" x14ac:dyDescent="0.2">
      <c r="A456" s="13" t="str">
        <f>_xlfn.CONCAT(VLOOKUP(Check[[#This Row],[סטטוס]],Sold,2,FALSE),IF(Check[[#This Row],[סטטוס]]="פנויה",IF(N456="גמר מלא סטנדרט",".GMS",IF(N456="גמר מלא טיוב חומרים",".GMC",IF(N456="גמר מינימלי",".GM",IF(N456="דירת שיווק",".DS","")))),""),".",VLOOKUP(Check[[#This Row],[טיפוס]],Tipus[],5,FALSE),".",VLOOKUP(Check[[#This Row],[מגדל]],Tower,2,FALSE),".Ap.",Check[[#This Row],[מספר דירה]])</f>
        <v>S.S.3E.TN.Ap.117</v>
      </c>
      <c r="B456" s="13" t="str">
        <f>_xlfn.CONCAT(VLOOKUP(Check[[#This Row],[סטטוס]],Sold,2,FALSE),IF(Check[[#This Row],[סטטוס]]="פנויה",IF(N456="גמר מלא סטנדרט",".GMS",IF(N456="גמר מלא טיוב חומרים",".GMC",IF(N456="גמר מינימלי",".GM",IF(N456="דירת שיווק",".DS","")))),""),IF(M456="זומן לטרום",".ZLT",IF(M456="טרום מסירה",".TM",IF(M456="טרום מסירה מהנדס",".TMM",IF(M456="מסירת חזקה",".MH",IF(M456="מסירת חזקה מהנדס",".MHM",""))))),".",VLOOKUP(Check[[#This Row],[טיפוס]],Tipus[],5,FALSE),".",VLOOKUP(Check[[#This Row],[מגדל]],Tower,2,FALSE),".Ap.",Check[[#This Row],[מספר דירה]])</f>
        <v>S.S.3E.TN.Ap.117</v>
      </c>
      <c r="C456" s="3" t="s">
        <v>56</v>
      </c>
      <c r="D456" s="3">
        <v>14</v>
      </c>
      <c r="E456" s="4">
        <v>117</v>
      </c>
      <c r="F456" s="3">
        <v>1405</v>
      </c>
      <c r="G456" s="5" t="s">
        <v>20</v>
      </c>
      <c r="H456" s="5">
        <f>VLOOKUP(Check[[#This Row],[טיפוס]],Tipus[],2,FALSE)</f>
        <v>3</v>
      </c>
      <c r="I456" s="5" t="str">
        <f>VLOOKUP(Check[[#This Row],[טיפוס]],Tipus[],3,FALSE)</f>
        <v>סטנדרט</v>
      </c>
      <c r="J456" s="5" t="str">
        <f>VLOOKUP(Check[[#This Row],[טיפוס]],Tipus[],4,FALSE)</f>
        <v>A</v>
      </c>
      <c r="K456" s="3" t="str">
        <f>IF(Check[[#This Row],[סטטוס2]]="הולד","פנויה",Check[[#This Row],[סטטוס2]])</f>
        <v>מכורה</v>
      </c>
      <c r="L456" s="382" t="s">
        <v>130</v>
      </c>
      <c r="M456" s="382"/>
      <c r="N456" s="383"/>
      <c r="O456" s="383"/>
      <c r="P456" s="411"/>
      <c r="Q456" s="411"/>
      <c r="R456" s="383"/>
      <c r="S456" s="390">
        <v>44217</v>
      </c>
      <c r="T456" s="390" t="s">
        <v>665</v>
      </c>
      <c r="U456" s="387" t="s">
        <v>666</v>
      </c>
      <c r="V456" s="387"/>
      <c r="W456" s="387"/>
    </row>
    <row r="457" spans="1:23" x14ac:dyDescent="0.2">
      <c r="A457" s="13" t="str">
        <f>_xlfn.CONCAT(VLOOKUP(Check[[#This Row],[סטטוס]],Sold,2,FALSE),IF(Check[[#This Row],[סטטוס]]="פנויה",IF(N457="גמר מלא סטנדרט",".GMS",IF(N457="גמר מלא טיוב חומרים",".GMC",IF(N457="גמר מינימלי",".GM",IF(N457="דירת שיווק",".DS","")))),""),".",VLOOKUP(Check[[#This Row],[טיפוס]],Tipus[],5,FALSE),".",VLOOKUP(Check[[#This Row],[מגדל]],Tower,2,FALSE),".Ap.",Check[[#This Row],[מספר דירה]])</f>
        <v>S.S.3D.TN.Ap.118</v>
      </c>
      <c r="B457" s="13" t="str">
        <f>_xlfn.CONCAT(VLOOKUP(Check[[#This Row],[סטטוס]],Sold,2,FALSE),IF(Check[[#This Row],[סטטוס]]="פנויה",IF(N457="גמר מלא סטנדרט",".GMS",IF(N457="גמר מלא טיוב חומרים",".GMC",IF(N457="גמר מינימלי",".GM",IF(N457="דירת שיווק",".DS","")))),""),IF(M457="זומן לטרום",".ZLT",IF(M457="טרום מסירה",".TM",IF(M457="טרום מסירה מהנדס",".TMM",IF(M457="מסירת חזקה",".MH",IF(M457="מסירת חזקה מהנדס",".MHM",""))))),".",VLOOKUP(Check[[#This Row],[טיפוס]],Tipus[],5,FALSE),".",VLOOKUP(Check[[#This Row],[מגדל]],Tower,2,FALSE),".Ap.",Check[[#This Row],[מספר דירה]])</f>
        <v>S.S.3D.TN.Ap.118</v>
      </c>
      <c r="C457" s="3" t="s">
        <v>56</v>
      </c>
      <c r="D457" s="3">
        <v>14</v>
      </c>
      <c r="E457" s="4">
        <v>118</v>
      </c>
      <c r="F457" s="3">
        <v>1406</v>
      </c>
      <c r="G457" s="5" t="s">
        <v>21</v>
      </c>
      <c r="H457" s="5">
        <f>VLOOKUP(Check[[#This Row],[טיפוס]],Tipus[],2,FALSE)</f>
        <v>3</v>
      </c>
      <c r="I457" s="5" t="str">
        <f>VLOOKUP(Check[[#This Row],[טיפוס]],Tipus[],3,FALSE)</f>
        <v>סטנדרט</v>
      </c>
      <c r="J457" s="5" t="str">
        <f>VLOOKUP(Check[[#This Row],[טיפוס]],Tipus[],4,FALSE)</f>
        <v>C</v>
      </c>
      <c r="K457" s="3" t="str">
        <f>IF(Check[[#This Row],[סטטוס2]]="הולד","פנויה",Check[[#This Row],[סטטוס2]])</f>
        <v>מכורה</v>
      </c>
      <c r="L457" s="382" t="s">
        <v>130</v>
      </c>
      <c r="M457" s="382"/>
      <c r="N457" s="383"/>
      <c r="O457" s="383"/>
      <c r="P457" s="411"/>
      <c r="Q457" s="411"/>
      <c r="R457" s="383"/>
      <c r="S457" s="390">
        <v>44472</v>
      </c>
      <c r="T457" s="390" t="s">
        <v>667</v>
      </c>
      <c r="U457" s="387" t="s">
        <v>668</v>
      </c>
      <c r="V457" s="387"/>
      <c r="W457" s="387"/>
    </row>
    <row r="458" spans="1:23" x14ac:dyDescent="0.2">
      <c r="A458" s="13" t="str">
        <f>_xlfn.CONCAT(VLOOKUP(Check[[#This Row],[סטטוס]],Sold,2,FALSE),IF(Check[[#This Row],[סטטוס]]="פנויה",IF(N458="גמר מלא סטנדרט",".GMS",IF(N458="גמר מלא טיוב חומרים",".GMC",IF(N458="גמר מינימלי",".GM",IF(N458="דירת שיווק",".DS","")))),""),".",VLOOKUP(Check[[#This Row],[טיפוס]],Tipus[],5,FALSE),".",VLOOKUP(Check[[#This Row],[מגדל]],Tower,2,FALSE),".Ap.",Check[[#This Row],[מספר דירה]])</f>
        <v>S.S.3A.TN.Ap.119</v>
      </c>
      <c r="B458" s="13" t="str">
        <f>_xlfn.CONCAT(VLOOKUP(Check[[#This Row],[סטטוס]],Sold,2,FALSE),IF(Check[[#This Row],[סטטוס]]="פנויה",IF(N458="גמר מלא סטנדרט",".GMS",IF(N458="גמר מלא טיוב חומרים",".GMC",IF(N458="גמר מינימלי",".GM",IF(N458="דירת שיווק",".DS","")))),""),IF(M458="זומן לטרום",".ZLT",IF(M458="טרום מסירה",".TM",IF(M458="טרום מסירה מהנדס",".TMM",IF(M458="מסירת חזקה",".MH",IF(M458="מסירת חזקה מהנדס",".MHM",""))))),".",VLOOKUP(Check[[#This Row],[טיפוס]],Tipus[],5,FALSE),".",VLOOKUP(Check[[#This Row],[מגדל]],Tower,2,FALSE),".Ap.",Check[[#This Row],[מספר דירה]])</f>
        <v>S.S.3A.TN.Ap.119</v>
      </c>
      <c r="C458" s="3" t="s">
        <v>56</v>
      </c>
      <c r="D458" s="3">
        <v>15</v>
      </c>
      <c r="E458" s="4">
        <v>119</v>
      </c>
      <c r="F458" s="3">
        <v>1507</v>
      </c>
      <c r="G458" s="3" t="s">
        <v>9</v>
      </c>
      <c r="H458" s="5">
        <f>VLOOKUP(Check[[#This Row],[טיפוס]],Tipus[],2,FALSE)</f>
        <v>3</v>
      </c>
      <c r="I458" s="5" t="str">
        <f>VLOOKUP(Check[[#This Row],[טיפוס]],Tipus[],3,FALSE)</f>
        <v>סטנדרט</v>
      </c>
      <c r="J458" s="5" t="str">
        <f>VLOOKUP(Check[[#This Row],[טיפוס]],Tipus[],4,FALSE)</f>
        <v>D</v>
      </c>
      <c r="K458" s="3" t="str">
        <f>IF(Check[[#This Row],[סטטוס2]]="הולד","פנויה",Check[[#This Row],[סטטוס2]])</f>
        <v>מכורה</v>
      </c>
      <c r="L458" s="382" t="s">
        <v>130</v>
      </c>
      <c r="M458" s="382"/>
      <c r="N458" s="383"/>
      <c r="O458" s="383"/>
      <c r="P458" s="411"/>
      <c r="Q458" s="411"/>
      <c r="R458" s="383"/>
      <c r="S458" s="390">
        <v>44451</v>
      </c>
      <c r="T458" s="390" t="s">
        <v>669</v>
      </c>
      <c r="U458" s="387" t="s">
        <v>670</v>
      </c>
      <c r="V458" s="387"/>
      <c r="W458" s="387"/>
    </row>
    <row r="459" spans="1:23" x14ac:dyDescent="0.2">
      <c r="A459" s="13" t="str">
        <f>_xlfn.CONCAT(VLOOKUP(Check[[#This Row],[סטטוס]],Sold,2,FALSE),IF(Check[[#This Row],[סטטוס]]="פנויה",IF(N459="גמר מלא סטנדרט",".GMS",IF(N459="גמר מלא טיוב חומרים",".GMC",IF(N459="גמר מינימלי",".GM",IF(N459="דירת שיווק",".DS","")))),""),".",VLOOKUP(Check[[#This Row],[טיפוס]],Tipus[],5,FALSE),".",VLOOKUP(Check[[#This Row],[מגדל]],Tower,2,FALSE),".Ap.",Check[[#This Row],[מספר דירה]])</f>
        <v>S.S.3C.TN.Ap.120</v>
      </c>
      <c r="B459" s="13" t="str">
        <f>_xlfn.CONCAT(VLOOKUP(Check[[#This Row],[סטטוס]],Sold,2,FALSE),IF(Check[[#This Row],[סטטוס]]="פנויה",IF(N459="גמר מלא סטנדרט",".GMS",IF(N459="גמר מלא טיוב חומרים",".GMC",IF(N459="גמר מינימלי",".GM",IF(N459="דירת שיווק",".DS","")))),""),IF(M459="זומן לטרום",".ZLT",IF(M459="טרום מסירה",".TM",IF(M459="טרום מסירה מהנדס",".TMM",IF(M459="מסירת חזקה",".MH",IF(M459="מסירת חזקה מהנדס",".MHM",""))))),".",VLOOKUP(Check[[#This Row],[טיפוס]],Tipus[],5,FALSE),".",VLOOKUP(Check[[#This Row],[מגדל]],Tower,2,FALSE),".Ap.",Check[[#This Row],[מספר דירה]])</f>
        <v>S.S.3C.TN.Ap.120</v>
      </c>
      <c r="C459" s="3" t="s">
        <v>56</v>
      </c>
      <c r="D459" s="3">
        <v>15</v>
      </c>
      <c r="E459" s="4">
        <v>120</v>
      </c>
      <c r="F459" s="3">
        <v>1508</v>
      </c>
      <c r="G459" s="3" t="s">
        <v>18</v>
      </c>
      <c r="H459" s="5">
        <f>VLOOKUP(Check[[#This Row],[טיפוס]],Tipus[],2,FALSE)</f>
        <v>3</v>
      </c>
      <c r="I459" s="5" t="str">
        <f>VLOOKUP(Check[[#This Row],[טיפוס]],Tipus[],3,FALSE)</f>
        <v>סטנדרט</v>
      </c>
      <c r="J459" s="5" t="str">
        <f>VLOOKUP(Check[[#This Row],[טיפוס]],Tipus[],4,FALSE)</f>
        <v>E</v>
      </c>
      <c r="K459" s="3" t="str">
        <f>IF(Check[[#This Row],[סטטוס2]]="הולד","פנויה",Check[[#This Row],[סטטוס2]])</f>
        <v>מכורה</v>
      </c>
      <c r="L459" s="382" t="s">
        <v>130</v>
      </c>
      <c r="M459" s="382"/>
      <c r="N459" s="383"/>
      <c r="O459" s="383"/>
      <c r="P459" s="411"/>
      <c r="Q459" s="411"/>
      <c r="R459" s="383"/>
      <c r="S459" s="390">
        <v>44426</v>
      </c>
      <c r="T459" s="390" t="s">
        <v>671</v>
      </c>
      <c r="U459" s="387" t="s">
        <v>672</v>
      </c>
      <c r="V459" s="387"/>
      <c r="W459" s="387"/>
    </row>
    <row r="460" spans="1:23" x14ac:dyDescent="0.2">
      <c r="A460" s="13" t="str">
        <f>_xlfn.CONCAT(VLOOKUP(Check[[#This Row],[סטטוס]],Sold,2,FALSE),IF(Check[[#This Row],[סטטוס]]="פנויה",IF(N460="גמר מלא סטנדרט",".GMS",IF(N460="גמר מלא טיוב חומרים",".GMC",IF(N460="גמר מינימלי",".GM",IF(N460="דירת שיווק",".DS","")))),""),".",VLOOKUP(Check[[#This Row],[טיפוס]],Tipus[],5,FALSE),".",VLOOKUP(Check[[#This Row],[מגדל]],Tower,2,FALSE),".Ap.",Check[[#This Row],[מספר דירה]])</f>
        <v>S.S.3B.TN.Ap.121</v>
      </c>
      <c r="B460" s="13" t="str">
        <f>_xlfn.CONCAT(VLOOKUP(Check[[#This Row],[סטטוס]],Sold,2,FALSE),IF(Check[[#This Row],[סטטוס]]="פנויה",IF(N460="גמר מלא סטנדרט",".GMS",IF(N460="גמר מלא טיוב חומרים",".GMC",IF(N460="גמר מינימלי",".GM",IF(N460="דירת שיווק",".DS","")))),""),IF(M460="זומן לטרום",".ZLT",IF(M460="טרום מסירה",".TM",IF(M460="טרום מסירה מהנדס",".TMM",IF(M460="מסירת חזקה",".MH",IF(M460="מסירת חזקה מהנדס",".MHM",""))))),".",VLOOKUP(Check[[#This Row],[טיפוס]],Tipus[],5,FALSE),".",VLOOKUP(Check[[#This Row],[מגדל]],Tower,2,FALSE),".Ap.",Check[[#This Row],[מספר דירה]])</f>
        <v>S.S.3B.TN.Ap.121</v>
      </c>
      <c r="C460" s="3" t="s">
        <v>56</v>
      </c>
      <c r="D460" s="3">
        <v>15</v>
      </c>
      <c r="E460" s="4">
        <v>121</v>
      </c>
      <c r="F460" s="3">
        <v>1501</v>
      </c>
      <c r="G460" s="5" t="s">
        <v>19</v>
      </c>
      <c r="H460" s="5">
        <f>VLOOKUP(Check[[#This Row],[טיפוס]],Tipus[],2,FALSE)</f>
        <v>3</v>
      </c>
      <c r="I460" s="5" t="str">
        <f>VLOOKUP(Check[[#This Row],[טיפוס]],Tipus[],3,FALSE)</f>
        <v>סטנדרט</v>
      </c>
      <c r="J460" s="5" t="str">
        <f>VLOOKUP(Check[[#This Row],[טיפוס]],Tipus[],4,FALSE)</f>
        <v>G</v>
      </c>
      <c r="K460" s="3" t="str">
        <f>IF(Check[[#This Row],[סטטוס2]]="הולד","פנויה",Check[[#This Row],[סטטוס2]])</f>
        <v>מכורה</v>
      </c>
      <c r="L460" s="382" t="s">
        <v>130</v>
      </c>
      <c r="M460" s="382"/>
      <c r="N460" s="383"/>
      <c r="O460" s="383"/>
      <c r="P460" s="411"/>
      <c r="Q460" s="411"/>
      <c r="R460" s="383"/>
      <c r="S460" s="390">
        <v>44424</v>
      </c>
      <c r="T460" s="390" t="s">
        <v>618</v>
      </c>
      <c r="U460" s="387" t="s">
        <v>673</v>
      </c>
      <c r="V460" s="387"/>
      <c r="W460" s="387"/>
    </row>
    <row r="461" spans="1:23" x14ac:dyDescent="0.2">
      <c r="A461" s="13" t="str">
        <f>_xlfn.CONCAT(VLOOKUP(Check[[#This Row],[סטטוס]],Sold,2,FALSE),IF(Check[[#This Row],[סטטוס]]="פנויה",IF(N461="גמר מלא סטנדרט",".GMS",IF(N461="גמר מלא טיוב חומרים",".GMC",IF(N461="גמר מינימלי",".GM",IF(N461="דירת שיווק",".DS","")))),""),".",VLOOKUP(Check[[#This Row],[טיפוס]],Tipus[],5,FALSE),".",VLOOKUP(Check[[#This Row],[מגדל]],Tower,2,FALSE),".Ap.",Check[[#This Row],[מספר דירה]])</f>
        <v>S.S.4B.TN.Ap.122</v>
      </c>
      <c r="B461" s="13" t="str">
        <f>_xlfn.CONCAT(VLOOKUP(Check[[#This Row],[סטטוס]],Sold,2,FALSE),IF(Check[[#This Row],[סטטוס]]="פנויה",IF(N461="גמר מלא סטנדרט",".GMS",IF(N461="גמר מלא טיוב חומרים",".GMC",IF(N461="גמר מינימלי",".GM",IF(N461="דירת שיווק",".DS","")))),""),IF(M461="זומן לטרום",".ZLT",IF(M461="טרום מסירה",".TM",IF(M461="טרום מסירה מהנדס",".TMM",IF(M461="מסירת חזקה",".MH",IF(M461="מסירת חזקה מהנדס",".MHM",""))))),".",VLOOKUP(Check[[#This Row],[טיפוס]],Tipus[],5,FALSE),".",VLOOKUP(Check[[#This Row],[מגדל]],Tower,2,FALSE),".Ap.",Check[[#This Row],[מספר דירה]])</f>
        <v>S.S.4B.TN.Ap.122</v>
      </c>
      <c r="C461" s="3" t="s">
        <v>56</v>
      </c>
      <c r="D461" s="3">
        <v>15</v>
      </c>
      <c r="E461" s="4">
        <v>122</v>
      </c>
      <c r="F461" s="3">
        <v>1502</v>
      </c>
      <c r="G461" s="5" t="s">
        <v>16</v>
      </c>
      <c r="H461" s="5">
        <f>VLOOKUP(Check[[#This Row],[טיפוס]],Tipus[],2,FALSE)</f>
        <v>4</v>
      </c>
      <c r="I461" s="5" t="str">
        <f>VLOOKUP(Check[[#This Row],[טיפוס]],Tipus[],3,FALSE)</f>
        <v>סטנדרט</v>
      </c>
      <c r="J461" s="5" t="str">
        <f>VLOOKUP(Check[[#This Row],[טיפוס]],Tipus[],4,FALSE)</f>
        <v>H</v>
      </c>
      <c r="K461" s="3" t="str">
        <f>IF(Check[[#This Row],[סטטוס2]]="הולד","פנויה",Check[[#This Row],[סטטוס2]])</f>
        <v>מכורה</v>
      </c>
      <c r="L461" s="382" t="s">
        <v>130</v>
      </c>
      <c r="M461" s="382"/>
      <c r="N461" s="383"/>
      <c r="O461" s="383"/>
      <c r="P461" s="411"/>
      <c r="Q461" s="411"/>
      <c r="R461" s="383"/>
      <c r="S461" s="390">
        <v>44257</v>
      </c>
      <c r="T461" s="390" t="s">
        <v>1195</v>
      </c>
      <c r="U461" s="387" t="s">
        <v>674</v>
      </c>
      <c r="V461" s="387" t="s">
        <v>214</v>
      </c>
      <c r="W461" s="387" t="s">
        <v>675</v>
      </c>
    </row>
    <row r="462" spans="1:23" x14ac:dyDescent="0.2">
      <c r="A462" s="13" t="str">
        <f>_xlfn.CONCAT(VLOOKUP(Check[[#This Row],[סטטוס]],Sold,2,FALSE),IF(Check[[#This Row],[סטטוס]]="פנויה",IF(N462="גמר מלא סטנדרט",".GMS",IF(N462="גמר מלא טיוב חומרים",".GMC",IF(N462="גמר מינימלי",".GM",IF(N462="דירת שיווק",".DS","")))),""),".",VLOOKUP(Check[[#This Row],[טיפוס]],Tipus[],5,FALSE),".",VLOOKUP(Check[[#This Row],[מגדל]],Tower,2,FALSE),".Ap.",Check[[#This Row],[מספר דירה]])</f>
        <v>S.S.2G.TN.Ap.123</v>
      </c>
      <c r="B462" s="13" t="str">
        <f>_xlfn.CONCAT(VLOOKUP(Check[[#This Row],[סטטוס]],Sold,2,FALSE),IF(Check[[#This Row],[סטטוס]]="פנויה",IF(N462="גמר מלא סטנדרט",".GMS",IF(N462="גמר מלא טיוב חומרים",".GMC",IF(N462="גמר מינימלי",".GM",IF(N462="דירת שיווק",".DS","")))),""),IF(M462="זומן לטרום",".ZLT",IF(M462="טרום מסירה",".TM",IF(M462="טרום מסירה מהנדס",".TMM",IF(M462="מסירת חזקה",".MH",IF(M462="מסירת חזקה מהנדס",".MHM",""))))),".",VLOOKUP(Check[[#This Row],[טיפוס]],Tipus[],5,FALSE),".",VLOOKUP(Check[[#This Row],[מגדל]],Tower,2,FALSE),".Ap.",Check[[#This Row],[מספר דירה]])</f>
        <v>S.S.2G.TN.Ap.123</v>
      </c>
      <c r="C462" s="3" t="s">
        <v>56</v>
      </c>
      <c r="D462" s="3">
        <v>15</v>
      </c>
      <c r="E462" s="4">
        <v>123</v>
      </c>
      <c r="F462" s="3">
        <v>1503</v>
      </c>
      <c r="G462" s="5" t="s">
        <v>15</v>
      </c>
      <c r="H462" s="5">
        <f>VLOOKUP(Check[[#This Row],[טיפוס]],Tipus[],2,FALSE)</f>
        <v>2</v>
      </c>
      <c r="I462" s="5" t="str">
        <f>VLOOKUP(Check[[#This Row],[טיפוס]],Tipus[],3,FALSE)</f>
        <v>סטנדרט</v>
      </c>
      <c r="J462" s="5" t="str">
        <f>VLOOKUP(Check[[#This Row],[טיפוס]],Tipus[],4,FALSE)</f>
        <v>I</v>
      </c>
      <c r="K462" s="3" t="str">
        <f>IF(Check[[#This Row],[סטטוס2]]="הולד","פנויה",Check[[#This Row],[סטטוס2]])</f>
        <v>מכורה</v>
      </c>
      <c r="L462" s="382" t="s">
        <v>130</v>
      </c>
      <c r="M462" s="382"/>
      <c r="N462" s="383"/>
      <c r="O462" s="383"/>
      <c r="P462" s="411"/>
      <c r="Q462" s="411"/>
      <c r="R462" s="383"/>
      <c r="S462" s="390">
        <v>44439</v>
      </c>
      <c r="T462" s="390" t="s">
        <v>676</v>
      </c>
      <c r="U462" s="387" t="s">
        <v>677</v>
      </c>
      <c r="V462" s="387"/>
      <c r="W462" s="387"/>
    </row>
    <row r="463" spans="1:23" x14ac:dyDescent="0.2">
      <c r="A463" s="13" t="str">
        <f>_xlfn.CONCAT(VLOOKUP(Check[[#This Row],[סטטוס]],Sold,2,FALSE),IF(Check[[#This Row],[סטטוס]]="פנויה",IF(N463="גמר מלא סטנדרט",".GMS",IF(N463="גמר מלא טיוב חומרים",".GMC",IF(N463="גמר מינימלי",".GM",IF(N463="דירת שיווק",".DS","")))),""),".",VLOOKUP(Check[[#This Row],[טיפוס]],Tipus[],5,FALSE),".",VLOOKUP(Check[[#This Row],[מגדל]],Tower,2,FALSE),".Ap.",Check[[#This Row],[מספר דירה]])</f>
        <v>S.S.4A.TN.Ap.124</v>
      </c>
      <c r="B463" s="13" t="str">
        <f>_xlfn.CONCAT(VLOOKUP(Check[[#This Row],[סטטוס]],Sold,2,FALSE),IF(Check[[#This Row],[סטטוס]]="פנויה",IF(N463="גמר מלא סטנדרט",".GMS",IF(N463="גמר מלא טיוב חומרים",".GMC",IF(N463="גמר מינימלי",".GM",IF(N463="דירת שיווק",".DS","")))),""),IF(M463="זומן לטרום",".ZLT",IF(M463="טרום מסירה",".TM",IF(M463="טרום מסירה מהנדס",".TMM",IF(M463="מסירת חזקה",".MH",IF(M463="מסירת חזקה מהנדס",".MHM",""))))),".",VLOOKUP(Check[[#This Row],[טיפוס]],Tipus[],5,FALSE),".",VLOOKUP(Check[[#This Row],[מגדל]],Tower,2,FALSE),".Ap.",Check[[#This Row],[מספר דירה]])</f>
        <v>S.S.4A.TN.Ap.124</v>
      </c>
      <c r="C463" s="3" t="s">
        <v>56</v>
      </c>
      <c r="D463" s="3">
        <v>15</v>
      </c>
      <c r="E463" s="4">
        <v>124</v>
      </c>
      <c r="F463" s="3">
        <v>1504</v>
      </c>
      <c r="G463" s="3" t="s">
        <v>14</v>
      </c>
      <c r="H463" s="5">
        <f>VLOOKUP(Check[[#This Row],[טיפוס]],Tipus[],2,FALSE)</f>
        <v>4</v>
      </c>
      <c r="I463" s="5" t="str">
        <f>VLOOKUP(Check[[#This Row],[טיפוס]],Tipus[],3,FALSE)</f>
        <v>סטנדרט</v>
      </c>
      <c r="J463" s="5" t="str">
        <f>VLOOKUP(Check[[#This Row],[טיפוס]],Tipus[],4,FALSE)</f>
        <v>J</v>
      </c>
      <c r="K463" s="3" t="str">
        <f>IF(Check[[#This Row],[סטטוס2]]="הולד","פנויה",Check[[#This Row],[סטטוס2]])</f>
        <v>מכורה</v>
      </c>
      <c r="L463" s="382" t="s">
        <v>130</v>
      </c>
      <c r="M463" s="382"/>
      <c r="N463" s="383"/>
      <c r="O463" s="383"/>
      <c r="P463" s="411"/>
      <c r="Q463" s="411"/>
      <c r="R463" s="383"/>
      <c r="S463" s="390">
        <v>44445</v>
      </c>
      <c r="T463" s="390" t="s">
        <v>678</v>
      </c>
      <c r="U463" s="387" t="s">
        <v>679</v>
      </c>
      <c r="V463" s="387" t="s">
        <v>214</v>
      </c>
      <c r="W463" s="387" t="s">
        <v>680</v>
      </c>
    </row>
    <row r="464" spans="1:23" x14ac:dyDescent="0.2">
      <c r="A464" s="13" t="str">
        <f>_xlfn.CONCAT(VLOOKUP(Check[[#This Row],[סטטוס]],Sold,2,FALSE),IF(Check[[#This Row],[סטטוס]]="פנויה",IF(N464="גמר מלא סטנדרט",".GMS",IF(N464="גמר מלא טיוב חומרים",".GMC",IF(N464="גמר מינימלי",".GM",IF(N464="דירת שיווק",".DS","")))),""),".",VLOOKUP(Check[[#This Row],[טיפוס]],Tipus[],5,FALSE),".",VLOOKUP(Check[[#This Row],[מגדל]],Tower,2,FALSE),".Ap.",Check[[#This Row],[מספר דירה]])</f>
        <v>S.S.3E.TN.Ap.125</v>
      </c>
      <c r="B464" s="13" t="str">
        <f>_xlfn.CONCAT(VLOOKUP(Check[[#This Row],[סטטוס]],Sold,2,FALSE),IF(Check[[#This Row],[סטטוס]]="פנויה",IF(N464="גמר מלא סטנדרט",".GMS",IF(N464="גמר מלא טיוב חומרים",".GMC",IF(N464="גמר מינימלי",".GM",IF(N464="דירת שיווק",".DS","")))),""),IF(M464="זומן לטרום",".ZLT",IF(M464="טרום מסירה",".TM",IF(M464="טרום מסירה מהנדס",".TMM",IF(M464="מסירת חזקה",".MH",IF(M464="מסירת חזקה מהנדס",".MHM",""))))),".",VLOOKUP(Check[[#This Row],[טיפוס]],Tipus[],5,FALSE),".",VLOOKUP(Check[[#This Row],[מגדל]],Tower,2,FALSE),".Ap.",Check[[#This Row],[מספר דירה]])</f>
        <v>S.S.3E.TN.Ap.125</v>
      </c>
      <c r="C464" s="3" t="s">
        <v>56</v>
      </c>
      <c r="D464" s="3">
        <v>15</v>
      </c>
      <c r="E464" s="4">
        <v>125</v>
      </c>
      <c r="F464" s="3">
        <v>1505</v>
      </c>
      <c r="G464" s="5" t="s">
        <v>20</v>
      </c>
      <c r="H464" s="5">
        <f>VLOOKUP(Check[[#This Row],[טיפוס]],Tipus[],2,FALSE)</f>
        <v>3</v>
      </c>
      <c r="I464" s="5" t="str">
        <f>VLOOKUP(Check[[#This Row],[טיפוס]],Tipus[],3,FALSE)</f>
        <v>סטנדרט</v>
      </c>
      <c r="J464" s="5" t="str">
        <f>VLOOKUP(Check[[#This Row],[טיפוס]],Tipus[],4,FALSE)</f>
        <v>A</v>
      </c>
      <c r="K464" s="3" t="str">
        <f>IF(Check[[#This Row],[סטטוס2]]="הולד","פנויה",Check[[#This Row],[סטטוס2]])</f>
        <v>מכורה</v>
      </c>
      <c r="L464" s="382" t="s">
        <v>130</v>
      </c>
      <c r="M464" s="382"/>
      <c r="N464" s="383"/>
      <c r="O464" s="383"/>
      <c r="P464" s="411"/>
      <c r="Q464" s="411"/>
      <c r="R464" s="383"/>
      <c r="S464" s="390">
        <v>44335</v>
      </c>
      <c r="T464" s="390" t="s">
        <v>681</v>
      </c>
      <c r="U464" s="387" t="s">
        <v>682</v>
      </c>
      <c r="V464" s="387"/>
      <c r="W464" s="387"/>
    </row>
    <row r="465" spans="1:23" x14ac:dyDescent="0.2">
      <c r="A465" s="13" t="str">
        <f>_xlfn.CONCAT(VLOOKUP(Check[[#This Row],[סטטוס]],Sold,2,FALSE),IF(Check[[#This Row],[סטטוס]]="פנויה",IF(N465="גמר מלא סטנדרט",".GMS",IF(N465="גמר מלא טיוב חומרים",".GMC",IF(N465="גמר מינימלי",".GM",IF(N465="דירת שיווק",".DS","")))),""),".",VLOOKUP(Check[[#This Row],[טיפוס]],Tipus[],5,FALSE),".",VLOOKUP(Check[[#This Row],[מגדל]],Tower,2,FALSE),".Ap.",Check[[#This Row],[מספר דירה]])</f>
        <v>S.S.3D.TN.Ap.126</v>
      </c>
      <c r="B465" s="13" t="str">
        <f>_xlfn.CONCAT(VLOOKUP(Check[[#This Row],[סטטוס]],Sold,2,FALSE),IF(Check[[#This Row],[סטטוס]]="פנויה",IF(N465="גמר מלא סטנדרט",".GMS",IF(N465="גמר מלא טיוב חומרים",".GMC",IF(N465="גמר מינימלי",".GM",IF(N465="דירת שיווק",".DS","")))),""),IF(M465="זומן לטרום",".ZLT",IF(M465="טרום מסירה",".TM",IF(M465="טרום מסירה מהנדס",".TMM",IF(M465="מסירת חזקה",".MH",IF(M465="מסירת חזקה מהנדס",".MHM",""))))),".",VLOOKUP(Check[[#This Row],[טיפוס]],Tipus[],5,FALSE),".",VLOOKUP(Check[[#This Row],[מגדל]],Tower,2,FALSE),".Ap.",Check[[#This Row],[מספר דירה]])</f>
        <v>S.S.3D.TN.Ap.126</v>
      </c>
      <c r="C465" s="3" t="s">
        <v>56</v>
      </c>
      <c r="D465" s="3">
        <v>15</v>
      </c>
      <c r="E465" s="4">
        <v>126</v>
      </c>
      <c r="F465" s="3">
        <v>1506</v>
      </c>
      <c r="G465" s="6" t="s">
        <v>21</v>
      </c>
      <c r="H465" s="6">
        <f>VLOOKUP(Check[[#This Row],[טיפוס]],Tipus[],2,FALSE)</f>
        <v>3</v>
      </c>
      <c r="I465" s="6" t="str">
        <f>VLOOKUP(Check[[#This Row],[טיפוס]],Tipus[],3,FALSE)</f>
        <v>סטנדרט</v>
      </c>
      <c r="J465" s="6" t="str">
        <f>VLOOKUP(Check[[#This Row],[טיפוס]],Tipus[],4,FALSE)</f>
        <v>C</v>
      </c>
      <c r="K465" s="3" t="str">
        <f>IF(Check[[#This Row],[סטטוס2]]="הולד","פנויה",Check[[#This Row],[סטטוס2]])</f>
        <v>מכורה</v>
      </c>
      <c r="L465" s="382" t="s">
        <v>130</v>
      </c>
      <c r="M465" s="382"/>
      <c r="N465" s="383"/>
      <c r="O465" s="383"/>
      <c r="P465" s="411"/>
      <c r="Q465" s="411"/>
      <c r="R465" s="383"/>
      <c r="S465" s="390">
        <v>44472</v>
      </c>
      <c r="T465" s="390" t="s">
        <v>683</v>
      </c>
      <c r="U465" s="387" t="s">
        <v>684</v>
      </c>
      <c r="V465" s="387"/>
      <c r="W465" s="387"/>
    </row>
    <row r="466" spans="1:23" x14ac:dyDescent="0.2">
      <c r="A466" s="13" t="str">
        <f>_xlfn.CONCAT(VLOOKUP(Check[[#This Row],[סטטוס]],Sold,2,FALSE),IF(Check[[#This Row],[סטטוס]]="פנויה",IF(N466="גמר מלא סטנדרט",".GMS",IF(N466="גמר מלא טיוב חומרים",".GMC",IF(N466="גמר מינימלי",".GM",IF(N466="דירת שיווק",".DS","")))),""),".",VLOOKUP(Check[[#This Row],[טיפוס]],Tipus[],5,FALSE),".",VLOOKUP(Check[[#This Row],[מגדל]],Tower,2,FALSE),".Ap.",Check[[#This Row],[מספר דירה]])</f>
        <v>V.GMS.S.3A.TN.Ap.127</v>
      </c>
      <c r="B466" s="13" t="str">
        <f>_xlfn.CONCAT(VLOOKUP(Check[[#This Row],[סטטוס]],Sold,2,FALSE),IF(Check[[#This Row],[סטטוס]]="פנויה",IF(N466="גמר מלא סטנדרט",".GMS",IF(N466="גמר מלא טיוב חומרים",".GMC",IF(N466="גמר מינימלי",".GM",IF(N466="דירת שיווק",".DS","")))),""),IF(M466="זומן לטרום",".ZLT",IF(M466="טרום מסירה",".TM",IF(M466="טרום מסירה מהנדס",".TMM",IF(M466="מסירת חזקה",".MH",IF(M466="מסירת חזקה מהנדס",".MHM",""))))),".",VLOOKUP(Check[[#This Row],[טיפוס]],Tipus[],5,FALSE),".",VLOOKUP(Check[[#This Row],[מגדל]],Tower,2,FALSE),".Ap.",Check[[#This Row],[מספר דירה]])</f>
        <v>V.GMS.S.3A.TN.Ap.127</v>
      </c>
      <c r="C466" s="3" t="s">
        <v>56</v>
      </c>
      <c r="D466" s="3">
        <v>16</v>
      </c>
      <c r="E466" s="4">
        <v>127</v>
      </c>
      <c r="F466" s="3">
        <v>1607</v>
      </c>
      <c r="G466" s="3" t="s">
        <v>9</v>
      </c>
      <c r="H466" s="5">
        <f>VLOOKUP(Check[[#This Row],[טיפוס]],Tipus[],2,FALSE)</f>
        <v>3</v>
      </c>
      <c r="I466" s="5" t="str">
        <f>VLOOKUP(Check[[#This Row],[טיפוס]],Tipus[],3,FALSE)</f>
        <v>סטנדרט</v>
      </c>
      <c r="J466" s="5" t="str">
        <f>VLOOKUP(Check[[#This Row],[טיפוס]],Tipus[],4,FALSE)</f>
        <v>D</v>
      </c>
      <c r="K466" s="3" t="str">
        <f>IF(Check[[#This Row],[סטטוס2]]="הולד","פנויה",Check[[#This Row],[סטטוס2]])</f>
        <v>פנויה</v>
      </c>
      <c r="L466" s="382" t="s">
        <v>108</v>
      </c>
      <c r="M466" s="382"/>
      <c r="N466" t="s">
        <v>1367</v>
      </c>
      <c r="O466" s="383" t="s">
        <v>1390</v>
      </c>
      <c r="P466" s="410" t="s">
        <v>1389</v>
      </c>
      <c r="Q466" s="410"/>
      <c r="R466" s="383"/>
      <c r="S466" s="390"/>
      <c r="T466" s="390" t="s">
        <v>214</v>
      </c>
      <c r="U466" s="387"/>
      <c r="V466" s="387"/>
      <c r="W466" s="387"/>
    </row>
    <row r="467" spans="1:23" x14ac:dyDescent="0.2">
      <c r="A467" s="13" t="str">
        <f>_xlfn.CONCAT(VLOOKUP(Check[[#This Row],[סטטוס]],Sold,2,FALSE),IF(Check[[#This Row],[סטטוס]]="פנויה",IF(N467="גמר מלא סטנדרט",".GMS",IF(N467="גמר מלא טיוב חומרים",".GMC",IF(N467="גמר מינימלי",".GM",IF(N467="דירת שיווק",".DS","")))),""),".",VLOOKUP(Check[[#This Row],[טיפוס]],Tipus[],5,FALSE),".",VLOOKUP(Check[[#This Row],[מגדל]],Tower,2,FALSE),".Ap.",Check[[#This Row],[מספר דירה]])</f>
        <v>S.S.3C.TN.Ap.128</v>
      </c>
      <c r="B467" s="13" t="str">
        <f>_xlfn.CONCAT(VLOOKUP(Check[[#This Row],[סטטוס]],Sold,2,FALSE),IF(Check[[#This Row],[סטטוס]]="פנויה",IF(N467="גמר מלא סטנדרט",".GMS",IF(N467="גמר מלא טיוב חומרים",".GMC",IF(N467="גמר מינימלי",".GM",IF(N467="דירת שיווק",".DS","")))),""),IF(M467="זומן לטרום",".ZLT",IF(M467="טרום מסירה",".TM",IF(M467="טרום מסירה מהנדס",".TMM",IF(M467="מסירת חזקה",".MH",IF(M467="מסירת חזקה מהנדס",".MHM",""))))),".",VLOOKUP(Check[[#This Row],[טיפוס]],Tipus[],5,FALSE),".",VLOOKUP(Check[[#This Row],[מגדל]],Tower,2,FALSE),".Ap.",Check[[#This Row],[מספר דירה]])</f>
        <v>S.S.3C.TN.Ap.128</v>
      </c>
      <c r="C467" s="3" t="s">
        <v>56</v>
      </c>
      <c r="D467" s="3">
        <v>16</v>
      </c>
      <c r="E467" s="4">
        <v>128</v>
      </c>
      <c r="F467" s="3">
        <v>1608</v>
      </c>
      <c r="G467" s="3" t="s">
        <v>18</v>
      </c>
      <c r="H467" s="5">
        <f>VLOOKUP(Check[[#This Row],[טיפוס]],Tipus[],2,FALSE)</f>
        <v>3</v>
      </c>
      <c r="I467" s="5" t="str">
        <f>VLOOKUP(Check[[#This Row],[טיפוס]],Tipus[],3,FALSE)</f>
        <v>סטנדרט</v>
      </c>
      <c r="J467" s="5" t="str">
        <f>VLOOKUP(Check[[#This Row],[טיפוס]],Tipus[],4,FALSE)</f>
        <v>E</v>
      </c>
      <c r="K467" s="3" t="str">
        <f>IF(Check[[#This Row],[סטטוס2]]="הולד","פנויה",Check[[#This Row],[סטטוס2]])</f>
        <v>מכורה</v>
      </c>
      <c r="L467" s="382" t="s">
        <v>130</v>
      </c>
      <c r="M467" s="382"/>
      <c r="N467" s="383"/>
      <c r="O467" s="383"/>
      <c r="P467" s="411"/>
      <c r="Q467" s="411"/>
      <c r="R467" s="383"/>
      <c r="S467" s="390">
        <v>44417</v>
      </c>
      <c r="T467" s="390" t="s">
        <v>685</v>
      </c>
      <c r="U467" s="387" t="s">
        <v>686</v>
      </c>
      <c r="V467" s="387"/>
      <c r="W467" s="387"/>
    </row>
    <row r="468" spans="1:23" x14ac:dyDescent="0.2">
      <c r="A468" s="13" t="str">
        <f>_xlfn.CONCAT(VLOOKUP(Check[[#This Row],[סטטוס]],Sold,2,FALSE),IF(Check[[#This Row],[סטטוס]]="פנויה",IF(N468="גמר מלא סטנדרט",".GMS",IF(N468="גמר מלא טיוב חומרים",".GMC",IF(N468="גמר מינימלי",".GM",IF(N468="דירת שיווק",".DS","")))),""),".",VLOOKUP(Check[[#This Row],[טיפוס]],Tipus[],5,FALSE),".",VLOOKUP(Check[[#This Row],[מגדל]],Tower,2,FALSE),".Ap.",Check[[#This Row],[מספר דירה]])</f>
        <v>S.S.3B.TN.Ap.129</v>
      </c>
      <c r="B468" s="13" t="str">
        <f>_xlfn.CONCAT(VLOOKUP(Check[[#This Row],[סטטוס]],Sold,2,FALSE),IF(Check[[#This Row],[סטטוס]]="פנויה",IF(N468="גמר מלא סטנדרט",".GMS",IF(N468="גמר מלא טיוב חומרים",".GMC",IF(N468="גמר מינימלי",".GM",IF(N468="דירת שיווק",".DS","")))),""),IF(M468="זומן לטרום",".ZLT",IF(M468="טרום מסירה",".TM",IF(M468="טרום מסירה מהנדס",".TMM",IF(M468="מסירת חזקה",".MH",IF(M468="מסירת חזקה מהנדס",".MHM",""))))),".",VLOOKUP(Check[[#This Row],[טיפוס]],Tipus[],5,FALSE),".",VLOOKUP(Check[[#This Row],[מגדל]],Tower,2,FALSE),".Ap.",Check[[#This Row],[מספר דירה]])</f>
        <v>S.S.3B.TN.Ap.129</v>
      </c>
      <c r="C468" s="3" t="s">
        <v>56</v>
      </c>
      <c r="D468" s="3">
        <v>16</v>
      </c>
      <c r="E468" s="4">
        <v>129</v>
      </c>
      <c r="F468" s="3">
        <v>1601</v>
      </c>
      <c r="G468" s="5" t="s">
        <v>19</v>
      </c>
      <c r="H468" s="5">
        <f>VLOOKUP(Check[[#This Row],[טיפוס]],Tipus[],2,FALSE)</f>
        <v>3</v>
      </c>
      <c r="I468" s="5" t="str">
        <f>VLOOKUP(Check[[#This Row],[טיפוס]],Tipus[],3,FALSE)</f>
        <v>סטנדרט</v>
      </c>
      <c r="J468" s="5" t="str">
        <f>VLOOKUP(Check[[#This Row],[טיפוס]],Tipus[],4,FALSE)</f>
        <v>G</v>
      </c>
      <c r="K468" s="3" t="str">
        <f>IF(Check[[#This Row],[סטטוס2]]="הולד","פנויה",Check[[#This Row],[סטטוס2]])</f>
        <v>מכורה</v>
      </c>
      <c r="L468" s="382" t="s">
        <v>130</v>
      </c>
      <c r="M468" s="382"/>
      <c r="N468" s="383"/>
      <c r="O468" s="383"/>
      <c r="P468" s="411"/>
      <c r="Q468" s="411"/>
      <c r="R468" s="383"/>
      <c r="S468" s="390">
        <v>44663</v>
      </c>
      <c r="T468" s="390" t="s">
        <v>687</v>
      </c>
      <c r="U468" s="387" t="s">
        <v>688</v>
      </c>
      <c r="V468" s="387"/>
      <c r="W468" s="387"/>
    </row>
    <row r="469" spans="1:23" x14ac:dyDescent="0.2">
      <c r="A469" s="13" t="str">
        <f>_xlfn.CONCAT(VLOOKUP(Check[[#This Row],[סטטוס]],Sold,2,FALSE),IF(Check[[#This Row],[סטטוס]]="פנויה",IF(N469="גמר מלא סטנדרט",".GMS",IF(N469="גמר מלא טיוב חומרים",".GMC",IF(N469="גמר מינימלי",".GM",IF(N469="דירת שיווק",".DS","")))),""),".",VLOOKUP(Check[[#This Row],[טיפוס]],Tipus[],5,FALSE),".",VLOOKUP(Check[[#This Row],[מגדל]],Tower,2,FALSE),".Ap.",Check[[#This Row],[מספר דירה]])</f>
        <v>S.S.4B.TN.Ap.130</v>
      </c>
      <c r="B469" s="13" t="str">
        <f>_xlfn.CONCAT(VLOOKUP(Check[[#This Row],[סטטוס]],Sold,2,FALSE),IF(Check[[#This Row],[סטטוס]]="פנויה",IF(N469="גמר מלא סטנדרט",".GMS",IF(N469="גמר מלא טיוב חומרים",".GMC",IF(N469="גמר מינימלי",".GM",IF(N469="דירת שיווק",".DS","")))),""),IF(M469="זומן לטרום",".ZLT",IF(M469="טרום מסירה",".TM",IF(M469="טרום מסירה מהנדס",".TMM",IF(M469="מסירת חזקה",".MH",IF(M469="מסירת חזקה מהנדס",".MHM",""))))),".",VLOOKUP(Check[[#This Row],[טיפוס]],Tipus[],5,FALSE),".",VLOOKUP(Check[[#This Row],[מגדל]],Tower,2,FALSE),".Ap.",Check[[#This Row],[מספר דירה]])</f>
        <v>S.S.4B.TN.Ap.130</v>
      </c>
      <c r="C469" s="3" t="s">
        <v>56</v>
      </c>
      <c r="D469" s="3">
        <v>16</v>
      </c>
      <c r="E469" s="4">
        <v>130</v>
      </c>
      <c r="F469" s="3">
        <v>1602</v>
      </c>
      <c r="G469" s="5" t="s">
        <v>16</v>
      </c>
      <c r="H469" s="5">
        <f>VLOOKUP(Check[[#This Row],[טיפוס]],Tipus[],2,FALSE)</f>
        <v>4</v>
      </c>
      <c r="I469" s="5" t="str">
        <f>VLOOKUP(Check[[#This Row],[טיפוס]],Tipus[],3,FALSE)</f>
        <v>סטנדרט</v>
      </c>
      <c r="J469" s="5" t="str">
        <f>VLOOKUP(Check[[#This Row],[טיפוס]],Tipus[],4,FALSE)</f>
        <v>H</v>
      </c>
      <c r="K469" s="3" t="str">
        <f>IF(Check[[#This Row],[סטטוס2]]="הולד","פנויה",Check[[#This Row],[סטטוס2]])</f>
        <v>מכורה</v>
      </c>
      <c r="L469" s="382" t="s">
        <v>130</v>
      </c>
      <c r="M469" s="382"/>
      <c r="N469" s="383"/>
      <c r="O469" s="383"/>
      <c r="P469" s="411"/>
      <c r="Q469" s="411"/>
      <c r="R469" s="383"/>
      <c r="S469" s="390">
        <v>44257</v>
      </c>
      <c r="T469" s="390" t="s">
        <v>689</v>
      </c>
      <c r="U469" s="387" t="s">
        <v>690</v>
      </c>
      <c r="V469" s="387"/>
      <c r="W469" s="387"/>
    </row>
    <row r="470" spans="1:23" x14ac:dyDescent="0.2">
      <c r="A470" s="13" t="str">
        <f>_xlfn.CONCAT(VLOOKUP(Check[[#This Row],[סטטוס]],Sold,2,FALSE),IF(Check[[#This Row],[סטטוס]]="פנויה",IF(N470="גמר מלא סטנדרט",".GMS",IF(N470="גמר מלא טיוב חומרים",".GMC",IF(N470="גמר מינימלי",".GM",IF(N470="דירת שיווק",".DS","")))),""),".",VLOOKUP(Check[[#This Row],[טיפוס]],Tipus[],5,FALSE),".",VLOOKUP(Check[[#This Row],[מגדל]],Tower,2,FALSE),".Ap.",Check[[#This Row],[מספר דירה]])</f>
        <v>S.S.2G.TN.Ap.131</v>
      </c>
      <c r="B470" s="13" t="str">
        <f>_xlfn.CONCAT(VLOOKUP(Check[[#This Row],[סטטוס]],Sold,2,FALSE),IF(Check[[#This Row],[סטטוס]]="פנויה",IF(N470="גמר מלא סטנדרט",".GMS",IF(N470="גמר מלא טיוב חומרים",".GMC",IF(N470="גמר מינימלי",".GM",IF(N470="דירת שיווק",".DS","")))),""),IF(M470="זומן לטרום",".ZLT",IF(M470="טרום מסירה",".TM",IF(M470="טרום מסירה מהנדס",".TMM",IF(M470="מסירת חזקה",".MH",IF(M470="מסירת חזקה מהנדס",".MHM",""))))),".",VLOOKUP(Check[[#This Row],[טיפוס]],Tipus[],5,FALSE),".",VLOOKUP(Check[[#This Row],[מגדל]],Tower,2,FALSE),".Ap.",Check[[#This Row],[מספר דירה]])</f>
        <v>S.S.2G.TN.Ap.131</v>
      </c>
      <c r="C470" s="3" t="s">
        <v>56</v>
      </c>
      <c r="D470" s="3">
        <v>16</v>
      </c>
      <c r="E470" s="4">
        <v>131</v>
      </c>
      <c r="F470" s="3">
        <v>1603</v>
      </c>
      <c r="G470" s="5" t="s">
        <v>15</v>
      </c>
      <c r="H470" s="5">
        <f>VLOOKUP(Check[[#This Row],[טיפוס]],Tipus[],2,FALSE)</f>
        <v>2</v>
      </c>
      <c r="I470" s="5" t="str">
        <f>VLOOKUP(Check[[#This Row],[טיפוס]],Tipus[],3,FALSE)</f>
        <v>סטנדרט</v>
      </c>
      <c r="J470" s="5" t="str">
        <f>VLOOKUP(Check[[#This Row],[טיפוס]],Tipus[],4,FALSE)</f>
        <v>I</v>
      </c>
      <c r="K470" s="3" t="str">
        <f>IF(Check[[#This Row],[סטטוס2]]="הולד","פנויה",Check[[#This Row],[סטטוס2]])</f>
        <v>מכורה</v>
      </c>
      <c r="L470" s="382" t="s">
        <v>130</v>
      </c>
      <c r="M470" s="382"/>
      <c r="N470" s="383"/>
      <c r="O470" s="383"/>
      <c r="P470" s="411"/>
      <c r="Q470" s="411"/>
      <c r="R470" s="383"/>
      <c r="S470" s="390">
        <v>44321</v>
      </c>
      <c r="T470" s="390" t="s">
        <v>691</v>
      </c>
      <c r="U470" s="387" t="s">
        <v>692</v>
      </c>
      <c r="V470" s="387"/>
      <c r="W470" s="387"/>
    </row>
    <row r="471" spans="1:23" x14ac:dyDescent="0.2">
      <c r="A471" s="13" t="str">
        <f>_xlfn.CONCAT(VLOOKUP(Check[[#This Row],[סטטוס]],Sold,2,FALSE),IF(Check[[#This Row],[סטטוס]]="פנויה",IF(N471="גמר מלא סטנדרט",".GMS",IF(N471="גמר מלא טיוב חומרים",".GMC",IF(N471="גמר מינימלי",".GM",IF(N471="דירת שיווק",".DS","")))),""),".",VLOOKUP(Check[[#This Row],[טיפוס]],Tipus[],5,FALSE),".",VLOOKUP(Check[[#This Row],[מגדל]],Tower,2,FALSE),".Ap.",Check[[#This Row],[מספר דירה]])</f>
        <v>S.S.4A.TN.Ap.132</v>
      </c>
      <c r="B471" s="13" t="str">
        <f>_xlfn.CONCAT(VLOOKUP(Check[[#This Row],[סטטוס]],Sold,2,FALSE),IF(Check[[#This Row],[סטטוס]]="פנויה",IF(N471="גמר מלא סטנדרט",".GMS",IF(N471="גמר מלא טיוב חומרים",".GMC",IF(N471="גמר מינימלי",".GM",IF(N471="דירת שיווק",".DS","")))),""),IF(M471="זומן לטרום",".ZLT",IF(M471="טרום מסירה",".TM",IF(M471="טרום מסירה מהנדס",".TMM",IF(M471="מסירת חזקה",".MH",IF(M471="מסירת חזקה מהנדס",".MHM",""))))),".",VLOOKUP(Check[[#This Row],[טיפוס]],Tipus[],5,FALSE),".",VLOOKUP(Check[[#This Row],[מגדל]],Tower,2,FALSE),".Ap.",Check[[#This Row],[מספר דירה]])</f>
        <v>S.S.4A.TN.Ap.132</v>
      </c>
      <c r="C471" s="3" t="s">
        <v>56</v>
      </c>
      <c r="D471" s="3">
        <v>16</v>
      </c>
      <c r="E471" s="4">
        <v>132</v>
      </c>
      <c r="F471" s="3">
        <v>1604</v>
      </c>
      <c r="G471" s="3" t="s">
        <v>14</v>
      </c>
      <c r="H471" s="5">
        <f>VLOOKUP(Check[[#This Row],[טיפוס]],Tipus[],2,FALSE)</f>
        <v>4</v>
      </c>
      <c r="I471" s="5" t="str">
        <f>VLOOKUP(Check[[#This Row],[טיפוס]],Tipus[],3,FALSE)</f>
        <v>סטנדרט</v>
      </c>
      <c r="J471" s="5" t="str">
        <f>VLOOKUP(Check[[#This Row],[טיפוס]],Tipus[],4,FALSE)</f>
        <v>J</v>
      </c>
      <c r="K471" s="3" t="str">
        <f>IF(Check[[#This Row],[סטטוס2]]="הולד","פנויה",Check[[#This Row],[סטטוס2]])</f>
        <v>מכורה</v>
      </c>
      <c r="L471" s="382" t="s">
        <v>130</v>
      </c>
      <c r="M471" s="382"/>
      <c r="N471" s="383"/>
      <c r="O471" s="383"/>
      <c r="P471" s="411"/>
      <c r="Q471" s="411"/>
      <c r="R471" s="383"/>
      <c r="S471" s="390">
        <v>44445</v>
      </c>
      <c r="T471" s="390" t="s">
        <v>693</v>
      </c>
      <c r="U471" s="387" t="s">
        <v>694</v>
      </c>
      <c r="V471" s="387" t="s">
        <v>214</v>
      </c>
      <c r="W471" s="387" t="s">
        <v>695</v>
      </c>
    </row>
    <row r="472" spans="1:23" x14ac:dyDescent="0.2">
      <c r="A472" s="13" t="str">
        <f>_xlfn.CONCAT(VLOOKUP(Check[[#This Row],[סטטוס]],Sold,2,FALSE),IF(Check[[#This Row],[סטטוס]]="פנויה",IF(N472="גמר מלא סטנדרט",".GMS",IF(N472="גמר מלא טיוב חומרים",".GMC",IF(N472="גמר מינימלי",".GM",IF(N472="דירת שיווק",".DS","")))),""),".",VLOOKUP(Check[[#This Row],[טיפוס]],Tipus[],5,FALSE),".",VLOOKUP(Check[[#This Row],[מגדל]],Tower,2,FALSE),".Ap.",Check[[#This Row],[מספר דירה]])</f>
        <v>S.S.3E.TN.Ap.133</v>
      </c>
      <c r="B472" s="13" t="str">
        <f>_xlfn.CONCAT(VLOOKUP(Check[[#This Row],[סטטוס]],Sold,2,FALSE),IF(Check[[#This Row],[סטטוס]]="פנויה",IF(N472="גמר מלא סטנדרט",".GMS",IF(N472="גמר מלא טיוב חומרים",".GMC",IF(N472="גמר מינימלי",".GM",IF(N472="דירת שיווק",".DS","")))),""),IF(M472="זומן לטרום",".ZLT",IF(M472="טרום מסירה",".TM",IF(M472="טרום מסירה מהנדס",".TMM",IF(M472="מסירת חזקה",".MH",IF(M472="מסירת חזקה מהנדס",".MHM",""))))),".",VLOOKUP(Check[[#This Row],[טיפוס]],Tipus[],5,FALSE),".",VLOOKUP(Check[[#This Row],[מגדל]],Tower,2,FALSE),".Ap.",Check[[#This Row],[מספר דירה]])</f>
        <v>S.S.3E.TN.Ap.133</v>
      </c>
      <c r="C472" s="3" t="s">
        <v>56</v>
      </c>
      <c r="D472" s="3">
        <v>16</v>
      </c>
      <c r="E472" s="4">
        <v>133</v>
      </c>
      <c r="F472" s="3">
        <v>1605</v>
      </c>
      <c r="G472" s="5" t="s">
        <v>20</v>
      </c>
      <c r="H472" s="5">
        <f>VLOOKUP(Check[[#This Row],[טיפוס]],Tipus[],2,FALSE)</f>
        <v>3</v>
      </c>
      <c r="I472" s="5" t="str">
        <f>VLOOKUP(Check[[#This Row],[טיפוס]],Tipus[],3,FALSE)</f>
        <v>סטנדרט</v>
      </c>
      <c r="J472" s="5" t="str">
        <f>VLOOKUP(Check[[#This Row],[טיפוס]],Tipus[],4,FALSE)</f>
        <v>A</v>
      </c>
      <c r="K472" s="3" t="str">
        <f>IF(Check[[#This Row],[סטטוס2]]="הולד","פנויה",Check[[#This Row],[סטטוס2]])</f>
        <v>מכורה</v>
      </c>
      <c r="L472" s="382" t="s">
        <v>130</v>
      </c>
      <c r="M472" s="382"/>
      <c r="N472" s="383"/>
      <c r="O472" s="383"/>
      <c r="P472" s="411"/>
      <c r="Q472" s="411"/>
      <c r="R472" s="383"/>
      <c r="S472" s="390">
        <v>44298</v>
      </c>
      <c r="T472" s="390" t="s">
        <v>696</v>
      </c>
      <c r="U472" s="387" t="s">
        <v>697</v>
      </c>
      <c r="V472" s="387"/>
      <c r="W472" s="387"/>
    </row>
    <row r="473" spans="1:23" x14ac:dyDescent="0.2">
      <c r="A473" s="13" t="str">
        <f>_xlfn.CONCAT(VLOOKUP(Check[[#This Row],[סטטוס]],Sold,2,FALSE),IF(Check[[#This Row],[סטטוס]]="פנויה",IF(N473="גמר מלא סטנדרט",".GMS",IF(N473="גמר מלא טיוב חומרים",".GMC",IF(N473="גמר מינימלי",".GM",IF(N473="דירת שיווק",".DS","")))),""),".",VLOOKUP(Check[[#This Row],[טיפוס]],Tipus[],5,FALSE),".",VLOOKUP(Check[[#This Row],[מגדל]],Tower,2,FALSE),".Ap.",Check[[#This Row],[מספר דירה]])</f>
        <v>S.S.3D.TN.Ap.134</v>
      </c>
      <c r="B473" s="13" t="str">
        <f>_xlfn.CONCAT(VLOOKUP(Check[[#This Row],[סטטוס]],Sold,2,FALSE),IF(Check[[#This Row],[סטטוס]]="פנויה",IF(N473="גמר מלא סטנדרט",".GMS",IF(N473="גמר מלא טיוב חומרים",".GMC",IF(N473="גמר מינימלי",".GM",IF(N473="דירת שיווק",".DS","")))),""),IF(M473="זומן לטרום",".ZLT",IF(M473="טרום מסירה",".TM",IF(M473="טרום מסירה מהנדס",".TMM",IF(M473="מסירת חזקה",".MH",IF(M473="מסירת חזקה מהנדס",".MHM",""))))),".",VLOOKUP(Check[[#This Row],[טיפוס]],Tipus[],5,FALSE),".",VLOOKUP(Check[[#This Row],[מגדל]],Tower,2,FALSE),".Ap.",Check[[#This Row],[מספר דירה]])</f>
        <v>S.S.3D.TN.Ap.134</v>
      </c>
      <c r="C473" s="3" t="s">
        <v>56</v>
      </c>
      <c r="D473" s="3">
        <v>16</v>
      </c>
      <c r="E473" s="4">
        <v>134</v>
      </c>
      <c r="F473" s="3">
        <v>1606</v>
      </c>
      <c r="G473" s="6" t="s">
        <v>21</v>
      </c>
      <c r="H473" s="6">
        <f>VLOOKUP(Check[[#This Row],[טיפוס]],Tipus[],2,FALSE)</f>
        <v>3</v>
      </c>
      <c r="I473" s="6" t="str">
        <f>VLOOKUP(Check[[#This Row],[טיפוס]],Tipus[],3,FALSE)</f>
        <v>סטנדרט</v>
      </c>
      <c r="J473" s="6" t="str">
        <f>VLOOKUP(Check[[#This Row],[טיפוס]],Tipus[],4,FALSE)</f>
        <v>C</v>
      </c>
      <c r="K473" s="3" t="str">
        <f>IF(Check[[#This Row],[סטטוס2]]="הולד","פנויה",Check[[#This Row],[סטטוס2]])</f>
        <v>מכורה</v>
      </c>
      <c r="L473" s="382" t="s">
        <v>130</v>
      </c>
      <c r="M473" s="382"/>
      <c r="N473" s="383"/>
      <c r="O473" s="383"/>
      <c r="P473" s="411"/>
      <c r="Q473" s="411"/>
      <c r="R473" s="383"/>
      <c r="S473" s="390">
        <v>44500</v>
      </c>
      <c r="T473" s="390" t="s">
        <v>698</v>
      </c>
      <c r="U473" s="387" t="s">
        <v>699</v>
      </c>
      <c r="V473" s="387"/>
      <c r="W473" s="387"/>
    </row>
    <row r="474" spans="1:23" x14ac:dyDescent="0.2">
      <c r="A474" s="13" t="str">
        <f>_xlfn.CONCAT(VLOOKUP(Check[[#This Row],[סטטוס]],Sold,2,FALSE),IF(Check[[#This Row],[סטטוס]]="פנויה",IF(N474="גמר מלא סטנדרט",".GMS",IF(N474="גמר מלא טיוב חומרים",".GMC",IF(N474="גמר מינימלי",".GM",IF(N474="דירת שיווק",".DS","")))),""),".",VLOOKUP(Check[[#This Row],[טיפוס]],Tipus[],5,FALSE),".",VLOOKUP(Check[[#This Row],[מגדל]],Tower,2,FALSE),".Ap.",Check[[#This Row],[מספר דירה]])</f>
        <v>S.S.3A.TN.Ap.135</v>
      </c>
      <c r="B474" s="13" t="str">
        <f>_xlfn.CONCAT(VLOOKUP(Check[[#This Row],[סטטוס]],Sold,2,FALSE),IF(Check[[#This Row],[סטטוס]]="פנויה",IF(N474="גמר מלא סטנדרט",".GMS",IF(N474="גמר מלא טיוב חומרים",".GMC",IF(N474="גמר מינימלי",".GM",IF(N474="דירת שיווק",".DS","")))),""),IF(M474="זומן לטרום",".ZLT",IF(M474="טרום מסירה",".TM",IF(M474="טרום מסירה מהנדס",".TMM",IF(M474="מסירת חזקה",".MH",IF(M474="מסירת חזקה מהנדס",".MHM",""))))),".",VLOOKUP(Check[[#This Row],[טיפוס]],Tipus[],5,FALSE),".",VLOOKUP(Check[[#This Row],[מגדל]],Tower,2,FALSE),".Ap.",Check[[#This Row],[מספר דירה]])</f>
        <v>S.S.3A.TN.Ap.135</v>
      </c>
      <c r="C474" s="3" t="s">
        <v>56</v>
      </c>
      <c r="D474" s="3">
        <v>17</v>
      </c>
      <c r="E474" s="4">
        <v>135</v>
      </c>
      <c r="F474" s="3">
        <v>1707</v>
      </c>
      <c r="G474" s="3" t="s">
        <v>9</v>
      </c>
      <c r="H474" s="5">
        <f>VLOOKUP(Check[[#This Row],[טיפוס]],Tipus[],2,FALSE)</f>
        <v>3</v>
      </c>
      <c r="I474" s="5" t="str">
        <f>VLOOKUP(Check[[#This Row],[טיפוס]],Tipus[],3,FALSE)</f>
        <v>סטנדרט</v>
      </c>
      <c r="J474" s="5" t="str">
        <f>VLOOKUP(Check[[#This Row],[טיפוס]],Tipus[],4,FALSE)</f>
        <v>D</v>
      </c>
      <c r="K474" s="3" t="str">
        <f>IF(Check[[#This Row],[סטטוס2]]="הולד","פנויה",Check[[#This Row],[סטטוס2]])</f>
        <v>מכורה</v>
      </c>
      <c r="L474" s="382" t="s">
        <v>130</v>
      </c>
      <c r="M474" s="382"/>
      <c r="N474" s="383"/>
      <c r="O474" s="383"/>
      <c r="P474" s="411"/>
      <c r="Q474" s="411"/>
      <c r="R474" s="383"/>
      <c r="S474" s="390">
        <v>45657</v>
      </c>
      <c r="T474" s="390" t="s">
        <v>1221</v>
      </c>
      <c r="U474" s="387"/>
      <c r="V474" s="387"/>
      <c r="W474" s="387"/>
    </row>
    <row r="475" spans="1:23" x14ac:dyDescent="0.2">
      <c r="A475" s="13" t="str">
        <f>_xlfn.CONCAT(VLOOKUP(Check[[#This Row],[סטטוס]],Sold,2,FALSE),IF(Check[[#This Row],[סטטוס]]="פנויה",IF(N475="גמר מלא סטנדרט",".GMS",IF(N475="גמר מלא טיוב חומרים",".GMC",IF(N475="גמר מינימלי",".GM",IF(N475="דירת שיווק",".DS","")))),""),".",VLOOKUP(Check[[#This Row],[טיפוס]],Tipus[],5,FALSE),".",VLOOKUP(Check[[#This Row],[מגדל]],Tower,2,FALSE),".Ap.",Check[[#This Row],[מספר דירה]])</f>
        <v>S.S.3C.TN.Ap.136</v>
      </c>
      <c r="B475" s="13" t="str">
        <f>_xlfn.CONCAT(VLOOKUP(Check[[#This Row],[סטטוס]],Sold,2,FALSE),IF(Check[[#This Row],[סטטוס]]="פנויה",IF(N475="גמר מלא סטנדרט",".GMS",IF(N475="גמר מלא טיוב חומרים",".GMC",IF(N475="גמר מינימלי",".GM",IF(N475="דירת שיווק",".DS","")))),""),IF(M475="זומן לטרום",".ZLT",IF(M475="טרום מסירה",".TM",IF(M475="טרום מסירה מהנדס",".TMM",IF(M475="מסירת חזקה",".MH",IF(M475="מסירת חזקה מהנדס",".MHM",""))))),".",VLOOKUP(Check[[#This Row],[טיפוס]],Tipus[],5,FALSE),".",VLOOKUP(Check[[#This Row],[מגדל]],Tower,2,FALSE),".Ap.",Check[[#This Row],[מספר דירה]])</f>
        <v>S.S.3C.TN.Ap.136</v>
      </c>
      <c r="C475" s="3" t="s">
        <v>56</v>
      </c>
      <c r="D475" s="3">
        <v>17</v>
      </c>
      <c r="E475" s="4">
        <v>136</v>
      </c>
      <c r="F475" s="3">
        <v>1708</v>
      </c>
      <c r="G475" s="3" t="s">
        <v>18</v>
      </c>
      <c r="H475" s="5">
        <f>VLOOKUP(Check[[#This Row],[טיפוס]],Tipus[],2,FALSE)</f>
        <v>3</v>
      </c>
      <c r="I475" s="5" t="str">
        <f>VLOOKUP(Check[[#This Row],[טיפוס]],Tipus[],3,FALSE)</f>
        <v>סטנדרט</v>
      </c>
      <c r="J475" s="5" t="str">
        <f>VLOOKUP(Check[[#This Row],[טיפוס]],Tipus[],4,FALSE)</f>
        <v>E</v>
      </c>
      <c r="K475" s="3" t="str">
        <f>IF(Check[[#This Row],[סטטוס2]]="הולד","פנויה",Check[[#This Row],[סטטוס2]])</f>
        <v>מכורה</v>
      </c>
      <c r="L475" s="382" t="s">
        <v>130</v>
      </c>
      <c r="M475" s="382"/>
      <c r="N475" s="383"/>
      <c r="O475" s="383"/>
      <c r="P475" s="411"/>
      <c r="Q475" s="411"/>
      <c r="R475" s="383"/>
      <c r="S475" s="390">
        <v>44472</v>
      </c>
      <c r="T475" s="390" t="s">
        <v>700</v>
      </c>
      <c r="U475" s="387" t="s">
        <v>701</v>
      </c>
      <c r="V475" s="387"/>
      <c r="W475" s="387"/>
    </row>
    <row r="476" spans="1:23" x14ac:dyDescent="0.2">
      <c r="A476" s="13" t="str">
        <f>_xlfn.CONCAT(VLOOKUP(Check[[#This Row],[סטטוס]],Sold,2,FALSE),IF(Check[[#This Row],[סטטוס]]="פנויה",IF(N476="גמר מלא סטנדרט",".GMS",IF(N476="גמר מלא טיוב חומרים",".GMC",IF(N476="גמר מינימלי",".GM",IF(N476="דירת שיווק",".DS","")))),""),".",VLOOKUP(Check[[#This Row],[טיפוס]],Tipus[],5,FALSE),".",VLOOKUP(Check[[#This Row],[מגדל]],Tower,2,FALSE),".Ap.",Check[[#This Row],[מספר דירה]])</f>
        <v>S.S.3B.TN.Ap.137</v>
      </c>
      <c r="B476" s="13" t="str">
        <f>_xlfn.CONCAT(VLOOKUP(Check[[#This Row],[סטטוס]],Sold,2,FALSE),IF(Check[[#This Row],[סטטוס]]="פנויה",IF(N476="גמר מלא סטנדרט",".GMS",IF(N476="גמר מלא טיוב חומרים",".GMC",IF(N476="גמר מינימלי",".GM",IF(N476="דירת שיווק",".DS","")))),""),IF(M476="זומן לטרום",".ZLT",IF(M476="טרום מסירה",".TM",IF(M476="טרום מסירה מהנדס",".TMM",IF(M476="מסירת חזקה",".MH",IF(M476="מסירת חזקה מהנדס",".MHM",""))))),".",VLOOKUP(Check[[#This Row],[טיפוס]],Tipus[],5,FALSE),".",VLOOKUP(Check[[#This Row],[מגדל]],Tower,2,FALSE),".Ap.",Check[[#This Row],[מספר דירה]])</f>
        <v>S.S.3B.TN.Ap.137</v>
      </c>
      <c r="C476" s="3" t="s">
        <v>56</v>
      </c>
      <c r="D476" s="3">
        <v>17</v>
      </c>
      <c r="E476" s="4">
        <v>137</v>
      </c>
      <c r="F476" s="3">
        <v>1701</v>
      </c>
      <c r="G476" s="5" t="s">
        <v>19</v>
      </c>
      <c r="H476" s="5">
        <f>VLOOKUP(Check[[#This Row],[טיפוס]],Tipus[],2,FALSE)</f>
        <v>3</v>
      </c>
      <c r="I476" s="5" t="str">
        <f>VLOOKUP(Check[[#This Row],[טיפוס]],Tipus[],3,FALSE)</f>
        <v>סטנדרט</v>
      </c>
      <c r="J476" s="5" t="str">
        <f>VLOOKUP(Check[[#This Row],[טיפוס]],Tipus[],4,FALSE)</f>
        <v>G</v>
      </c>
      <c r="K476" s="3" t="str">
        <f>IF(Check[[#This Row],[סטטוס2]]="הולד","פנויה",Check[[#This Row],[סטטוס2]])</f>
        <v>מכורה</v>
      </c>
      <c r="L476" s="382" t="s">
        <v>130</v>
      </c>
      <c r="M476" s="382"/>
      <c r="N476" s="383"/>
      <c r="O476" s="383"/>
      <c r="P476" s="411"/>
      <c r="Q476" s="411"/>
      <c r="R476" s="383"/>
      <c r="S476" s="390">
        <v>45594</v>
      </c>
      <c r="T476" s="390" t="s">
        <v>1209</v>
      </c>
      <c r="U476" s="387"/>
      <c r="V476" s="387"/>
      <c r="W476" s="387"/>
    </row>
    <row r="477" spans="1:23" x14ac:dyDescent="0.2">
      <c r="A477" s="13" t="str">
        <f>_xlfn.CONCAT(VLOOKUP(Check[[#This Row],[סטטוס]],Sold,2,FALSE),IF(Check[[#This Row],[סטטוס]]="פנויה",IF(N477="גמר מלא סטנדרט",".GMS",IF(N477="גמר מלא טיוב חומרים",".GMC",IF(N477="גמר מינימלי",".GM",IF(N477="דירת שיווק",".DS","")))),""),".",VLOOKUP(Check[[#This Row],[טיפוס]],Tipus[],5,FALSE),".",VLOOKUP(Check[[#This Row],[מגדל]],Tower,2,FALSE),".Ap.",Check[[#This Row],[מספר דירה]])</f>
        <v>S.S.4B.TN.Ap.138</v>
      </c>
      <c r="B477" s="13" t="str">
        <f>_xlfn.CONCAT(VLOOKUP(Check[[#This Row],[סטטוס]],Sold,2,FALSE),IF(Check[[#This Row],[סטטוס]]="פנויה",IF(N477="גמר מלא סטנדרט",".GMS",IF(N477="גמר מלא טיוב חומרים",".GMC",IF(N477="גמר מינימלי",".GM",IF(N477="דירת שיווק",".DS","")))),""),IF(M477="זומן לטרום",".ZLT",IF(M477="טרום מסירה",".TM",IF(M477="טרום מסירה מהנדס",".TMM",IF(M477="מסירת חזקה",".MH",IF(M477="מסירת חזקה מהנדס",".MHM",""))))),".",VLOOKUP(Check[[#This Row],[טיפוס]],Tipus[],5,FALSE),".",VLOOKUP(Check[[#This Row],[מגדל]],Tower,2,FALSE),".Ap.",Check[[#This Row],[מספר דירה]])</f>
        <v>S.S.4B.TN.Ap.138</v>
      </c>
      <c r="C477" s="3" t="s">
        <v>56</v>
      </c>
      <c r="D477" s="3">
        <v>17</v>
      </c>
      <c r="E477" s="4">
        <v>138</v>
      </c>
      <c r="F477" s="3">
        <v>1702</v>
      </c>
      <c r="G477" s="5" t="s">
        <v>16</v>
      </c>
      <c r="H477" s="5">
        <f>VLOOKUP(Check[[#This Row],[טיפוס]],Tipus[],2,FALSE)</f>
        <v>4</v>
      </c>
      <c r="I477" s="5" t="str">
        <f>VLOOKUP(Check[[#This Row],[טיפוס]],Tipus[],3,FALSE)</f>
        <v>סטנדרט</v>
      </c>
      <c r="J477" s="5" t="str">
        <f>VLOOKUP(Check[[#This Row],[טיפוס]],Tipus[],4,FALSE)</f>
        <v>H</v>
      </c>
      <c r="K477" s="3" t="str">
        <f>IF(Check[[#This Row],[סטטוס2]]="הולד","פנויה",Check[[#This Row],[סטטוס2]])</f>
        <v>מכורה</v>
      </c>
      <c r="L477" s="382" t="s">
        <v>130</v>
      </c>
      <c r="M477" s="382"/>
      <c r="N477" s="383"/>
      <c r="O477" s="383"/>
      <c r="P477" s="411"/>
      <c r="Q477" s="411"/>
      <c r="R477" s="383"/>
      <c r="S477" s="390">
        <v>44304</v>
      </c>
      <c r="T477" s="390" t="s">
        <v>702</v>
      </c>
      <c r="U477" s="387" t="s">
        <v>703</v>
      </c>
      <c r="V477" s="387"/>
      <c r="W477" s="387"/>
    </row>
    <row r="478" spans="1:23" x14ac:dyDescent="0.2">
      <c r="A478" s="13" t="str">
        <f>_xlfn.CONCAT(VLOOKUP(Check[[#This Row],[סטטוס]],Sold,2,FALSE),IF(Check[[#This Row],[סטטוס]]="פנויה",IF(N478="גמר מלא סטנדרט",".GMS",IF(N478="גמר מלא טיוב חומרים",".GMC",IF(N478="גמר מינימלי",".GM",IF(N478="דירת שיווק",".DS","")))),""),".",VLOOKUP(Check[[#This Row],[טיפוס]],Tipus[],5,FALSE),".",VLOOKUP(Check[[#This Row],[מגדל]],Tower,2,FALSE),".Ap.",Check[[#This Row],[מספר דירה]])</f>
        <v>S.S.2G.TN.Ap.139</v>
      </c>
      <c r="B478" s="13" t="str">
        <f>_xlfn.CONCAT(VLOOKUP(Check[[#This Row],[סטטוס]],Sold,2,FALSE),IF(Check[[#This Row],[סטטוס]]="פנויה",IF(N478="גמר מלא סטנדרט",".GMS",IF(N478="גמר מלא טיוב חומרים",".GMC",IF(N478="גמר מינימלי",".GM",IF(N478="דירת שיווק",".DS","")))),""),IF(M478="זומן לטרום",".ZLT",IF(M478="טרום מסירה",".TM",IF(M478="טרום מסירה מהנדס",".TMM",IF(M478="מסירת חזקה",".MH",IF(M478="מסירת חזקה מהנדס",".MHM",""))))),".",VLOOKUP(Check[[#This Row],[טיפוס]],Tipus[],5,FALSE),".",VLOOKUP(Check[[#This Row],[מגדל]],Tower,2,FALSE),".Ap.",Check[[#This Row],[מספר דירה]])</f>
        <v>S.S.2G.TN.Ap.139</v>
      </c>
      <c r="C478" s="3" t="s">
        <v>56</v>
      </c>
      <c r="D478" s="3">
        <v>17</v>
      </c>
      <c r="E478" s="4">
        <v>139</v>
      </c>
      <c r="F478" s="3">
        <v>1703</v>
      </c>
      <c r="G478" s="5" t="s">
        <v>15</v>
      </c>
      <c r="H478" s="5">
        <f>VLOOKUP(Check[[#This Row],[טיפוס]],Tipus[],2,FALSE)</f>
        <v>2</v>
      </c>
      <c r="I478" s="5" t="str">
        <f>VLOOKUP(Check[[#This Row],[טיפוס]],Tipus[],3,FALSE)</f>
        <v>סטנדרט</v>
      </c>
      <c r="J478" s="5" t="str">
        <f>VLOOKUP(Check[[#This Row],[טיפוס]],Tipus[],4,FALSE)</f>
        <v>I</v>
      </c>
      <c r="K478" s="3" t="str">
        <f>IF(Check[[#This Row],[סטטוס2]]="הולד","פנויה",Check[[#This Row],[סטטוס2]])</f>
        <v>מכורה</v>
      </c>
      <c r="L478" s="382" t="s">
        <v>130</v>
      </c>
      <c r="M478" s="382"/>
      <c r="N478" s="383"/>
      <c r="O478" s="383"/>
      <c r="P478" s="411"/>
      <c r="Q478" s="411"/>
      <c r="R478" s="383"/>
      <c r="S478" s="390">
        <v>44335</v>
      </c>
      <c r="T478" s="390" t="s">
        <v>704</v>
      </c>
      <c r="U478" s="387" t="s">
        <v>705</v>
      </c>
      <c r="V478" s="387"/>
      <c r="W478" s="387"/>
    </row>
    <row r="479" spans="1:23" x14ac:dyDescent="0.2">
      <c r="A479" s="13" t="str">
        <f>_xlfn.CONCAT(VLOOKUP(Check[[#This Row],[סטטוס]],Sold,2,FALSE),IF(Check[[#This Row],[סטטוס]]="פנויה",IF(N479="גמר מלא סטנדרט",".GMS",IF(N479="גמר מלא טיוב חומרים",".GMC",IF(N479="גמר מינימלי",".GM",IF(N479="דירת שיווק",".DS","")))),""),".",VLOOKUP(Check[[#This Row],[טיפוס]],Tipus[],5,FALSE),".",VLOOKUP(Check[[#This Row],[מגדל]],Tower,2,FALSE),".Ap.",Check[[#This Row],[מספר דירה]])</f>
        <v>O.S.4A.TN.Ap.140</v>
      </c>
      <c r="B479" s="13" t="str">
        <f>_xlfn.CONCAT(VLOOKUP(Check[[#This Row],[סטטוס]],Sold,2,FALSE),IF(Check[[#This Row],[סטטוס]]="פנויה",IF(N479="גמר מלא סטנדרט",".GMS",IF(N479="גמר מלא טיוב חומרים",".GMC",IF(N479="גמר מינימלי",".GM",IF(N479="דירת שיווק",".DS","")))),""),IF(M479="זומן לטרום",".ZLT",IF(M479="טרום מסירה",".TM",IF(M479="טרום מסירה מהנדס",".TMM",IF(M479="מסירת חזקה",".MH",IF(M479="מסירת חזקה מהנדס",".MHM",""))))),".",VLOOKUP(Check[[#This Row],[טיפוס]],Tipus[],5,FALSE),".",VLOOKUP(Check[[#This Row],[מגדל]],Tower,2,FALSE),".Ap.",Check[[#This Row],[מספר דירה]])</f>
        <v>O.S.4A.TN.Ap.140</v>
      </c>
      <c r="C479" s="3" t="s">
        <v>56</v>
      </c>
      <c r="D479" s="3">
        <v>17</v>
      </c>
      <c r="E479" s="4">
        <v>140</v>
      </c>
      <c r="F479" s="3">
        <v>1704</v>
      </c>
      <c r="G479" s="3" t="s">
        <v>14</v>
      </c>
      <c r="H479" s="5">
        <f>VLOOKUP(Check[[#This Row],[טיפוס]],Tipus[],2,FALSE)</f>
        <v>4</v>
      </c>
      <c r="I479" s="5" t="str">
        <f>VLOOKUP(Check[[#This Row],[טיפוס]],Tipus[],3,FALSE)</f>
        <v>סטנדרט</v>
      </c>
      <c r="J479" s="5" t="str">
        <f>VLOOKUP(Check[[#This Row],[טיפוס]],Tipus[],4,FALSE)</f>
        <v>J</v>
      </c>
      <c r="K479" s="3" t="str">
        <f>IF(Check[[#This Row],[סטטוס2]]="הולד","פנויה",Check[[#This Row],[סטטוס2]])</f>
        <v>בעלים</v>
      </c>
      <c r="L479" s="382" t="s">
        <v>91</v>
      </c>
      <c r="M479" s="382"/>
      <c r="N479" s="383"/>
      <c r="O479" s="383"/>
      <c r="P479" s="411"/>
      <c r="Q479" s="411"/>
      <c r="R479" s="383"/>
      <c r="S479" s="390">
        <v>44040</v>
      </c>
      <c r="T479" s="390" t="s">
        <v>262</v>
      </c>
      <c r="U479" s="387" t="s">
        <v>263</v>
      </c>
      <c r="V479" s="387" t="s">
        <v>214</v>
      </c>
      <c r="W479" s="387" t="s">
        <v>250</v>
      </c>
    </row>
    <row r="480" spans="1:23" x14ac:dyDescent="0.2">
      <c r="A480" s="13" t="str">
        <f>_xlfn.CONCAT(VLOOKUP(Check[[#This Row],[סטטוס]],Sold,2,FALSE),IF(Check[[#This Row],[סטטוס]]="פנויה",IF(N480="גמר מלא סטנדרט",".GMS",IF(N480="גמר מלא טיוב חומרים",".GMC",IF(N480="גמר מינימלי",".GM",IF(N480="דירת שיווק",".DS","")))),""),".",VLOOKUP(Check[[#This Row],[טיפוס]],Tipus[],5,FALSE),".",VLOOKUP(Check[[#This Row],[מגדל]],Tower,2,FALSE),".Ap.",Check[[#This Row],[מספר דירה]])</f>
        <v>S.S.3E.TN.Ap.141</v>
      </c>
      <c r="B480" s="13" t="str">
        <f>_xlfn.CONCAT(VLOOKUP(Check[[#This Row],[סטטוס]],Sold,2,FALSE),IF(Check[[#This Row],[סטטוס]]="פנויה",IF(N480="גמר מלא סטנדרט",".GMS",IF(N480="גמר מלא טיוב חומרים",".GMC",IF(N480="גמר מינימלי",".GM",IF(N480="דירת שיווק",".DS","")))),""),IF(M480="זומן לטרום",".ZLT",IF(M480="טרום מסירה",".TM",IF(M480="טרום מסירה מהנדס",".TMM",IF(M480="מסירת חזקה",".MH",IF(M480="מסירת חזקה מהנדס",".MHM",""))))),".",VLOOKUP(Check[[#This Row],[טיפוס]],Tipus[],5,FALSE),".",VLOOKUP(Check[[#This Row],[מגדל]],Tower,2,FALSE),".Ap.",Check[[#This Row],[מספר דירה]])</f>
        <v>S.S.3E.TN.Ap.141</v>
      </c>
      <c r="C480" s="3" t="s">
        <v>56</v>
      </c>
      <c r="D480" s="3">
        <v>17</v>
      </c>
      <c r="E480" s="4">
        <v>141</v>
      </c>
      <c r="F480" s="3">
        <v>1705</v>
      </c>
      <c r="G480" s="5" t="s">
        <v>20</v>
      </c>
      <c r="H480" s="5">
        <f>VLOOKUP(Check[[#This Row],[טיפוס]],Tipus[],2,FALSE)</f>
        <v>3</v>
      </c>
      <c r="I480" s="5" t="str">
        <f>VLOOKUP(Check[[#This Row],[טיפוס]],Tipus[],3,FALSE)</f>
        <v>סטנדרט</v>
      </c>
      <c r="J480" s="5" t="str">
        <f>VLOOKUP(Check[[#This Row],[טיפוס]],Tipus[],4,FALSE)</f>
        <v>A</v>
      </c>
      <c r="K480" s="3" t="str">
        <f>IF(Check[[#This Row],[סטטוס2]]="הולד","פנויה",Check[[#This Row],[סטטוס2]])</f>
        <v>מכורה</v>
      </c>
      <c r="L480" s="382" t="s">
        <v>130</v>
      </c>
      <c r="M480" s="382"/>
      <c r="N480" s="383"/>
      <c r="O480" s="383"/>
      <c r="P480" s="411"/>
      <c r="Q480" s="411"/>
      <c r="R480" s="383"/>
      <c r="S480" s="390">
        <v>44241</v>
      </c>
      <c r="T480" s="390" t="s">
        <v>706</v>
      </c>
      <c r="U480" s="387" t="s">
        <v>707</v>
      </c>
      <c r="V480" s="387"/>
      <c r="W480" s="387"/>
    </row>
    <row r="481" spans="1:23" x14ac:dyDescent="0.2">
      <c r="A481" s="13" t="str">
        <f>_xlfn.CONCAT(VLOOKUP(Check[[#This Row],[סטטוס]],Sold,2,FALSE),IF(Check[[#This Row],[סטטוס]]="פנויה",IF(N481="גמר מלא סטנדרט",".GMS",IF(N481="גמר מלא טיוב חומרים",".GMC",IF(N481="גמר מינימלי",".GM",IF(N481="דירת שיווק",".DS","")))),""),".",VLOOKUP(Check[[#This Row],[טיפוס]],Tipus[],5,FALSE),".",VLOOKUP(Check[[#This Row],[מגדל]],Tower,2,FALSE),".Ap.",Check[[#This Row],[מספר דירה]])</f>
        <v>S.S.3D.TN.Ap.142</v>
      </c>
      <c r="B481" s="13" t="str">
        <f>_xlfn.CONCAT(VLOOKUP(Check[[#This Row],[סטטוס]],Sold,2,FALSE),IF(Check[[#This Row],[סטטוס]]="פנויה",IF(N481="גמר מלא סטנדרט",".GMS",IF(N481="גמר מלא טיוב חומרים",".GMC",IF(N481="גמר מינימלי",".GM",IF(N481="דירת שיווק",".DS","")))),""),IF(M481="זומן לטרום",".ZLT",IF(M481="טרום מסירה",".TM",IF(M481="טרום מסירה מהנדס",".TMM",IF(M481="מסירת חזקה",".MH",IF(M481="מסירת חזקה מהנדס",".MHM",""))))),".",VLOOKUP(Check[[#This Row],[טיפוס]],Tipus[],5,FALSE),".",VLOOKUP(Check[[#This Row],[מגדל]],Tower,2,FALSE),".Ap.",Check[[#This Row],[מספר דירה]])</f>
        <v>S.S.3D.TN.Ap.142</v>
      </c>
      <c r="C481" s="3" t="s">
        <v>56</v>
      </c>
      <c r="D481" s="3">
        <v>17</v>
      </c>
      <c r="E481" s="4">
        <v>142</v>
      </c>
      <c r="F481" s="3">
        <v>1706</v>
      </c>
      <c r="G481" s="6" t="s">
        <v>21</v>
      </c>
      <c r="H481" s="6">
        <f>VLOOKUP(Check[[#This Row],[טיפוס]],Tipus[],2,FALSE)</f>
        <v>3</v>
      </c>
      <c r="I481" s="6" t="str">
        <f>VLOOKUP(Check[[#This Row],[טיפוס]],Tipus[],3,FALSE)</f>
        <v>סטנדרט</v>
      </c>
      <c r="J481" s="6" t="str">
        <f>VLOOKUP(Check[[#This Row],[טיפוס]],Tipus[],4,FALSE)</f>
        <v>C</v>
      </c>
      <c r="K481" s="3" t="str">
        <f>IF(Check[[#This Row],[סטטוס2]]="הולד","פנויה",Check[[#This Row],[סטטוס2]])</f>
        <v>מכורה</v>
      </c>
      <c r="L481" s="382" t="s">
        <v>130</v>
      </c>
      <c r="M481" s="382"/>
      <c r="N481" s="383"/>
      <c r="O481" s="383"/>
      <c r="P481" s="411"/>
      <c r="Q481" s="411"/>
      <c r="R481" s="383"/>
      <c r="S481" s="390">
        <v>44503</v>
      </c>
      <c r="T481" s="390" t="s">
        <v>650</v>
      </c>
      <c r="U481" s="387" t="s">
        <v>708</v>
      </c>
      <c r="V481" s="387"/>
      <c r="W481" s="387"/>
    </row>
    <row r="482" spans="1:23" x14ac:dyDescent="0.2">
      <c r="A482" s="13" t="str">
        <f>_xlfn.CONCAT(VLOOKUP(Check[[#This Row],[סטטוס]],Sold,2,FALSE),IF(Check[[#This Row],[סטטוס]]="פנויה",IF(N482="גמר מלא סטנדרט",".GMS",IF(N482="גמר מלא טיוב חומרים",".GMC",IF(N482="גמר מינימלי",".GM",IF(N482="דירת שיווק",".DS","")))),""),".",VLOOKUP(Check[[#This Row],[טיפוס]],Tipus[],5,FALSE),".",VLOOKUP(Check[[#This Row],[מגדל]],Tower,2,FALSE),".Ap.",Check[[#This Row],[מספר דירה]])</f>
        <v>V.GMS.S.3A.TN.Ap.143</v>
      </c>
      <c r="B482" s="13" t="str">
        <f>_xlfn.CONCAT(VLOOKUP(Check[[#This Row],[סטטוס]],Sold,2,FALSE),IF(Check[[#This Row],[סטטוס]]="פנויה",IF(N482="גמר מלא סטנדרט",".GMS",IF(N482="גמר מלא טיוב חומרים",".GMC",IF(N482="גמר מינימלי",".GM",IF(N482="דירת שיווק",".DS","")))),""),IF(M482="זומן לטרום",".ZLT",IF(M482="טרום מסירה",".TM",IF(M482="טרום מסירה מהנדס",".TMM",IF(M482="מסירת חזקה",".MH",IF(M482="מסירת חזקה מהנדס",".MHM",""))))),".",VLOOKUP(Check[[#This Row],[טיפוס]],Tipus[],5,FALSE),".",VLOOKUP(Check[[#This Row],[מגדל]],Tower,2,FALSE),".Ap.",Check[[#This Row],[מספר דירה]])</f>
        <v>V.GMS.S.3A.TN.Ap.143</v>
      </c>
      <c r="C482" s="3" t="s">
        <v>56</v>
      </c>
      <c r="D482" s="3">
        <v>18</v>
      </c>
      <c r="E482" s="4">
        <v>143</v>
      </c>
      <c r="F482" s="3">
        <v>1807</v>
      </c>
      <c r="G482" s="3" t="s">
        <v>9</v>
      </c>
      <c r="H482" s="5">
        <f>VLOOKUP(Check[[#This Row],[טיפוס]],Tipus[],2,FALSE)</f>
        <v>3</v>
      </c>
      <c r="I482" s="5" t="str">
        <f>VLOOKUP(Check[[#This Row],[טיפוס]],Tipus[],3,FALSE)</f>
        <v>סטנדרט</v>
      </c>
      <c r="J482" s="5" t="str">
        <f>VLOOKUP(Check[[#This Row],[טיפוס]],Tipus[],4,FALSE)</f>
        <v>D</v>
      </c>
      <c r="K482" s="3" t="str">
        <f>IF(Check[[#This Row],[סטטוס2]]="הולד","פנויה",Check[[#This Row],[סטטוס2]])</f>
        <v>פנויה</v>
      </c>
      <c r="L482" s="382" t="s">
        <v>108</v>
      </c>
      <c r="M482" s="382"/>
      <c r="N482" t="s">
        <v>1367</v>
      </c>
      <c r="O482" s="383" t="s">
        <v>1390</v>
      </c>
      <c r="P482" s="410" t="s">
        <v>1389</v>
      </c>
      <c r="Q482" s="410"/>
      <c r="R482" s="383"/>
      <c r="S482" s="390"/>
      <c r="T482" s="390" t="s">
        <v>214</v>
      </c>
      <c r="U482" s="387"/>
      <c r="V482" s="387"/>
      <c r="W482" s="387"/>
    </row>
    <row r="483" spans="1:23" x14ac:dyDescent="0.2">
      <c r="A483" s="13" t="str">
        <f>_xlfn.CONCAT(VLOOKUP(Check[[#This Row],[סטטוס]],Sold,2,FALSE),IF(Check[[#This Row],[סטטוס]]="פנויה",IF(N483="גמר מלא סטנדרט",".GMS",IF(N483="גמר מלא טיוב חומרים",".GMC",IF(N483="גמר מינימלי",".GM",IF(N483="דירת שיווק",".DS","")))),""),".",VLOOKUP(Check[[#This Row],[טיפוס]],Tipus[],5,FALSE),".",VLOOKUP(Check[[#This Row],[מגדל]],Tower,2,FALSE),".Ap.",Check[[#This Row],[מספר דירה]])</f>
        <v>S.S.3C.TN.Ap.144</v>
      </c>
      <c r="B483" s="13" t="str">
        <f>_xlfn.CONCAT(VLOOKUP(Check[[#This Row],[סטטוס]],Sold,2,FALSE),IF(Check[[#This Row],[סטטוס]]="פנויה",IF(N483="גמר מלא סטנדרט",".GMS",IF(N483="גמר מלא טיוב חומרים",".GMC",IF(N483="גמר מינימלי",".GM",IF(N483="דירת שיווק",".DS","")))),""),IF(M483="זומן לטרום",".ZLT",IF(M483="טרום מסירה",".TM",IF(M483="טרום מסירה מהנדס",".TMM",IF(M483="מסירת חזקה",".MH",IF(M483="מסירת חזקה מהנדס",".MHM",""))))),".",VLOOKUP(Check[[#This Row],[טיפוס]],Tipus[],5,FALSE),".",VLOOKUP(Check[[#This Row],[מגדל]],Tower,2,FALSE),".Ap.",Check[[#This Row],[מספר דירה]])</f>
        <v>S.S.3C.TN.Ap.144</v>
      </c>
      <c r="C483" s="3" t="s">
        <v>56</v>
      </c>
      <c r="D483" s="3">
        <v>18</v>
      </c>
      <c r="E483" s="4">
        <v>144</v>
      </c>
      <c r="F483" s="3">
        <v>1808</v>
      </c>
      <c r="G483" s="3" t="s">
        <v>18</v>
      </c>
      <c r="H483" s="5">
        <f>VLOOKUP(Check[[#This Row],[טיפוס]],Tipus[],2,FALSE)</f>
        <v>3</v>
      </c>
      <c r="I483" s="5" t="str">
        <f>VLOOKUP(Check[[#This Row],[טיפוס]],Tipus[],3,FALSE)</f>
        <v>סטנדרט</v>
      </c>
      <c r="J483" s="5" t="str">
        <f>VLOOKUP(Check[[#This Row],[טיפוס]],Tipus[],4,FALSE)</f>
        <v>E</v>
      </c>
      <c r="K483" s="3" t="str">
        <f>IF(Check[[#This Row],[סטטוס2]]="הולד","פנויה",Check[[#This Row],[סטטוס2]])</f>
        <v>מכורה</v>
      </c>
      <c r="L483" s="382" t="s">
        <v>130</v>
      </c>
      <c r="M483" s="382"/>
      <c r="N483" s="383"/>
      <c r="O483" s="383"/>
      <c r="P483" s="411"/>
      <c r="Q483" s="411"/>
      <c r="R483" s="383"/>
      <c r="S483" s="390">
        <v>44495</v>
      </c>
      <c r="T483" s="390" t="s">
        <v>709</v>
      </c>
      <c r="U483" s="387" t="s">
        <v>710</v>
      </c>
      <c r="V483" s="387"/>
      <c r="W483" s="387"/>
    </row>
    <row r="484" spans="1:23" x14ac:dyDescent="0.2">
      <c r="A484" s="13" t="str">
        <f>_xlfn.CONCAT(VLOOKUP(Check[[#This Row],[סטטוס]],Sold,2,FALSE),IF(Check[[#This Row],[סטטוס]]="פנויה",IF(N484="גמר מלא סטנדרט",".GMS",IF(N484="גמר מלא טיוב חומרים",".GMC",IF(N484="גמר מינימלי",".GM",IF(N484="דירת שיווק",".DS","")))),""),".",VLOOKUP(Check[[#This Row],[טיפוס]],Tipus[],5,FALSE),".",VLOOKUP(Check[[#This Row],[מגדל]],Tower,2,FALSE),".Ap.",Check[[#This Row],[מספר דירה]])</f>
        <v>S.S.3B.TN.Ap.145</v>
      </c>
      <c r="B484" s="13" t="str">
        <f>_xlfn.CONCAT(VLOOKUP(Check[[#This Row],[סטטוס]],Sold,2,FALSE),IF(Check[[#This Row],[סטטוס]]="פנויה",IF(N484="גמר מלא סטנדרט",".GMS",IF(N484="גמר מלא טיוב חומרים",".GMC",IF(N484="גמר מינימלי",".GM",IF(N484="דירת שיווק",".DS","")))),""),IF(M484="זומן לטרום",".ZLT",IF(M484="טרום מסירה",".TM",IF(M484="טרום מסירה מהנדס",".TMM",IF(M484="מסירת חזקה",".MH",IF(M484="מסירת חזקה מהנדס",".MHM",""))))),".",VLOOKUP(Check[[#This Row],[טיפוס]],Tipus[],5,FALSE),".",VLOOKUP(Check[[#This Row],[מגדל]],Tower,2,FALSE),".Ap.",Check[[#This Row],[מספר דירה]])</f>
        <v>S.S.3B.TN.Ap.145</v>
      </c>
      <c r="C484" s="3" t="s">
        <v>56</v>
      </c>
      <c r="D484" s="3">
        <v>18</v>
      </c>
      <c r="E484" s="4">
        <v>145</v>
      </c>
      <c r="F484" s="3">
        <v>1801</v>
      </c>
      <c r="G484" s="5" t="s">
        <v>19</v>
      </c>
      <c r="H484" s="5">
        <f>VLOOKUP(Check[[#This Row],[טיפוס]],Tipus[],2,FALSE)</f>
        <v>3</v>
      </c>
      <c r="I484" s="5" t="str">
        <f>VLOOKUP(Check[[#This Row],[טיפוס]],Tipus[],3,FALSE)</f>
        <v>סטנדרט</v>
      </c>
      <c r="J484" s="5" t="str">
        <f>VLOOKUP(Check[[#This Row],[טיפוס]],Tipus[],4,FALSE)</f>
        <v>G</v>
      </c>
      <c r="K484" s="3" t="str">
        <f>IF(Check[[#This Row],[סטטוס2]]="הולד","פנויה",Check[[#This Row],[סטטוס2]])</f>
        <v>מכורה</v>
      </c>
      <c r="L484" s="382" t="s">
        <v>130</v>
      </c>
      <c r="M484" s="382"/>
      <c r="N484" s="383"/>
      <c r="O484" s="383"/>
      <c r="P484" s="411"/>
      <c r="Q484" s="411"/>
      <c r="R484" s="383"/>
      <c r="S484" s="390">
        <v>44853</v>
      </c>
      <c r="T484" s="390" t="s">
        <v>711</v>
      </c>
      <c r="U484" s="387" t="s">
        <v>712</v>
      </c>
      <c r="V484" s="387" t="s">
        <v>214</v>
      </c>
      <c r="W484" s="387" t="s">
        <v>713</v>
      </c>
    </row>
    <row r="485" spans="1:23" x14ac:dyDescent="0.2">
      <c r="A485" s="13" t="str">
        <f>_xlfn.CONCAT(VLOOKUP(Check[[#This Row],[סטטוס]],Sold,2,FALSE),IF(Check[[#This Row],[סטטוס]]="פנויה",IF(N485="גמר מלא סטנדרט",".GMS",IF(N485="גמר מלא טיוב חומרים",".GMC",IF(N485="גמר מינימלי",".GM",IF(N485="דירת שיווק",".DS","")))),""),".",VLOOKUP(Check[[#This Row],[טיפוס]],Tipus[],5,FALSE),".",VLOOKUP(Check[[#This Row],[מגדל]],Tower,2,FALSE),".Ap.",Check[[#This Row],[מספר דירה]])</f>
        <v>S.S.4B.TN.Ap.146</v>
      </c>
      <c r="B485" s="13" t="str">
        <f>_xlfn.CONCAT(VLOOKUP(Check[[#This Row],[סטטוס]],Sold,2,FALSE),IF(Check[[#This Row],[סטטוס]]="פנויה",IF(N485="גמר מלא סטנדרט",".GMS",IF(N485="גמר מלא טיוב חומרים",".GMC",IF(N485="גמר מינימלי",".GM",IF(N485="דירת שיווק",".DS","")))),""),IF(M485="זומן לטרום",".ZLT",IF(M485="טרום מסירה",".TM",IF(M485="טרום מסירה מהנדס",".TMM",IF(M485="מסירת חזקה",".MH",IF(M485="מסירת חזקה מהנדס",".MHM",""))))),".",VLOOKUP(Check[[#This Row],[טיפוס]],Tipus[],5,FALSE),".",VLOOKUP(Check[[#This Row],[מגדל]],Tower,2,FALSE),".Ap.",Check[[#This Row],[מספר דירה]])</f>
        <v>S.S.4B.TN.Ap.146</v>
      </c>
      <c r="C485" s="3" t="s">
        <v>56</v>
      </c>
      <c r="D485" s="3">
        <v>18</v>
      </c>
      <c r="E485" s="4">
        <v>146</v>
      </c>
      <c r="F485" s="3">
        <v>1802</v>
      </c>
      <c r="G485" s="5" t="s">
        <v>16</v>
      </c>
      <c r="H485" s="5">
        <f>VLOOKUP(Check[[#This Row],[טיפוס]],Tipus[],2,FALSE)</f>
        <v>4</v>
      </c>
      <c r="I485" s="5" t="str">
        <f>VLOOKUP(Check[[#This Row],[טיפוס]],Tipus[],3,FALSE)</f>
        <v>סטנדרט</v>
      </c>
      <c r="J485" s="5" t="str">
        <f>VLOOKUP(Check[[#This Row],[טיפוס]],Tipus[],4,FALSE)</f>
        <v>H</v>
      </c>
      <c r="K485" s="3" t="str">
        <f>IF(Check[[#This Row],[סטטוס2]]="הולד","פנויה",Check[[#This Row],[סטטוס2]])</f>
        <v>מכורה</v>
      </c>
      <c r="L485" s="382" t="s">
        <v>130</v>
      </c>
      <c r="M485" s="382"/>
      <c r="N485" s="383"/>
      <c r="O485" s="383"/>
      <c r="P485" s="411"/>
      <c r="Q485" s="411"/>
      <c r="R485" s="383"/>
      <c r="S485" s="390">
        <v>44312</v>
      </c>
      <c r="T485" s="390" t="s">
        <v>714</v>
      </c>
      <c r="U485" s="387" t="s">
        <v>715</v>
      </c>
      <c r="V485" s="387"/>
      <c r="W485" s="387"/>
    </row>
    <row r="486" spans="1:23" x14ac:dyDescent="0.2">
      <c r="A486" s="13" t="str">
        <f>_xlfn.CONCAT(VLOOKUP(Check[[#This Row],[סטטוס]],Sold,2,FALSE),IF(Check[[#This Row],[סטטוס]]="פנויה",IF(N486="גמר מלא סטנדרט",".GMS",IF(N486="גמר מלא טיוב חומרים",".GMC",IF(N486="גמר מינימלי",".GM",IF(N486="דירת שיווק",".DS","")))),""),".",VLOOKUP(Check[[#This Row],[טיפוס]],Tipus[],5,FALSE),".",VLOOKUP(Check[[#This Row],[מגדל]],Tower,2,FALSE),".Ap.",Check[[#This Row],[מספר דירה]])</f>
        <v>S.S.2G.TN.Ap.147</v>
      </c>
      <c r="B486" s="13" t="str">
        <f>_xlfn.CONCAT(VLOOKUP(Check[[#This Row],[סטטוס]],Sold,2,FALSE),IF(Check[[#This Row],[סטטוס]]="פנויה",IF(N486="גמר מלא סטנדרט",".GMS",IF(N486="גמר מלא טיוב חומרים",".GMC",IF(N486="גמר מינימלי",".GM",IF(N486="דירת שיווק",".DS","")))),""),IF(M486="זומן לטרום",".ZLT",IF(M486="טרום מסירה",".TM",IF(M486="טרום מסירה מהנדס",".TMM",IF(M486="מסירת חזקה",".MH",IF(M486="מסירת חזקה מהנדס",".MHM",""))))),".",VLOOKUP(Check[[#This Row],[טיפוס]],Tipus[],5,FALSE),".",VLOOKUP(Check[[#This Row],[מגדל]],Tower,2,FALSE),".Ap.",Check[[#This Row],[מספר דירה]])</f>
        <v>S.S.2G.TN.Ap.147</v>
      </c>
      <c r="C486" s="3" t="s">
        <v>56</v>
      </c>
      <c r="D486" s="3">
        <v>18</v>
      </c>
      <c r="E486" s="4">
        <v>147</v>
      </c>
      <c r="F486" s="3">
        <v>1803</v>
      </c>
      <c r="G486" s="5" t="s">
        <v>15</v>
      </c>
      <c r="H486" s="5">
        <f>VLOOKUP(Check[[#This Row],[טיפוס]],Tipus[],2,FALSE)</f>
        <v>2</v>
      </c>
      <c r="I486" s="5" t="str">
        <f>VLOOKUP(Check[[#This Row],[טיפוס]],Tipus[],3,FALSE)</f>
        <v>סטנדרט</v>
      </c>
      <c r="J486" s="5" t="str">
        <f>VLOOKUP(Check[[#This Row],[טיפוס]],Tipus[],4,FALSE)</f>
        <v>I</v>
      </c>
      <c r="K486" s="3" t="str">
        <f>IF(Check[[#This Row],[סטטוס2]]="הולד","פנויה",Check[[#This Row],[סטטוס2]])</f>
        <v>מכורה</v>
      </c>
      <c r="L486" s="382" t="s">
        <v>130</v>
      </c>
      <c r="M486" s="382"/>
      <c r="N486" s="383"/>
      <c r="O486" s="383"/>
      <c r="P486" s="411"/>
      <c r="Q486" s="411"/>
      <c r="R486" s="383"/>
      <c r="S486" s="390">
        <v>44335</v>
      </c>
      <c r="T486" s="390" t="s">
        <v>716</v>
      </c>
      <c r="U486" s="387" t="s">
        <v>717</v>
      </c>
      <c r="V486" s="387"/>
      <c r="W486" s="387"/>
    </row>
    <row r="487" spans="1:23" x14ac:dyDescent="0.2">
      <c r="A487" s="13" t="str">
        <f>_xlfn.CONCAT(VLOOKUP(Check[[#This Row],[סטטוס]],Sold,2,FALSE),IF(Check[[#This Row],[סטטוס]]="פנויה",IF(N487="גמר מלא סטנדרט",".GMS",IF(N487="גמר מלא טיוב חומרים",".GMC",IF(N487="גמר מינימלי",".GM",IF(N487="דירת שיווק",".DS","")))),""),".",VLOOKUP(Check[[#This Row],[טיפוס]],Tipus[],5,FALSE),".",VLOOKUP(Check[[#This Row],[מגדל]],Tower,2,FALSE),".Ap.",Check[[#This Row],[מספר דירה]])</f>
        <v>S.S.4A.TN.Ap.148</v>
      </c>
      <c r="B487" s="13" t="str">
        <f>_xlfn.CONCAT(VLOOKUP(Check[[#This Row],[סטטוס]],Sold,2,FALSE),IF(Check[[#This Row],[סטטוס]]="פנויה",IF(N487="גמר מלא סטנדרט",".GMS",IF(N487="גמר מלא טיוב חומרים",".GMC",IF(N487="גמר מינימלי",".GM",IF(N487="דירת שיווק",".DS","")))),""),IF(M487="זומן לטרום",".ZLT",IF(M487="טרום מסירה",".TM",IF(M487="טרום מסירה מהנדס",".TMM",IF(M487="מסירת חזקה",".MH",IF(M487="מסירת חזקה מהנדס",".MHM",""))))),".",VLOOKUP(Check[[#This Row],[טיפוס]],Tipus[],5,FALSE),".",VLOOKUP(Check[[#This Row],[מגדל]],Tower,2,FALSE),".Ap.",Check[[#This Row],[מספר דירה]])</f>
        <v>S.S.4A.TN.Ap.148</v>
      </c>
      <c r="C487" s="3" t="s">
        <v>56</v>
      </c>
      <c r="D487" s="3">
        <v>18</v>
      </c>
      <c r="E487" s="4">
        <v>148</v>
      </c>
      <c r="F487" s="3">
        <v>1804</v>
      </c>
      <c r="G487" s="3" t="s">
        <v>14</v>
      </c>
      <c r="H487" s="5">
        <f>VLOOKUP(Check[[#This Row],[טיפוס]],Tipus[],2,FALSE)</f>
        <v>4</v>
      </c>
      <c r="I487" s="5" t="str">
        <f>VLOOKUP(Check[[#This Row],[טיפוס]],Tipus[],3,FALSE)</f>
        <v>סטנדרט</v>
      </c>
      <c r="J487" s="5" t="str">
        <f>VLOOKUP(Check[[#This Row],[טיפוס]],Tipus[],4,FALSE)</f>
        <v>J</v>
      </c>
      <c r="K487" s="3" t="str">
        <f>IF(Check[[#This Row],[סטטוס2]]="הולד","פנויה",Check[[#This Row],[סטטוס2]])</f>
        <v>מכורה</v>
      </c>
      <c r="L487" s="382" t="s">
        <v>130</v>
      </c>
      <c r="M487" s="382"/>
      <c r="N487" s="383"/>
      <c r="O487" s="383"/>
      <c r="P487" s="411"/>
      <c r="Q487" s="411"/>
      <c r="R487" s="383"/>
      <c r="S487" s="390">
        <v>44439</v>
      </c>
      <c r="T487" s="390" t="s">
        <v>718</v>
      </c>
      <c r="U487" s="387" t="s">
        <v>719</v>
      </c>
      <c r="V487" s="387" t="s">
        <v>214</v>
      </c>
      <c r="W487" s="387" t="s">
        <v>720</v>
      </c>
    </row>
    <row r="488" spans="1:23" x14ac:dyDescent="0.2">
      <c r="A488" s="13" t="str">
        <f>_xlfn.CONCAT(VLOOKUP(Check[[#This Row],[סטטוס]],Sold,2,FALSE),IF(Check[[#This Row],[סטטוס]]="פנויה",IF(N488="גמר מלא סטנדרט",".GMS",IF(N488="גמר מלא טיוב חומרים",".GMC",IF(N488="גמר מינימלי",".GM",IF(N488="דירת שיווק",".DS","")))),""),".",VLOOKUP(Check[[#This Row],[טיפוס]],Tipus[],5,FALSE),".",VLOOKUP(Check[[#This Row],[מגדל]],Tower,2,FALSE),".Ap.",Check[[#This Row],[מספר דירה]])</f>
        <v>S.S.3E.TN.Ap.149</v>
      </c>
      <c r="B488" s="13" t="str">
        <f>_xlfn.CONCAT(VLOOKUP(Check[[#This Row],[סטטוס]],Sold,2,FALSE),IF(Check[[#This Row],[סטטוס]]="פנויה",IF(N488="גמר מלא סטנדרט",".GMS",IF(N488="גמר מלא טיוב חומרים",".GMC",IF(N488="גמר מינימלי",".GM",IF(N488="דירת שיווק",".DS","")))),""),IF(M488="זומן לטרום",".ZLT",IF(M488="טרום מסירה",".TM",IF(M488="טרום מסירה מהנדס",".TMM",IF(M488="מסירת חזקה",".MH",IF(M488="מסירת חזקה מהנדס",".MHM",""))))),".",VLOOKUP(Check[[#This Row],[טיפוס]],Tipus[],5,FALSE),".",VLOOKUP(Check[[#This Row],[מגדל]],Tower,2,FALSE),".Ap.",Check[[#This Row],[מספר דירה]])</f>
        <v>S.S.3E.TN.Ap.149</v>
      </c>
      <c r="C488" s="3" t="s">
        <v>56</v>
      </c>
      <c r="D488" s="3">
        <v>18</v>
      </c>
      <c r="E488" s="4">
        <v>149</v>
      </c>
      <c r="F488" s="3">
        <v>1805</v>
      </c>
      <c r="G488" s="5" t="s">
        <v>20</v>
      </c>
      <c r="H488" s="5">
        <f>VLOOKUP(Check[[#This Row],[טיפוס]],Tipus[],2,FALSE)</f>
        <v>3</v>
      </c>
      <c r="I488" s="5" t="str">
        <f>VLOOKUP(Check[[#This Row],[טיפוס]],Tipus[],3,FALSE)</f>
        <v>סטנדרט</v>
      </c>
      <c r="J488" s="5" t="str">
        <f>VLOOKUP(Check[[#This Row],[טיפוס]],Tipus[],4,FALSE)</f>
        <v>A</v>
      </c>
      <c r="K488" s="3" t="str">
        <f>IF(Check[[#This Row],[סטטוס2]]="הולד","פנויה",Check[[#This Row],[סטטוס2]])</f>
        <v>מכורה</v>
      </c>
      <c r="L488" s="382" t="s">
        <v>130</v>
      </c>
      <c r="M488" s="382"/>
      <c r="N488" s="383"/>
      <c r="O488" s="383"/>
      <c r="P488" s="411"/>
      <c r="Q488" s="411"/>
      <c r="R488" s="383"/>
      <c r="S488" s="390">
        <v>44335</v>
      </c>
      <c r="T488" s="390" t="s">
        <v>721</v>
      </c>
      <c r="U488" s="387" t="s">
        <v>722</v>
      </c>
      <c r="V488" s="387"/>
      <c r="W488" s="387"/>
    </row>
    <row r="489" spans="1:23" x14ac:dyDescent="0.2">
      <c r="A489" s="13" t="str">
        <f>_xlfn.CONCAT(VLOOKUP(Check[[#This Row],[סטטוס]],Sold,2,FALSE),IF(Check[[#This Row],[סטטוס]]="פנויה",IF(N489="גמר מלא סטנדרט",".GMS",IF(N489="גמר מלא טיוב חומרים",".GMC",IF(N489="גמר מינימלי",".GM",IF(N489="דירת שיווק",".DS","")))),""),".",VLOOKUP(Check[[#This Row],[טיפוס]],Tipus[],5,FALSE),".",VLOOKUP(Check[[#This Row],[מגדל]],Tower,2,FALSE),".Ap.",Check[[#This Row],[מספר דירה]])</f>
        <v>S.S.3D.TN.Ap.150</v>
      </c>
      <c r="B489" s="13" t="str">
        <f>_xlfn.CONCAT(VLOOKUP(Check[[#This Row],[סטטוס]],Sold,2,FALSE),IF(Check[[#This Row],[סטטוס]]="פנויה",IF(N489="גמר מלא סטנדרט",".GMS",IF(N489="גמר מלא טיוב חומרים",".GMC",IF(N489="גמר מינימלי",".GM",IF(N489="דירת שיווק",".DS","")))),""),IF(M489="זומן לטרום",".ZLT",IF(M489="טרום מסירה",".TM",IF(M489="טרום מסירה מהנדס",".TMM",IF(M489="מסירת חזקה",".MH",IF(M489="מסירת חזקה מהנדס",".MHM",""))))),".",VLOOKUP(Check[[#This Row],[טיפוס]],Tipus[],5,FALSE),".",VLOOKUP(Check[[#This Row],[מגדל]],Tower,2,FALSE),".Ap.",Check[[#This Row],[מספר דירה]])</f>
        <v>S.S.3D.TN.Ap.150</v>
      </c>
      <c r="C489" s="3" t="s">
        <v>56</v>
      </c>
      <c r="D489" s="3">
        <v>18</v>
      </c>
      <c r="E489" s="4">
        <v>150</v>
      </c>
      <c r="F489" s="3">
        <v>1806</v>
      </c>
      <c r="G489" s="6" t="s">
        <v>21</v>
      </c>
      <c r="H489" s="6">
        <f>VLOOKUP(Check[[#This Row],[טיפוס]],Tipus[],2,FALSE)</f>
        <v>3</v>
      </c>
      <c r="I489" s="6" t="str">
        <f>VLOOKUP(Check[[#This Row],[טיפוס]],Tipus[],3,FALSE)</f>
        <v>סטנדרט</v>
      </c>
      <c r="J489" s="6" t="str">
        <f>VLOOKUP(Check[[#This Row],[טיפוס]],Tipus[],4,FALSE)</f>
        <v>C</v>
      </c>
      <c r="K489" s="3" t="str">
        <f>IF(Check[[#This Row],[סטטוס2]]="הולד","פנויה",Check[[#This Row],[סטטוס2]])</f>
        <v>מכורה</v>
      </c>
      <c r="L489" s="382" t="s">
        <v>130</v>
      </c>
      <c r="M489" s="382"/>
      <c r="N489" s="383"/>
      <c r="O489" s="383"/>
      <c r="P489" s="411"/>
      <c r="Q489" s="411"/>
      <c r="R489" s="383"/>
      <c r="S489" s="390">
        <v>44500</v>
      </c>
      <c r="T489" s="390" t="s">
        <v>698</v>
      </c>
      <c r="U489" s="387" t="s">
        <v>723</v>
      </c>
      <c r="V489" s="387"/>
      <c r="W489" s="387"/>
    </row>
    <row r="490" spans="1:23" x14ac:dyDescent="0.2">
      <c r="A490" s="13" t="str">
        <f>_xlfn.CONCAT(VLOOKUP(Check[[#This Row],[סטטוס]],Sold,2,FALSE),IF(Check[[#This Row],[סטטוס]]="פנויה",IF(N490="גמר מלא סטנדרט",".GMS",IF(N490="גמר מלא טיוב חומרים",".GMC",IF(N490="גמר מינימלי",".GM",IF(N490="דירת שיווק",".DS","")))),""),".",VLOOKUP(Check[[#This Row],[טיפוס]],Tipus[],5,FALSE),".",VLOOKUP(Check[[#This Row],[מגדל]],Tower,2,FALSE),".Ap.",Check[[#This Row],[מספר דירה]])</f>
        <v>V.GMS.S.3A.TN.Ap.151</v>
      </c>
      <c r="B490" s="13" t="str">
        <f>_xlfn.CONCAT(VLOOKUP(Check[[#This Row],[סטטוס]],Sold,2,FALSE),IF(Check[[#This Row],[סטטוס]]="פנויה",IF(N490="גמר מלא סטנדרט",".GMS",IF(N490="גמר מלא טיוב חומרים",".GMC",IF(N490="גמר מינימלי",".GM",IF(N490="דירת שיווק",".DS","")))),""),IF(M490="זומן לטרום",".ZLT",IF(M490="טרום מסירה",".TM",IF(M490="טרום מסירה מהנדס",".TMM",IF(M490="מסירת חזקה",".MH",IF(M490="מסירת חזקה מהנדס",".MHM",""))))),".",VLOOKUP(Check[[#This Row],[טיפוס]],Tipus[],5,FALSE),".",VLOOKUP(Check[[#This Row],[מגדל]],Tower,2,FALSE),".Ap.",Check[[#This Row],[מספר דירה]])</f>
        <v>V.GMS.S.3A.TN.Ap.151</v>
      </c>
      <c r="C490" s="3" t="s">
        <v>56</v>
      </c>
      <c r="D490" s="3">
        <v>19</v>
      </c>
      <c r="E490" s="4">
        <v>151</v>
      </c>
      <c r="F490" s="3">
        <v>1907</v>
      </c>
      <c r="G490" s="3" t="s">
        <v>9</v>
      </c>
      <c r="H490" s="5">
        <f>VLOOKUP(Check[[#This Row],[טיפוס]],Tipus[],2,FALSE)</f>
        <v>3</v>
      </c>
      <c r="I490" s="5" t="str">
        <f>VLOOKUP(Check[[#This Row],[טיפוס]],Tipus[],3,FALSE)</f>
        <v>סטנדרט</v>
      </c>
      <c r="J490" s="5" t="str">
        <f>VLOOKUP(Check[[#This Row],[טיפוס]],Tipus[],4,FALSE)</f>
        <v>D</v>
      </c>
      <c r="K490" s="3" t="str">
        <f>IF(Check[[#This Row],[סטטוס2]]="הולד","פנויה",Check[[#This Row],[סטטוס2]])</f>
        <v>פנויה</v>
      </c>
      <c r="L490" s="382" t="s">
        <v>108</v>
      </c>
      <c r="M490" s="382"/>
      <c r="N490" t="s">
        <v>1367</v>
      </c>
      <c r="O490" s="383" t="s">
        <v>1390</v>
      </c>
      <c r="P490" s="410" t="s">
        <v>1389</v>
      </c>
      <c r="Q490" s="410"/>
      <c r="R490" s="383"/>
      <c r="S490" s="390"/>
      <c r="T490" s="390" t="s">
        <v>214</v>
      </c>
      <c r="U490" s="387"/>
      <c r="V490" s="387"/>
      <c r="W490" s="387"/>
    </row>
    <row r="491" spans="1:23" x14ac:dyDescent="0.2">
      <c r="A491" s="13" t="str">
        <f>_xlfn.CONCAT(VLOOKUP(Check[[#This Row],[סטטוס]],Sold,2,FALSE),IF(Check[[#This Row],[סטטוס]]="פנויה",IF(N491="גמר מלא סטנדרט",".GMS",IF(N491="גמר מלא טיוב חומרים",".GMC",IF(N491="גמר מינימלי",".GM",IF(N491="דירת שיווק",".DS","")))),""),".",VLOOKUP(Check[[#This Row],[טיפוס]],Tipus[],5,FALSE),".",VLOOKUP(Check[[#This Row],[מגדל]],Tower,2,FALSE),".Ap.",Check[[#This Row],[מספר דירה]])</f>
        <v>S.S.3C.TN.Ap.152</v>
      </c>
      <c r="B491" s="13" t="str">
        <f>_xlfn.CONCAT(VLOOKUP(Check[[#This Row],[סטטוס]],Sold,2,FALSE),IF(Check[[#This Row],[סטטוס]]="פנויה",IF(N491="גמר מלא סטנדרט",".GMS",IF(N491="גמר מלא טיוב חומרים",".GMC",IF(N491="גמר מינימלי",".GM",IF(N491="דירת שיווק",".DS","")))),""),IF(M491="זומן לטרום",".ZLT",IF(M491="טרום מסירה",".TM",IF(M491="טרום מסירה מהנדס",".TMM",IF(M491="מסירת חזקה",".MH",IF(M491="מסירת חזקה מהנדס",".MHM",""))))),".",VLOOKUP(Check[[#This Row],[טיפוס]],Tipus[],5,FALSE),".",VLOOKUP(Check[[#This Row],[מגדל]],Tower,2,FALSE),".Ap.",Check[[#This Row],[מספר דירה]])</f>
        <v>S.S.3C.TN.Ap.152</v>
      </c>
      <c r="C491" s="3" t="s">
        <v>56</v>
      </c>
      <c r="D491" s="3">
        <v>19</v>
      </c>
      <c r="E491" s="4">
        <v>152</v>
      </c>
      <c r="F491" s="3">
        <v>1908</v>
      </c>
      <c r="G491" s="3" t="s">
        <v>18</v>
      </c>
      <c r="H491" s="5">
        <f>VLOOKUP(Check[[#This Row],[טיפוס]],Tipus[],2,FALSE)</f>
        <v>3</v>
      </c>
      <c r="I491" s="5" t="str">
        <f>VLOOKUP(Check[[#This Row],[טיפוס]],Tipus[],3,FALSE)</f>
        <v>סטנדרט</v>
      </c>
      <c r="J491" s="5" t="str">
        <f>VLOOKUP(Check[[#This Row],[טיפוס]],Tipus[],4,FALSE)</f>
        <v>E</v>
      </c>
      <c r="K491" s="3" t="str">
        <f>IF(Check[[#This Row],[סטטוס2]]="הולד","פנויה",Check[[#This Row],[סטטוס2]])</f>
        <v>מכורה</v>
      </c>
      <c r="L491" s="382" t="s">
        <v>130</v>
      </c>
      <c r="M491" s="382"/>
      <c r="N491" s="383"/>
      <c r="O491" s="383"/>
      <c r="P491" s="411"/>
      <c r="Q491" s="411"/>
      <c r="R491" s="383"/>
      <c r="S491" s="390">
        <v>44453</v>
      </c>
      <c r="T491" s="390" t="s">
        <v>724</v>
      </c>
      <c r="U491" s="387" t="s">
        <v>725</v>
      </c>
      <c r="V491" s="387"/>
      <c r="W491" s="387"/>
    </row>
    <row r="492" spans="1:23" x14ac:dyDescent="0.2">
      <c r="A492" s="13" t="str">
        <f>_xlfn.CONCAT(VLOOKUP(Check[[#This Row],[סטטוס]],Sold,2,FALSE),IF(Check[[#This Row],[סטטוס]]="פנויה",IF(N492="גמר מלא סטנדרט",".GMS",IF(N492="גמר מלא טיוב חומרים",".GMC",IF(N492="גמר מינימלי",".GM",IF(N492="דירת שיווק",".DS","")))),""),".",VLOOKUP(Check[[#This Row],[טיפוס]],Tipus[],5,FALSE),".",VLOOKUP(Check[[#This Row],[מגדל]],Tower,2,FALSE),".Ap.",Check[[#This Row],[מספר דירה]])</f>
        <v>S.S.3B.TN.Ap.153</v>
      </c>
      <c r="B492" s="13" t="str">
        <f>_xlfn.CONCAT(VLOOKUP(Check[[#This Row],[סטטוס]],Sold,2,FALSE),IF(Check[[#This Row],[סטטוס]]="פנויה",IF(N492="גמר מלא סטנדרט",".GMS",IF(N492="גמר מלא טיוב חומרים",".GMC",IF(N492="גמר מינימלי",".GM",IF(N492="דירת שיווק",".DS","")))),""),IF(M492="זומן לטרום",".ZLT",IF(M492="טרום מסירה",".TM",IF(M492="טרום מסירה מהנדס",".TMM",IF(M492="מסירת חזקה",".MH",IF(M492="מסירת חזקה מהנדס",".MHM",""))))),".",VLOOKUP(Check[[#This Row],[טיפוס]],Tipus[],5,FALSE),".",VLOOKUP(Check[[#This Row],[מגדל]],Tower,2,FALSE),".Ap.",Check[[#This Row],[מספר דירה]])</f>
        <v>S.S.3B.TN.Ap.153</v>
      </c>
      <c r="C492" s="3" t="s">
        <v>56</v>
      </c>
      <c r="D492" s="3">
        <v>19</v>
      </c>
      <c r="E492" s="4">
        <v>153</v>
      </c>
      <c r="F492" s="3">
        <v>1901</v>
      </c>
      <c r="G492" s="5" t="s">
        <v>19</v>
      </c>
      <c r="H492" s="5">
        <f>VLOOKUP(Check[[#This Row],[טיפוס]],Tipus[],2,FALSE)</f>
        <v>3</v>
      </c>
      <c r="I492" s="5" t="str">
        <f>VLOOKUP(Check[[#This Row],[טיפוס]],Tipus[],3,FALSE)</f>
        <v>סטנדרט</v>
      </c>
      <c r="J492" s="5" t="str">
        <f>VLOOKUP(Check[[#This Row],[טיפוס]],Tipus[],4,FALSE)</f>
        <v>G</v>
      </c>
      <c r="K492" s="3" t="str">
        <f>IF(Check[[#This Row],[סטטוס2]]="הולד","פנויה",Check[[#This Row],[סטטוס2]])</f>
        <v>מכורה</v>
      </c>
      <c r="L492" s="382" t="s">
        <v>130</v>
      </c>
      <c r="M492" s="382"/>
      <c r="N492" s="383"/>
      <c r="O492" s="383"/>
      <c r="P492" s="411"/>
      <c r="Q492" s="411"/>
      <c r="R492" s="383"/>
      <c r="S492" s="390">
        <v>44250</v>
      </c>
      <c r="T492" s="390" t="s">
        <v>726</v>
      </c>
      <c r="U492" s="387" t="s">
        <v>727</v>
      </c>
      <c r="V492" s="387"/>
      <c r="W492" s="387"/>
    </row>
    <row r="493" spans="1:23" x14ac:dyDescent="0.2">
      <c r="A493" s="13" t="str">
        <f>_xlfn.CONCAT(VLOOKUP(Check[[#This Row],[סטטוס]],Sold,2,FALSE),IF(Check[[#This Row],[סטטוס]]="פנויה",IF(N493="גמר מלא סטנדרט",".GMS",IF(N493="גמר מלא טיוב חומרים",".GMC",IF(N493="גמר מינימלי",".GM",IF(N493="דירת שיווק",".DS","")))),""),".",VLOOKUP(Check[[#This Row],[טיפוס]],Tipus[],5,FALSE),".",VLOOKUP(Check[[#This Row],[מגדל]],Tower,2,FALSE),".Ap.",Check[[#This Row],[מספר דירה]])</f>
        <v>S.S.4B.TN.Ap.154</v>
      </c>
      <c r="B493" s="13" t="str">
        <f>_xlfn.CONCAT(VLOOKUP(Check[[#This Row],[סטטוס]],Sold,2,FALSE),IF(Check[[#This Row],[סטטוס]]="פנויה",IF(N493="גמר מלא סטנדרט",".GMS",IF(N493="גמר מלא טיוב חומרים",".GMC",IF(N493="גמר מינימלי",".GM",IF(N493="דירת שיווק",".DS","")))),""),IF(M493="זומן לטרום",".ZLT",IF(M493="טרום מסירה",".TM",IF(M493="טרום מסירה מהנדס",".TMM",IF(M493="מסירת חזקה",".MH",IF(M493="מסירת חזקה מהנדס",".MHM",""))))),".",VLOOKUP(Check[[#This Row],[טיפוס]],Tipus[],5,FALSE),".",VLOOKUP(Check[[#This Row],[מגדל]],Tower,2,FALSE),".Ap.",Check[[#This Row],[מספר דירה]])</f>
        <v>S.S.4B.TN.Ap.154</v>
      </c>
      <c r="C493" s="3" t="s">
        <v>56</v>
      </c>
      <c r="D493" s="3">
        <v>19</v>
      </c>
      <c r="E493" s="4">
        <v>154</v>
      </c>
      <c r="F493" s="3">
        <v>1902</v>
      </c>
      <c r="G493" s="5" t="s">
        <v>16</v>
      </c>
      <c r="H493" s="5">
        <f>VLOOKUP(Check[[#This Row],[טיפוס]],Tipus[],2,FALSE)</f>
        <v>4</v>
      </c>
      <c r="I493" s="5" t="str">
        <f>VLOOKUP(Check[[#This Row],[טיפוס]],Tipus[],3,FALSE)</f>
        <v>סטנדרט</v>
      </c>
      <c r="J493" s="5" t="str">
        <f>VLOOKUP(Check[[#This Row],[טיפוס]],Tipus[],4,FALSE)</f>
        <v>H</v>
      </c>
      <c r="K493" s="3" t="str">
        <f>IF(Check[[#This Row],[סטטוס2]]="הולד","פנויה",Check[[#This Row],[סטטוס2]])</f>
        <v>מכורה</v>
      </c>
      <c r="L493" s="382" t="s">
        <v>130</v>
      </c>
      <c r="M493" s="382"/>
      <c r="N493" s="383"/>
      <c r="O493" s="383"/>
      <c r="P493" s="411"/>
      <c r="Q493" s="411"/>
      <c r="R493" s="383"/>
      <c r="S493" s="390">
        <v>44312</v>
      </c>
      <c r="T493" s="390" t="s">
        <v>728</v>
      </c>
      <c r="U493" s="387" t="s">
        <v>729</v>
      </c>
      <c r="V493" s="387"/>
      <c r="W493" s="387"/>
    </row>
    <row r="494" spans="1:23" x14ac:dyDescent="0.2">
      <c r="A494" s="13" t="str">
        <f>_xlfn.CONCAT(VLOOKUP(Check[[#This Row],[סטטוס]],Sold,2,FALSE),IF(Check[[#This Row],[סטטוס]]="פנויה",IF(N494="גמר מלא סטנדרט",".GMS",IF(N494="גמר מלא טיוב חומרים",".GMC",IF(N494="גמר מינימלי",".GM",IF(N494="דירת שיווק",".DS","")))),""),".",VLOOKUP(Check[[#This Row],[טיפוס]],Tipus[],5,FALSE),".",VLOOKUP(Check[[#This Row],[מגדל]],Tower,2,FALSE),".Ap.",Check[[#This Row],[מספר דירה]])</f>
        <v>S.S.2G.TN.Ap.155</v>
      </c>
      <c r="B494" s="13" t="str">
        <f>_xlfn.CONCAT(VLOOKUP(Check[[#This Row],[סטטוס]],Sold,2,FALSE),IF(Check[[#This Row],[סטטוס]]="פנויה",IF(N494="גמר מלא סטנדרט",".GMS",IF(N494="גמר מלא טיוב חומרים",".GMC",IF(N494="גמר מינימלי",".GM",IF(N494="דירת שיווק",".DS","")))),""),IF(M494="זומן לטרום",".ZLT",IF(M494="טרום מסירה",".TM",IF(M494="טרום מסירה מהנדס",".TMM",IF(M494="מסירת חזקה",".MH",IF(M494="מסירת חזקה מהנדס",".MHM",""))))),".",VLOOKUP(Check[[#This Row],[טיפוס]],Tipus[],5,FALSE),".",VLOOKUP(Check[[#This Row],[מגדל]],Tower,2,FALSE),".Ap.",Check[[#This Row],[מספר דירה]])</f>
        <v>S.S.2G.TN.Ap.155</v>
      </c>
      <c r="C494" s="3" t="s">
        <v>56</v>
      </c>
      <c r="D494" s="3">
        <v>19</v>
      </c>
      <c r="E494" s="4">
        <v>155</v>
      </c>
      <c r="F494" s="3">
        <v>1903</v>
      </c>
      <c r="G494" s="5" t="s">
        <v>15</v>
      </c>
      <c r="H494" s="5">
        <f>VLOOKUP(Check[[#This Row],[טיפוס]],Tipus[],2,FALSE)</f>
        <v>2</v>
      </c>
      <c r="I494" s="5" t="str">
        <f>VLOOKUP(Check[[#This Row],[טיפוס]],Tipus[],3,FALSE)</f>
        <v>סטנדרט</v>
      </c>
      <c r="J494" s="5" t="str">
        <f>VLOOKUP(Check[[#This Row],[טיפוס]],Tipus[],4,FALSE)</f>
        <v>I</v>
      </c>
      <c r="K494" s="3" t="str">
        <f>IF(Check[[#This Row],[סטטוס2]]="הולד","פנויה",Check[[#This Row],[סטטוס2]])</f>
        <v>מכורה</v>
      </c>
      <c r="L494" s="382" t="s">
        <v>130</v>
      </c>
      <c r="M494" s="382"/>
      <c r="N494" s="383"/>
      <c r="O494" s="383"/>
      <c r="P494" s="411"/>
      <c r="Q494" s="411"/>
      <c r="R494" s="383"/>
      <c r="S494" s="390">
        <v>44215</v>
      </c>
      <c r="T494" s="390" t="s">
        <v>730</v>
      </c>
      <c r="U494" s="387" t="s">
        <v>731</v>
      </c>
      <c r="V494" s="387"/>
      <c r="W494" s="387"/>
    </row>
    <row r="495" spans="1:23" x14ac:dyDescent="0.2">
      <c r="A495" s="13" t="str">
        <f>_xlfn.CONCAT(VLOOKUP(Check[[#This Row],[סטטוס]],Sold,2,FALSE),IF(Check[[#This Row],[סטטוס]]="פנויה",IF(N495="גמר מלא סטנדרט",".GMS",IF(N495="גמר מלא טיוב חומרים",".GMC",IF(N495="גמר מינימלי",".GM",IF(N495="דירת שיווק",".DS","")))),""),".",VLOOKUP(Check[[#This Row],[טיפוס]],Tipus[],5,FALSE),".",VLOOKUP(Check[[#This Row],[מגדל]],Tower,2,FALSE),".Ap.",Check[[#This Row],[מספר דירה]])</f>
        <v>S.S.4A.TN.Ap.156</v>
      </c>
      <c r="B495" s="13" t="str">
        <f>_xlfn.CONCAT(VLOOKUP(Check[[#This Row],[סטטוס]],Sold,2,FALSE),IF(Check[[#This Row],[סטטוס]]="פנויה",IF(N495="גמר מלא סטנדרט",".GMS",IF(N495="גמר מלא טיוב חומרים",".GMC",IF(N495="גמר מינימלי",".GM",IF(N495="דירת שיווק",".DS","")))),""),IF(M495="זומן לטרום",".ZLT",IF(M495="טרום מסירה",".TM",IF(M495="טרום מסירה מהנדס",".TMM",IF(M495="מסירת חזקה",".MH",IF(M495="מסירת חזקה מהנדס",".MHM",""))))),".",VLOOKUP(Check[[#This Row],[טיפוס]],Tipus[],5,FALSE),".",VLOOKUP(Check[[#This Row],[מגדל]],Tower,2,FALSE),".Ap.",Check[[#This Row],[מספר דירה]])</f>
        <v>S.S.4A.TN.Ap.156</v>
      </c>
      <c r="C495" s="3" t="s">
        <v>56</v>
      </c>
      <c r="D495" s="3">
        <v>19</v>
      </c>
      <c r="E495" s="4">
        <v>156</v>
      </c>
      <c r="F495" s="3">
        <v>1904</v>
      </c>
      <c r="G495" s="3" t="s">
        <v>14</v>
      </c>
      <c r="H495" s="5">
        <f>VLOOKUP(Check[[#This Row],[טיפוס]],Tipus[],2,FALSE)</f>
        <v>4</v>
      </c>
      <c r="I495" s="5" t="str">
        <f>VLOOKUP(Check[[#This Row],[טיפוס]],Tipus[],3,FALSE)</f>
        <v>סטנדרט</v>
      </c>
      <c r="J495" s="5" t="str">
        <f>VLOOKUP(Check[[#This Row],[טיפוס]],Tipus[],4,FALSE)</f>
        <v>J</v>
      </c>
      <c r="K495" s="3" t="str">
        <f>IF(Check[[#This Row],[סטטוס2]]="הולד","פנויה",Check[[#This Row],[סטטוס2]])</f>
        <v>מכורה</v>
      </c>
      <c r="L495" s="382" t="s">
        <v>130</v>
      </c>
      <c r="M495" s="382"/>
      <c r="N495" s="383"/>
      <c r="O495" s="383"/>
      <c r="P495" s="411"/>
      <c r="Q495" s="411"/>
      <c r="R495" s="383"/>
      <c r="S495" s="390">
        <v>44442</v>
      </c>
      <c r="T495" s="390" t="s">
        <v>732</v>
      </c>
      <c r="U495" s="387" t="s">
        <v>733</v>
      </c>
      <c r="V495" s="387"/>
      <c r="W495" s="387"/>
    </row>
    <row r="496" spans="1:23" x14ac:dyDescent="0.2">
      <c r="A496" s="13" t="str">
        <f>_xlfn.CONCAT(VLOOKUP(Check[[#This Row],[סטטוס]],Sold,2,FALSE),IF(Check[[#This Row],[סטטוס]]="פנויה",IF(N496="גמר מלא סטנדרט",".GMS",IF(N496="גמר מלא טיוב חומרים",".GMC",IF(N496="גמר מינימלי",".GM",IF(N496="דירת שיווק",".DS","")))),""),".",VLOOKUP(Check[[#This Row],[טיפוס]],Tipus[],5,FALSE),".",VLOOKUP(Check[[#This Row],[מגדל]],Tower,2,FALSE),".Ap.",Check[[#This Row],[מספר דירה]])</f>
        <v>S.S.3E.TN.Ap.157</v>
      </c>
      <c r="B496" s="13" t="str">
        <f>_xlfn.CONCAT(VLOOKUP(Check[[#This Row],[סטטוס]],Sold,2,FALSE),IF(Check[[#This Row],[סטטוס]]="פנויה",IF(N496="גמר מלא סטנדרט",".GMS",IF(N496="גמר מלא טיוב חומרים",".GMC",IF(N496="גמר מינימלי",".GM",IF(N496="דירת שיווק",".DS","")))),""),IF(M496="זומן לטרום",".ZLT",IF(M496="טרום מסירה",".TM",IF(M496="טרום מסירה מהנדס",".TMM",IF(M496="מסירת חזקה",".MH",IF(M496="מסירת חזקה מהנדס",".MHM",""))))),".",VLOOKUP(Check[[#This Row],[טיפוס]],Tipus[],5,FALSE),".",VLOOKUP(Check[[#This Row],[מגדל]],Tower,2,FALSE),".Ap.",Check[[#This Row],[מספר דירה]])</f>
        <v>S.S.3E.TN.Ap.157</v>
      </c>
      <c r="C496" s="3" t="s">
        <v>56</v>
      </c>
      <c r="D496" s="3">
        <v>19</v>
      </c>
      <c r="E496" s="4">
        <v>157</v>
      </c>
      <c r="F496" s="3">
        <v>1905</v>
      </c>
      <c r="G496" s="5" t="s">
        <v>20</v>
      </c>
      <c r="H496" s="5">
        <f>VLOOKUP(Check[[#This Row],[טיפוס]],Tipus[],2,FALSE)</f>
        <v>3</v>
      </c>
      <c r="I496" s="5" t="str">
        <f>VLOOKUP(Check[[#This Row],[טיפוס]],Tipus[],3,FALSE)</f>
        <v>סטנדרט</v>
      </c>
      <c r="J496" s="5" t="str">
        <f>VLOOKUP(Check[[#This Row],[טיפוס]],Tipus[],4,FALSE)</f>
        <v>A</v>
      </c>
      <c r="K496" s="3" t="str">
        <f>IF(Check[[#This Row],[סטטוס2]]="הולד","פנויה",Check[[#This Row],[סטטוס2]])</f>
        <v>מכורה</v>
      </c>
      <c r="L496" s="382" t="s">
        <v>130</v>
      </c>
      <c r="M496" s="382"/>
      <c r="N496" s="383"/>
      <c r="O496" s="383"/>
      <c r="P496" s="411"/>
      <c r="Q496" s="411"/>
      <c r="R496" s="383"/>
      <c r="S496" s="390">
        <v>44298</v>
      </c>
      <c r="T496" s="390" t="s">
        <v>734</v>
      </c>
      <c r="U496" s="387" t="s">
        <v>735</v>
      </c>
      <c r="V496" s="387"/>
      <c r="W496" s="387"/>
    </row>
    <row r="497" spans="1:23" x14ac:dyDescent="0.2">
      <c r="A497" s="13" t="str">
        <f>_xlfn.CONCAT(VLOOKUP(Check[[#This Row],[סטטוס]],Sold,2,FALSE),IF(Check[[#This Row],[סטטוס]]="פנויה",IF(N497="גמר מלא סטנדרט",".GMS",IF(N497="גמר מלא טיוב חומרים",".GMC",IF(N497="גמר מינימלי",".GM",IF(N497="דירת שיווק",".DS","")))),""),".",VLOOKUP(Check[[#This Row],[טיפוס]],Tipus[],5,FALSE),".",VLOOKUP(Check[[#This Row],[מגדל]],Tower,2,FALSE),".Ap.",Check[[#This Row],[מספר דירה]])</f>
        <v>S.S.3D.TN.Ap.158</v>
      </c>
      <c r="B497" s="13" t="str">
        <f>_xlfn.CONCAT(VLOOKUP(Check[[#This Row],[סטטוס]],Sold,2,FALSE),IF(Check[[#This Row],[סטטוס]]="פנויה",IF(N497="גמר מלא סטנדרט",".GMS",IF(N497="גמר מלא טיוב חומרים",".GMC",IF(N497="גמר מינימלי",".GM",IF(N497="דירת שיווק",".DS","")))),""),IF(M497="זומן לטרום",".ZLT",IF(M497="טרום מסירה",".TM",IF(M497="טרום מסירה מהנדס",".TMM",IF(M497="מסירת חזקה",".MH",IF(M497="מסירת חזקה מהנדס",".MHM",""))))),".",VLOOKUP(Check[[#This Row],[טיפוס]],Tipus[],5,FALSE),".",VLOOKUP(Check[[#This Row],[מגדל]],Tower,2,FALSE),".Ap.",Check[[#This Row],[מספר דירה]])</f>
        <v>S.S.3D.TN.Ap.158</v>
      </c>
      <c r="C497" s="3" t="s">
        <v>56</v>
      </c>
      <c r="D497" s="3">
        <v>19</v>
      </c>
      <c r="E497" s="4">
        <v>158</v>
      </c>
      <c r="F497" s="3">
        <v>1906</v>
      </c>
      <c r="G497" s="6" t="s">
        <v>21</v>
      </c>
      <c r="H497" s="6">
        <f>VLOOKUP(Check[[#This Row],[טיפוס]],Tipus[],2,FALSE)</f>
        <v>3</v>
      </c>
      <c r="I497" s="6" t="str">
        <f>VLOOKUP(Check[[#This Row],[טיפוס]],Tipus[],3,FALSE)</f>
        <v>סטנדרט</v>
      </c>
      <c r="J497" s="6" t="str">
        <f>VLOOKUP(Check[[#This Row],[טיפוס]],Tipus[],4,FALSE)</f>
        <v>C</v>
      </c>
      <c r="K497" s="3" t="str">
        <f>IF(Check[[#This Row],[סטטוס2]]="הולד","פנויה",Check[[#This Row],[סטטוס2]])</f>
        <v>מכורה</v>
      </c>
      <c r="L497" s="382" t="s">
        <v>130</v>
      </c>
      <c r="M497" s="382"/>
      <c r="N497" s="383"/>
      <c r="O497" s="383"/>
      <c r="P497" s="411"/>
      <c r="Q497" s="411"/>
      <c r="R497" s="383"/>
      <c r="S497" s="390">
        <v>44452</v>
      </c>
      <c r="T497" s="390" t="s">
        <v>736</v>
      </c>
      <c r="U497" s="387" t="s">
        <v>737</v>
      </c>
      <c r="V497" s="387"/>
      <c r="W497" s="387"/>
    </row>
    <row r="498" spans="1:23" x14ac:dyDescent="0.2">
      <c r="A498" s="13" t="str">
        <f>_xlfn.CONCAT(VLOOKUP(Check[[#This Row],[סטטוס]],Sold,2,FALSE),IF(Check[[#This Row],[סטטוס]]="פנויה",IF(N498="גמר מלא סטנדרט",".GMS",IF(N498="גמר מלא טיוב חומרים",".GMC",IF(N498="גמר מינימלי",".GM",IF(N498="דירת שיווק",".DS","")))),""),".",VLOOKUP(Check[[#This Row],[טיפוס]],Tipus[],5,FALSE),".",VLOOKUP(Check[[#This Row],[מגדל]],Tower,2,FALSE),".Ap.",Check[[#This Row],[מספר דירה]])</f>
        <v>S.S.3A.TN.Ap.159</v>
      </c>
      <c r="B498" s="13" t="str">
        <f>_xlfn.CONCAT(VLOOKUP(Check[[#This Row],[סטטוס]],Sold,2,FALSE),IF(Check[[#This Row],[סטטוס]]="פנויה",IF(N498="גמר מלא סטנדרט",".GMS",IF(N498="גמר מלא טיוב חומרים",".GMC",IF(N498="גמר מינימלי",".GM",IF(N498="דירת שיווק",".DS","")))),""),IF(M498="זומן לטרום",".ZLT",IF(M498="טרום מסירה",".TM",IF(M498="טרום מסירה מהנדס",".TMM",IF(M498="מסירת חזקה",".MH",IF(M498="מסירת חזקה מהנדס",".MHM",""))))),".",VLOOKUP(Check[[#This Row],[טיפוס]],Tipus[],5,FALSE),".",VLOOKUP(Check[[#This Row],[מגדל]],Tower,2,FALSE),".Ap.",Check[[#This Row],[מספר דירה]])</f>
        <v>S.S.3A.TN.Ap.159</v>
      </c>
      <c r="C498" s="3" t="s">
        <v>56</v>
      </c>
      <c r="D498" s="3">
        <v>20</v>
      </c>
      <c r="E498" s="4">
        <v>159</v>
      </c>
      <c r="F498" s="3">
        <v>2006</v>
      </c>
      <c r="G498" s="3" t="s">
        <v>9</v>
      </c>
      <c r="H498" s="5">
        <f>VLOOKUP(Check[[#This Row],[טיפוס]],Tipus[],2,FALSE)</f>
        <v>3</v>
      </c>
      <c r="I498" s="5" t="str">
        <f>VLOOKUP(Check[[#This Row],[טיפוס]],Tipus[],3,FALSE)</f>
        <v>סטנדרט</v>
      </c>
      <c r="J498" s="5" t="str">
        <f>VLOOKUP(Check[[#This Row],[טיפוס]],Tipus[],4,FALSE)</f>
        <v>D</v>
      </c>
      <c r="K498" s="3" t="str">
        <f>IF(Check[[#This Row],[סטטוס2]]="הולד","פנויה",Check[[#This Row],[סטטוס2]])</f>
        <v>מכורה</v>
      </c>
      <c r="L498" s="382" t="s">
        <v>130</v>
      </c>
      <c r="M498" s="382"/>
      <c r="N498" s="383"/>
      <c r="O498" s="383"/>
      <c r="P498" s="411"/>
      <c r="Q498" s="411"/>
      <c r="R498" s="383"/>
      <c r="S498" s="390">
        <v>44350</v>
      </c>
      <c r="T498" s="390" t="s">
        <v>738</v>
      </c>
      <c r="U498" s="387" t="s">
        <v>739</v>
      </c>
      <c r="V498" s="387"/>
      <c r="W498" s="387"/>
    </row>
    <row r="499" spans="1:23" x14ac:dyDescent="0.2">
      <c r="A499" s="13" t="str">
        <f>_xlfn.CONCAT(VLOOKUP(Check[[#This Row],[סטטוס]],Sold,2,FALSE),IF(Check[[#This Row],[סטטוס]]="פנויה",IF(N499="גמר מלא סטנדרט",".GMS",IF(N499="גמר מלא טיוב חומרים",".GMC",IF(N499="גמר מינימלי",".GM",IF(N499="דירת שיווק",".DS","")))),""),".",VLOOKUP(Check[[#This Row],[טיפוס]],Tipus[],5,FALSE),".",VLOOKUP(Check[[#This Row],[מגדל]],Tower,2,FALSE),".Ap.",Check[[#This Row],[מספר דירה]])</f>
        <v>S.S.3G.TN.Ap.160</v>
      </c>
      <c r="B499" s="13" t="str">
        <f>_xlfn.CONCAT(VLOOKUP(Check[[#This Row],[סטטוס]],Sold,2,FALSE),IF(Check[[#This Row],[סטטוס]]="פנויה",IF(N499="גמר מלא סטנדרט",".GMS",IF(N499="גמר מלא טיוב חומרים",".GMC",IF(N499="גמר מינימלי",".GM",IF(N499="דירת שיווק",".DS","")))),""),IF(M499="זומן לטרום",".ZLT",IF(M499="טרום מסירה",".TM",IF(M499="טרום מסירה מהנדס",".TMM",IF(M499="מסירת חזקה",".MH",IF(M499="מסירת חזקה מהנדס",".MHM",""))))),".",VLOOKUP(Check[[#This Row],[טיפוס]],Tipus[],5,FALSE),".",VLOOKUP(Check[[#This Row],[מגדל]],Tower,2,FALSE),".Ap.",Check[[#This Row],[מספר דירה]])</f>
        <v>S.S.3G.TN.Ap.160</v>
      </c>
      <c r="C499" s="3" t="s">
        <v>56</v>
      </c>
      <c r="D499" s="3">
        <v>20</v>
      </c>
      <c r="E499" s="4">
        <v>160</v>
      </c>
      <c r="F499" s="3">
        <v>2007</v>
      </c>
      <c r="G499" s="3" t="s">
        <v>22</v>
      </c>
      <c r="H499" s="5">
        <f>VLOOKUP(Check[[#This Row],[טיפוס]],Tipus[],2,FALSE)</f>
        <v>3</v>
      </c>
      <c r="I499" s="5" t="str">
        <f>VLOOKUP(Check[[#This Row],[טיפוס]],Tipus[],3,FALSE)</f>
        <v>סטנדרט</v>
      </c>
      <c r="J499" s="5" t="str">
        <f>VLOOKUP(Check[[#This Row],[טיפוס]],Tipus[],4,FALSE)</f>
        <v>E</v>
      </c>
      <c r="K499" s="3" t="str">
        <f>IF(Check[[#This Row],[סטטוס2]]="הולד","פנויה",Check[[#This Row],[סטטוס2]])</f>
        <v>מכורה</v>
      </c>
      <c r="L499" s="382" t="s">
        <v>130</v>
      </c>
      <c r="M499" s="382"/>
      <c r="N499" s="383"/>
      <c r="O499" s="383"/>
      <c r="P499" s="411"/>
      <c r="Q499" s="411"/>
      <c r="R499" s="383"/>
      <c r="S499" s="390">
        <v>44472</v>
      </c>
      <c r="T499" s="390" t="s">
        <v>740</v>
      </c>
      <c r="U499" s="387" t="s">
        <v>741</v>
      </c>
      <c r="V499" s="387"/>
      <c r="W499" s="387"/>
    </row>
    <row r="500" spans="1:23" x14ac:dyDescent="0.2">
      <c r="A500" s="13" t="str">
        <f>_xlfn.CONCAT(VLOOKUP(Check[[#This Row],[סטטוס]],Sold,2,FALSE),IF(Check[[#This Row],[סטטוס]]="פנויה",IF(N500="גמר מלא סטנדרט",".GMS",IF(N500="גמר מלא טיוב חומרים",".GMC",IF(N500="גמר מינימלי",".GM",IF(N500="דירת שיווק",".DS","")))),""),".",VLOOKUP(Check[[#This Row],[טיפוס]],Tipus[],5,FALSE),".",VLOOKUP(Check[[#This Row],[מגדל]],Tower,2,FALSE),".Ap.",Check[[#This Row],[מספר דירה]])</f>
        <v>S.S.3F.TN.Ap.161</v>
      </c>
      <c r="B500" s="13" t="str">
        <f>_xlfn.CONCAT(VLOOKUP(Check[[#This Row],[סטטוס]],Sold,2,FALSE),IF(Check[[#This Row],[סטטוס]]="פנויה",IF(N500="גמר מלא סטנדרט",".GMS",IF(N500="גמר מלא טיוב חומרים",".GMC",IF(N500="גמר מינימלי",".GM",IF(N500="דירת שיווק",".DS","")))),""),IF(M500="זומן לטרום",".ZLT",IF(M500="טרום מסירה",".TM",IF(M500="טרום מסירה מהנדס",".TMM",IF(M500="מסירת חזקה",".MH",IF(M500="מסירת חזקה מהנדס",".MHM",""))))),".",VLOOKUP(Check[[#This Row],[טיפוס]],Tipus[],5,FALSE),".",VLOOKUP(Check[[#This Row],[מגדל]],Tower,2,FALSE),".Ap.",Check[[#This Row],[מספר דירה]])</f>
        <v>S.S.3F.TN.Ap.161</v>
      </c>
      <c r="C500" s="3" t="s">
        <v>56</v>
      </c>
      <c r="D500" s="3">
        <v>20</v>
      </c>
      <c r="E500" s="4">
        <v>161</v>
      </c>
      <c r="F500" s="3">
        <v>2001</v>
      </c>
      <c r="G500" s="5" t="s">
        <v>23</v>
      </c>
      <c r="H500" s="5">
        <f>VLOOKUP(Check[[#This Row],[טיפוס]],Tipus[],2,FALSE)</f>
        <v>3</v>
      </c>
      <c r="I500" s="5" t="str">
        <f>VLOOKUP(Check[[#This Row],[טיפוס]],Tipus[],3,FALSE)</f>
        <v>סטנדרט</v>
      </c>
      <c r="J500" s="5" t="str">
        <f>VLOOKUP(Check[[#This Row],[טיפוס]],Tipus[],4,FALSE)</f>
        <v>G</v>
      </c>
      <c r="K500" s="3" t="str">
        <f>IF(Check[[#This Row],[סטטוס2]]="הולד","פנויה",Check[[#This Row],[סטטוס2]])</f>
        <v>מכורה</v>
      </c>
      <c r="L500" s="382" t="s">
        <v>130</v>
      </c>
      <c r="M500" s="382"/>
      <c r="N500" s="383"/>
      <c r="O500" s="383"/>
      <c r="P500" s="411"/>
      <c r="Q500" s="411"/>
      <c r="R500" s="383"/>
      <c r="S500" s="390">
        <v>44279</v>
      </c>
      <c r="T500" s="390" t="s">
        <v>742</v>
      </c>
      <c r="U500" s="387" t="s">
        <v>743</v>
      </c>
      <c r="V500" s="387"/>
      <c r="W500" s="387"/>
    </row>
    <row r="501" spans="1:23" x14ac:dyDescent="0.2">
      <c r="A501" s="13" t="str">
        <f>_xlfn.CONCAT(VLOOKUP(Check[[#This Row],[סטטוס]],Sold,2,FALSE),IF(Check[[#This Row],[סטטוס]]="פנויה",IF(N501="גמר מלא סטנדרט",".GMS",IF(N501="גמר מלא טיוב חומרים",".GMC",IF(N501="גמר מינימלי",".GM",IF(N501="דירת שיווק",".DS","")))),""),".",VLOOKUP(Check[[#This Row],[טיפוס]],Tipus[],5,FALSE),".",VLOOKUP(Check[[#This Row],[מגדל]],Tower,2,FALSE),".Ap.",Check[[#This Row],[מספר דירה]])</f>
        <v>S.S.5B.TN.Ap.162</v>
      </c>
      <c r="B501" s="13" t="str">
        <f>_xlfn.CONCAT(VLOOKUP(Check[[#This Row],[סטטוס]],Sold,2,FALSE),IF(Check[[#This Row],[סטטוס]]="פנויה",IF(N501="גמר מלא סטנדרט",".GMS",IF(N501="גמר מלא טיוב חומרים",".GMC",IF(N501="גמר מינימלי",".GM",IF(N501="דירת שיווק",".DS","")))),""),IF(M501="זומן לטרום",".ZLT",IF(M501="טרום מסירה",".TM",IF(M501="טרום מסירה מהנדס",".TMM",IF(M501="מסירת חזקה",".MH",IF(M501="מסירת חזקה מהנדס",".MHM",""))))),".",VLOOKUP(Check[[#This Row],[טיפוס]],Tipus[],5,FALSE),".",VLOOKUP(Check[[#This Row],[מגדל]],Tower,2,FALSE),".Ap.",Check[[#This Row],[מספר דירה]])</f>
        <v>S.S.5B.TN.Ap.162</v>
      </c>
      <c r="C501" s="3" t="s">
        <v>56</v>
      </c>
      <c r="D501" s="3">
        <v>20</v>
      </c>
      <c r="E501" s="4">
        <v>162</v>
      </c>
      <c r="F501" s="3">
        <v>2002</v>
      </c>
      <c r="G501" s="5" t="s">
        <v>24</v>
      </c>
      <c r="H501" s="5">
        <f>VLOOKUP(Check[[#This Row],[טיפוס]],Tipus[],2,FALSE)</f>
        <v>5</v>
      </c>
      <c r="I501" s="5" t="str">
        <f>VLOOKUP(Check[[#This Row],[טיפוס]],Tipus[],3,FALSE)</f>
        <v>סטנדרט</v>
      </c>
      <c r="J501" s="5" t="str">
        <f>VLOOKUP(Check[[#This Row],[טיפוס]],Tipus[],4,FALSE)</f>
        <v>H</v>
      </c>
      <c r="K501" s="3" t="str">
        <f>IF(Check[[#This Row],[סטטוס2]]="הולד","פנויה",Check[[#This Row],[סטטוס2]])</f>
        <v>מכורה</v>
      </c>
      <c r="L501" s="382" t="s">
        <v>130</v>
      </c>
      <c r="M501" s="382"/>
      <c r="N501" s="383"/>
      <c r="O501" s="383"/>
      <c r="P501" s="411"/>
      <c r="Q501" s="411"/>
      <c r="R501" s="383"/>
      <c r="S501" s="390">
        <v>44250</v>
      </c>
      <c r="T501" s="390" t="s">
        <v>744</v>
      </c>
      <c r="U501" s="387" t="s">
        <v>745</v>
      </c>
      <c r="V501" s="387" t="s">
        <v>746</v>
      </c>
      <c r="W501" s="387"/>
    </row>
    <row r="502" spans="1:23" x14ac:dyDescent="0.2">
      <c r="A502" s="13" t="str">
        <f>_xlfn.CONCAT(VLOOKUP(Check[[#This Row],[סטטוס]],Sold,2,FALSE),IF(Check[[#This Row],[סטטוס]]="פנויה",IF(N502="גמר מלא סטנדרט",".GMS",IF(N502="גמר מלא טיוב חומרים",".GMC",IF(N502="גמר מינימלי",".GM",IF(N502="דירת שיווק",".DS","")))),""),".",VLOOKUP(Check[[#This Row],[טיפוס]],Tipus[],5,FALSE),".",VLOOKUP(Check[[#This Row],[מגדל]],Tower,2,FALSE),".Ap.",Check[[#This Row],[מספר דירה]])</f>
        <v>V.GM.S.5A.TN.Ap.163</v>
      </c>
      <c r="B502" s="13" t="str">
        <f>_xlfn.CONCAT(VLOOKUP(Check[[#This Row],[סטטוס]],Sold,2,FALSE),IF(Check[[#This Row],[סטטוס]]="פנויה",IF(N502="גמר מלא סטנדרט",".GMS",IF(N502="גמר מלא טיוב חומרים",".GMC",IF(N502="גמר מינימלי",".GM",IF(N502="דירת שיווק",".DS","")))),""),IF(M502="זומן לטרום",".ZLT",IF(M502="טרום מסירה",".TM",IF(M502="טרום מסירה מהנדס",".TMM",IF(M502="מסירת חזקה",".MH",IF(M502="מסירת חזקה מהנדס",".MHM",""))))),".",VLOOKUP(Check[[#This Row],[טיפוס]],Tipus[],5,FALSE),".",VLOOKUP(Check[[#This Row],[מגדל]],Tower,2,FALSE),".Ap.",Check[[#This Row],[מספר דירה]])</f>
        <v>V.GM.S.5A.TN.Ap.163</v>
      </c>
      <c r="C502" s="3" t="s">
        <v>56</v>
      </c>
      <c r="D502" s="3">
        <v>20</v>
      </c>
      <c r="E502" s="4">
        <v>163</v>
      </c>
      <c r="F502" s="3">
        <v>2003</v>
      </c>
      <c r="G502" s="5" t="s">
        <v>25</v>
      </c>
      <c r="H502" s="5">
        <f>VLOOKUP(Check[[#This Row],[טיפוס]],Tipus[],2,FALSE)</f>
        <v>5</v>
      </c>
      <c r="I502" s="5" t="str">
        <f>VLOOKUP(Check[[#This Row],[טיפוס]],Tipus[],3,FALSE)</f>
        <v>סטנדרט</v>
      </c>
      <c r="J502" s="5" t="str">
        <f>VLOOKUP(Check[[#This Row],[טיפוס]],Tipus[],4,FALSE)</f>
        <v>J</v>
      </c>
      <c r="K502" s="3" t="str">
        <f>IF(Check[[#This Row],[סטטוס2]]="הולד","פנויה",Check[[#This Row],[סטטוס2]])</f>
        <v>פנויה</v>
      </c>
      <c r="L502" s="382" t="s">
        <v>108</v>
      </c>
      <c r="M502" s="382"/>
      <c r="N502" t="s">
        <v>1366</v>
      </c>
      <c r="O502" s="383"/>
      <c r="P502" s="416" t="s">
        <v>1387</v>
      </c>
      <c r="Q502" s="416"/>
      <c r="R502" s="383"/>
      <c r="S502" s="390"/>
      <c r="T502" s="390" t="s">
        <v>214</v>
      </c>
      <c r="U502" s="387"/>
      <c r="V502" s="387"/>
      <c r="W502" s="387"/>
    </row>
    <row r="503" spans="1:23" x14ac:dyDescent="0.2">
      <c r="A503" s="13" t="str">
        <f>_xlfn.CONCAT(VLOOKUP(Check[[#This Row],[סטטוס]],Sold,2,FALSE),IF(Check[[#This Row],[סטטוס]]="פנויה",IF(N503="גמר מלא סטנדרט",".GMS",IF(N503="גמר מלא טיוב חומרים",".GMC",IF(N503="גמר מינימלי",".GM",IF(N503="דירת שיווק",".DS","")))),""),".",VLOOKUP(Check[[#This Row],[טיפוס]],Tipus[],5,FALSE),".",VLOOKUP(Check[[#This Row],[מגדל]],Tower,2,FALSE),".Ap.",Check[[#This Row],[מספר דירה]])</f>
        <v>S.S.4C.TN.Ap.164</v>
      </c>
      <c r="B503" s="13" t="str">
        <f>_xlfn.CONCAT(VLOOKUP(Check[[#This Row],[סטטוס]],Sold,2,FALSE),IF(Check[[#This Row],[סטטוס]]="פנויה",IF(N503="גמר מלא סטנדרט",".GMS",IF(N503="גמר מלא טיוב חומרים",".GMC",IF(N503="גמר מינימלי",".GM",IF(N503="דירת שיווק",".DS","")))),""),IF(M503="זומן לטרום",".ZLT",IF(M503="טרום מסירה",".TM",IF(M503="טרום מסירה מהנדס",".TMM",IF(M503="מסירת חזקה",".MH",IF(M503="מסירת חזקה מהנדס",".MHM",""))))),".",VLOOKUP(Check[[#This Row],[טיפוס]],Tipus[],5,FALSE),".",VLOOKUP(Check[[#This Row],[מגדל]],Tower,2,FALSE),".Ap.",Check[[#This Row],[מספר דירה]])</f>
        <v>S.S.4C.TN.Ap.164</v>
      </c>
      <c r="C503" s="3" t="s">
        <v>56</v>
      </c>
      <c r="D503" s="3">
        <v>20</v>
      </c>
      <c r="E503" s="4">
        <v>164</v>
      </c>
      <c r="F503" s="3">
        <v>2004</v>
      </c>
      <c r="G503" s="3" t="s">
        <v>26</v>
      </c>
      <c r="H503" s="5">
        <f>VLOOKUP(Check[[#This Row],[טיפוס]],Tipus[],2,FALSE)</f>
        <v>4</v>
      </c>
      <c r="I503" s="5" t="str">
        <f>VLOOKUP(Check[[#This Row],[טיפוס]],Tipus[],3,FALSE)</f>
        <v>סטנדרט</v>
      </c>
      <c r="J503" s="5" t="str">
        <f>VLOOKUP(Check[[#This Row],[טיפוס]],Tipus[],4,FALSE)</f>
        <v>A</v>
      </c>
      <c r="K503" s="3" t="str">
        <f>IF(Check[[#This Row],[סטטוס2]]="הולד","פנויה",Check[[#This Row],[סטטוס2]])</f>
        <v>מכורה</v>
      </c>
      <c r="L503" s="382" t="s">
        <v>130</v>
      </c>
      <c r="M503" s="382"/>
      <c r="N503" s="383"/>
      <c r="O503" s="383"/>
      <c r="P503" s="411"/>
      <c r="Q503" s="411"/>
      <c r="R503" s="383"/>
      <c r="S503" s="390">
        <v>44245</v>
      </c>
      <c r="T503" s="390" t="s">
        <v>747</v>
      </c>
      <c r="U503" s="387" t="s">
        <v>748</v>
      </c>
      <c r="V503" s="387" t="s">
        <v>749</v>
      </c>
      <c r="W503" s="387"/>
    </row>
    <row r="504" spans="1:23" x14ac:dyDescent="0.2">
      <c r="A504" s="13" t="str">
        <f>_xlfn.CONCAT(VLOOKUP(Check[[#This Row],[סטטוס]],Sold,2,FALSE),IF(Check[[#This Row],[סטטוס]]="פנויה",IF(N504="גמר מלא סטנדרט",".GMS",IF(N504="גמר מלא טיוב חומרים",".GMC",IF(N504="גמר מינימלי",".GM",IF(N504="דירת שיווק",".DS","")))),""),".",VLOOKUP(Check[[#This Row],[טיפוס]],Tipus[],5,FALSE),".",VLOOKUP(Check[[#This Row],[מגדל]],Tower,2,FALSE),".Ap.",Check[[#This Row],[מספר דירה]])</f>
        <v>S.S.2D.TN.Ap.165</v>
      </c>
      <c r="B504" s="13" t="str">
        <f>_xlfn.CONCAT(VLOOKUP(Check[[#This Row],[סטטוס]],Sold,2,FALSE),IF(Check[[#This Row],[סטטוס]]="פנויה",IF(N504="גמר מלא סטנדרט",".GMS",IF(N504="גמר מלא טיוב חומרים",".GMC",IF(N504="גמר מינימלי",".GM",IF(N504="דירת שיווק",".DS","")))),""),IF(M504="זומן לטרום",".ZLT",IF(M504="טרום מסירה",".TM",IF(M504="טרום מסירה מהנדס",".TMM",IF(M504="מסירת חזקה",".MH",IF(M504="מסירת חזקה מהנדס",".MHM",""))))),".",VLOOKUP(Check[[#This Row],[טיפוס]],Tipus[],5,FALSE),".",VLOOKUP(Check[[#This Row],[מגדל]],Tower,2,FALSE),".Ap.",Check[[#This Row],[מספר דירה]])</f>
        <v>S.S.2D.TN.Ap.165</v>
      </c>
      <c r="C504" s="3" t="s">
        <v>56</v>
      </c>
      <c r="D504" s="3">
        <v>20</v>
      </c>
      <c r="E504" s="4">
        <v>165</v>
      </c>
      <c r="F504" s="3">
        <v>2005</v>
      </c>
      <c r="G504" s="5" t="s">
        <v>10</v>
      </c>
      <c r="H504" s="5">
        <f>VLOOKUP(Check[[#This Row],[טיפוס]],Tipus[],2,FALSE)</f>
        <v>2</v>
      </c>
      <c r="I504" s="5" t="str">
        <f>VLOOKUP(Check[[#This Row],[טיפוס]],Tipus[],3,FALSE)</f>
        <v>סטנדרט</v>
      </c>
      <c r="J504" s="5" t="str">
        <f>VLOOKUP(Check[[#This Row],[טיפוס]],Tipus[],4,FALSE)</f>
        <v>C</v>
      </c>
      <c r="K504" s="3" t="str">
        <f>IF(Check[[#This Row],[סטטוס2]]="הולד","פנויה",Check[[#This Row],[סטטוס2]])</f>
        <v>מכורה</v>
      </c>
      <c r="L504" s="382" t="s">
        <v>130</v>
      </c>
      <c r="M504" s="382"/>
      <c r="N504" s="383"/>
      <c r="O504" s="383"/>
      <c r="P504" s="411"/>
      <c r="Q504" s="411"/>
      <c r="R504" s="383"/>
      <c r="S504" s="390">
        <v>44762</v>
      </c>
      <c r="T504" s="390" t="s">
        <v>1071</v>
      </c>
      <c r="U504" s="387"/>
      <c r="V504" s="387"/>
      <c r="W504" s="387"/>
    </row>
    <row r="505" spans="1:23" x14ac:dyDescent="0.2">
      <c r="A505" s="13" t="str">
        <f>_xlfn.CONCAT(VLOOKUP(Check[[#This Row],[סטטוס]],Sold,2,FALSE),IF(Check[[#This Row],[סטטוס]]="פנויה",IF(N505="גמר מלא סטנדרט",".GMS",IF(N505="גמר מלא טיוב חומרים",".GMC",IF(N505="גמר מינימלי",".GM",IF(N505="דירת שיווק",".DS","")))),""),".",VLOOKUP(Check[[#This Row],[טיפוס]],Tipus[],5,FALSE),".",VLOOKUP(Check[[#This Row],[מגדל]],Tower,2,FALSE),".Ap.",Check[[#This Row],[מספר דירה]])</f>
        <v>V.GMS.S.3A.TN.Ap.166</v>
      </c>
      <c r="B505" s="13" t="str">
        <f>_xlfn.CONCAT(VLOOKUP(Check[[#This Row],[סטטוס]],Sold,2,FALSE),IF(Check[[#This Row],[סטטוס]]="פנויה",IF(N505="גמר מלא סטנדרט",".GMS",IF(N505="גמר מלא טיוב חומרים",".GMC",IF(N505="גמר מינימלי",".GM",IF(N505="דירת שיווק",".DS","")))),""),IF(M505="זומן לטרום",".ZLT",IF(M505="טרום מסירה",".TM",IF(M505="טרום מסירה מהנדס",".TMM",IF(M505="מסירת חזקה",".MH",IF(M505="מסירת חזקה מהנדס",".MHM",""))))),".",VLOOKUP(Check[[#This Row],[טיפוס]],Tipus[],5,FALSE),".",VLOOKUP(Check[[#This Row],[מגדל]],Tower,2,FALSE),".Ap.",Check[[#This Row],[מספר דירה]])</f>
        <v>V.GMS.S.3A.TN.Ap.166</v>
      </c>
      <c r="C505" s="3" t="s">
        <v>56</v>
      </c>
      <c r="D505" s="3">
        <v>21</v>
      </c>
      <c r="E505" s="4">
        <v>166</v>
      </c>
      <c r="F505" s="3">
        <v>2106</v>
      </c>
      <c r="G505" s="3" t="s">
        <v>9</v>
      </c>
      <c r="H505" s="5">
        <f>VLOOKUP(Check[[#This Row],[טיפוס]],Tipus[],2,FALSE)</f>
        <v>3</v>
      </c>
      <c r="I505" s="5" t="str">
        <f>VLOOKUP(Check[[#This Row],[טיפוס]],Tipus[],3,FALSE)</f>
        <v>סטנדרט</v>
      </c>
      <c r="J505" s="5" t="str">
        <f>VLOOKUP(Check[[#This Row],[טיפוס]],Tipus[],4,FALSE)</f>
        <v>D</v>
      </c>
      <c r="K505" s="3" t="str">
        <f>IF(Check[[#This Row],[סטטוס2]]="הולד","פנויה",Check[[#This Row],[סטטוס2]])</f>
        <v>פנויה</v>
      </c>
      <c r="L505" s="382" t="s">
        <v>108</v>
      </c>
      <c r="M505" s="382"/>
      <c r="N505" t="s">
        <v>1367</v>
      </c>
      <c r="O505" s="383" t="s">
        <v>1390</v>
      </c>
      <c r="P505" s="410" t="s">
        <v>1389</v>
      </c>
      <c r="Q505" s="410"/>
      <c r="R505" s="383"/>
      <c r="S505" s="390"/>
      <c r="T505" s="390" t="s">
        <v>214</v>
      </c>
      <c r="U505" s="387"/>
      <c r="V505" s="387"/>
      <c r="W505" s="387"/>
    </row>
    <row r="506" spans="1:23" x14ac:dyDescent="0.2">
      <c r="A506" s="13" t="str">
        <f>_xlfn.CONCAT(VLOOKUP(Check[[#This Row],[סטטוס]],Sold,2,FALSE),IF(Check[[#This Row],[סטטוס]]="פנויה",IF(N506="גמר מלא סטנדרט",".GMS",IF(N506="גמר מלא טיוב חומרים",".GMC",IF(N506="גמר מינימלי",".GM",IF(N506="דירת שיווק",".DS","")))),""),".",VLOOKUP(Check[[#This Row],[טיפוס]],Tipus[],5,FALSE),".",VLOOKUP(Check[[#This Row],[מגדל]],Tower,2,FALSE),".Ap.",Check[[#This Row],[מספר דירה]])</f>
        <v>S.S.3G.TN.Ap.167</v>
      </c>
      <c r="B506" s="13" t="str">
        <f>_xlfn.CONCAT(VLOOKUP(Check[[#This Row],[סטטוס]],Sold,2,FALSE),IF(Check[[#This Row],[סטטוס]]="פנויה",IF(N506="גמר מלא סטנדרט",".GMS",IF(N506="גמר מלא טיוב חומרים",".GMC",IF(N506="גמר מינימלי",".GM",IF(N506="דירת שיווק",".DS","")))),""),IF(M506="זומן לטרום",".ZLT",IF(M506="טרום מסירה",".TM",IF(M506="טרום מסירה מהנדס",".TMM",IF(M506="מסירת חזקה",".MH",IF(M506="מסירת חזקה מהנדס",".MHM",""))))),".",VLOOKUP(Check[[#This Row],[טיפוס]],Tipus[],5,FALSE),".",VLOOKUP(Check[[#This Row],[מגדל]],Tower,2,FALSE),".Ap.",Check[[#This Row],[מספר דירה]])</f>
        <v>S.S.3G.TN.Ap.167</v>
      </c>
      <c r="C506" s="3" t="s">
        <v>56</v>
      </c>
      <c r="D506" s="3">
        <v>21</v>
      </c>
      <c r="E506" s="4">
        <v>167</v>
      </c>
      <c r="F506" s="3">
        <v>2107</v>
      </c>
      <c r="G506" s="3" t="s">
        <v>22</v>
      </c>
      <c r="H506" s="5">
        <f>VLOOKUP(Check[[#This Row],[טיפוס]],Tipus[],2,FALSE)</f>
        <v>3</v>
      </c>
      <c r="I506" s="5" t="str">
        <f>VLOOKUP(Check[[#This Row],[טיפוס]],Tipus[],3,FALSE)</f>
        <v>סטנדרט</v>
      </c>
      <c r="J506" s="5" t="str">
        <f>VLOOKUP(Check[[#This Row],[טיפוס]],Tipus[],4,FALSE)</f>
        <v>E</v>
      </c>
      <c r="K506" s="3" t="str">
        <f>IF(Check[[#This Row],[סטטוס2]]="הולד","פנויה",Check[[#This Row],[סטטוס2]])</f>
        <v>מכורה</v>
      </c>
      <c r="L506" s="382" t="s">
        <v>130</v>
      </c>
      <c r="M506" s="382"/>
      <c r="N506" s="383"/>
      <c r="O506" s="383"/>
      <c r="P506" s="411"/>
      <c r="Q506" s="411"/>
      <c r="R506" s="383"/>
      <c r="S506" s="390">
        <v>44483</v>
      </c>
      <c r="T506" s="390" t="s">
        <v>750</v>
      </c>
      <c r="U506" s="387" t="s">
        <v>751</v>
      </c>
      <c r="V506" s="387"/>
      <c r="W506" s="387"/>
    </row>
    <row r="507" spans="1:23" x14ac:dyDescent="0.2">
      <c r="A507" s="13" t="str">
        <f>_xlfn.CONCAT(VLOOKUP(Check[[#This Row],[סטטוס]],Sold,2,FALSE),IF(Check[[#This Row],[סטטוס]]="פנויה",IF(N507="גמר מלא סטנדרט",".GMS",IF(N507="גמר מלא טיוב חומרים",".GMC",IF(N507="גמר מינימלי",".GM",IF(N507="דירת שיווק",".DS","")))),""),".",VLOOKUP(Check[[#This Row],[טיפוס]],Tipus[],5,FALSE),".",VLOOKUP(Check[[#This Row],[מגדל]],Tower,2,FALSE),".Ap.",Check[[#This Row],[מספר דירה]])</f>
        <v>S.S.3F.TN.Ap.168</v>
      </c>
      <c r="B507" s="13" t="str">
        <f>_xlfn.CONCAT(VLOOKUP(Check[[#This Row],[סטטוס]],Sold,2,FALSE),IF(Check[[#This Row],[סטטוס]]="פנויה",IF(N507="גמר מלא סטנדרט",".GMS",IF(N507="גמר מלא טיוב חומרים",".GMC",IF(N507="גמר מינימלי",".GM",IF(N507="דירת שיווק",".DS","")))),""),IF(M507="זומן לטרום",".ZLT",IF(M507="טרום מסירה",".TM",IF(M507="טרום מסירה מהנדס",".TMM",IF(M507="מסירת חזקה",".MH",IF(M507="מסירת חזקה מהנדס",".MHM",""))))),".",VLOOKUP(Check[[#This Row],[טיפוס]],Tipus[],5,FALSE),".",VLOOKUP(Check[[#This Row],[מגדל]],Tower,2,FALSE),".Ap.",Check[[#This Row],[מספר דירה]])</f>
        <v>S.S.3F.TN.Ap.168</v>
      </c>
      <c r="C507" s="3" t="s">
        <v>56</v>
      </c>
      <c r="D507" s="3">
        <v>21</v>
      </c>
      <c r="E507" s="4">
        <v>168</v>
      </c>
      <c r="F507" s="3">
        <v>2101</v>
      </c>
      <c r="G507" s="5" t="s">
        <v>23</v>
      </c>
      <c r="H507" s="5">
        <f>VLOOKUP(Check[[#This Row],[טיפוס]],Tipus[],2,FALSE)</f>
        <v>3</v>
      </c>
      <c r="I507" s="5" t="str">
        <f>VLOOKUP(Check[[#This Row],[טיפוס]],Tipus[],3,FALSE)</f>
        <v>סטנדרט</v>
      </c>
      <c r="J507" s="5" t="str">
        <f>VLOOKUP(Check[[#This Row],[טיפוס]],Tipus[],4,FALSE)</f>
        <v>G</v>
      </c>
      <c r="K507" s="3" t="str">
        <f>IF(Check[[#This Row],[סטטוס2]]="הולד","פנויה",Check[[#This Row],[סטטוס2]])</f>
        <v>מכורה</v>
      </c>
      <c r="L507" s="382" t="s">
        <v>130</v>
      </c>
      <c r="M507" s="382"/>
      <c r="N507" s="383"/>
      <c r="O507" s="383"/>
      <c r="P507" s="411"/>
      <c r="Q507" s="411"/>
      <c r="R507" s="383"/>
      <c r="S507" s="390">
        <v>44364</v>
      </c>
      <c r="T507" s="390" t="s">
        <v>1071</v>
      </c>
      <c r="U507" s="387" t="s">
        <v>752</v>
      </c>
      <c r="V507" s="387"/>
      <c r="W507" s="387"/>
    </row>
    <row r="508" spans="1:23" x14ac:dyDescent="0.2">
      <c r="A508" s="13" t="str">
        <f>_xlfn.CONCAT(VLOOKUP(Check[[#This Row],[סטטוס]],Sold,2,FALSE),IF(Check[[#This Row],[סטטוס]]="פנויה",IF(N508="גמר מלא סטנדרט",".GMS",IF(N508="גמר מלא טיוב חומרים",".GMC",IF(N508="גמר מינימלי",".GM",IF(N508="דירת שיווק",".DS","")))),""),".",VLOOKUP(Check[[#This Row],[טיפוס]],Tipus[],5,FALSE),".",VLOOKUP(Check[[#This Row],[מגדל]],Tower,2,FALSE),".Ap.",Check[[#This Row],[מספר דירה]])</f>
        <v>S.S.5B.TN.Ap.169</v>
      </c>
      <c r="B508" s="13" t="str">
        <f>_xlfn.CONCAT(VLOOKUP(Check[[#This Row],[סטטוס]],Sold,2,FALSE),IF(Check[[#This Row],[סטטוס]]="פנויה",IF(N508="גמר מלא סטנדרט",".GMS",IF(N508="גמר מלא טיוב חומרים",".GMC",IF(N508="גמר מינימלי",".GM",IF(N508="דירת שיווק",".DS","")))),""),IF(M508="זומן לטרום",".ZLT",IF(M508="טרום מסירה",".TM",IF(M508="טרום מסירה מהנדס",".TMM",IF(M508="מסירת חזקה",".MH",IF(M508="מסירת חזקה מהנדס",".MHM",""))))),".",VLOOKUP(Check[[#This Row],[טיפוס]],Tipus[],5,FALSE),".",VLOOKUP(Check[[#This Row],[מגדל]],Tower,2,FALSE),".Ap.",Check[[#This Row],[מספר דירה]])</f>
        <v>S.S.5B.TN.Ap.169</v>
      </c>
      <c r="C508" s="3" t="s">
        <v>56</v>
      </c>
      <c r="D508" s="3">
        <v>21</v>
      </c>
      <c r="E508" s="4">
        <v>169</v>
      </c>
      <c r="F508" s="3">
        <v>2102</v>
      </c>
      <c r="G508" s="5" t="s">
        <v>24</v>
      </c>
      <c r="H508" s="5">
        <f>VLOOKUP(Check[[#This Row],[טיפוס]],Tipus[],2,FALSE)</f>
        <v>5</v>
      </c>
      <c r="I508" s="5" t="str">
        <f>VLOOKUP(Check[[#This Row],[טיפוס]],Tipus[],3,FALSE)</f>
        <v>סטנדרט</v>
      </c>
      <c r="J508" s="5" t="str">
        <f>VLOOKUP(Check[[#This Row],[טיפוס]],Tipus[],4,FALSE)</f>
        <v>H</v>
      </c>
      <c r="K508" s="3" t="str">
        <f>IF(Check[[#This Row],[סטטוס2]]="הולד","פנויה",Check[[#This Row],[סטטוס2]])</f>
        <v>מכורה</v>
      </c>
      <c r="L508" s="382" t="s">
        <v>130</v>
      </c>
      <c r="M508" s="382"/>
      <c r="N508" s="383"/>
      <c r="O508" s="383"/>
      <c r="P508" s="411"/>
      <c r="Q508" s="411"/>
      <c r="R508" s="383"/>
      <c r="S508" s="390">
        <v>44273</v>
      </c>
      <c r="T508" s="390" t="s">
        <v>753</v>
      </c>
      <c r="U508" s="387" t="s">
        <v>754</v>
      </c>
      <c r="V508" s="387" t="s">
        <v>755</v>
      </c>
      <c r="W508" s="387"/>
    </row>
    <row r="509" spans="1:23" x14ac:dyDescent="0.2">
      <c r="A509" s="13" t="str">
        <f>_xlfn.CONCAT(VLOOKUP(Check[[#This Row],[סטטוס]],Sold,2,FALSE),IF(Check[[#This Row],[סטטוס]]="פנויה",IF(N509="גמר מלא סטנדרט",".GMS",IF(N509="גמר מלא טיוב חומרים",".GMC",IF(N509="גמר מינימלי",".GM",IF(N509="דירת שיווק",".DS","")))),""),".",VLOOKUP(Check[[#This Row],[טיפוס]],Tipus[],5,FALSE),".",VLOOKUP(Check[[#This Row],[מגדל]],Tower,2,FALSE),".Ap.",Check[[#This Row],[מספר דירה]])</f>
        <v>S.S.5A.TN.Ap.170</v>
      </c>
      <c r="B509" s="13" t="str">
        <f>_xlfn.CONCAT(VLOOKUP(Check[[#This Row],[סטטוס]],Sold,2,FALSE),IF(Check[[#This Row],[סטטוס]]="פנויה",IF(N509="גמר מלא סטנדרט",".GMS",IF(N509="גמר מלא טיוב חומרים",".GMC",IF(N509="גמר מינימלי",".GM",IF(N509="דירת שיווק",".DS","")))),""),IF(M509="זומן לטרום",".ZLT",IF(M509="טרום מסירה",".TM",IF(M509="טרום מסירה מהנדס",".TMM",IF(M509="מסירת חזקה",".MH",IF(M509="מסירת חזקה מהנדס",".MHM",""))))),".",VLOOKUP(Check[[#This Row],[טיפוס]],Tipus[],5,FALSE),".",VLOOKUP(Check[[#This Row],[מגדל]],Tower,2,FALSE),".Ap.",Check[[#This Row],[מספר דירה]])</f>
        <v>S.S.5A.TN.Ap.170</v>
      </c>
      <c r="C509" s="3" t="s">
        <v>56</v>
      </c>
      <c r="D509" s="3">
        <v>21</v>
      </c>
      <c r="E509" s="4">
        <v>170</v>
      </c>
      <c r="F509" s="3">
        <v>2103</v>
      </c>
      <c r="G509" s="5" t="s">
        <v>25</v>
      </c>
      <c r="H509" s="5">
        <f>VLOOKUP(Check[[#This Row],[טיפוס]],Tipus[],2,FALSE)</f>
        <v>5</v>
      </c>
      <c r="I509" s="5" t="str">
        <f>VLOOKUP(Check[[#This Row],[טיפוס]],Tipus[],3,FALSE)</f>
        <v>סטנדרט</v>
      </c>
      <c r="J509" s="5" t="str">
        <f>VLOOKUP(Check[[#This Row],[טיפוס]],Tipus[],4,FALSE)</f>
        <v>J</v>
      </c>
      <c r="K509" s="3" t="str">
        <f>IF(Check[[#This Row],[סטטוס2]]="הולד","פנויה",Check[[#This Row],[סטטוס2]])</f>
        <v>מכורה</v>
      </c>
      <c r="L509" s="382" t="s">
        <v>130</v>
      </c>
      <c r="M509" s="382"/>
      <c r="N509" s="383"/>
      <c r="O509" s="383"/>
      <c r="P509" s="411"/>
      <c r="Q509" s="411"/>
      <c r="R509" s="383"/>
      <c r="S509" s="390">
        <v>44273</v>
      </c>
      <c r="T509" s="390" t="s">
        <v>595</v>
      </c>
      <c r="U509" s="387" t="s">
        <v>756</v>
      </c>
      <c r="V509" s="387" t="s">
        <v>757</v>
      </c>
      <c r="W509" s="387"/>
    </row>
    <row r="510" spans="1:23" x14ac:dyDescent="0.2">
      <c r="A510" s="13" t="str">
        <f>_xlfn.CONCAT(VLOOKUP(Check[[#This Row],[סטטוס]],Sold,2,FALSE),IF(Check[[#This Row],[סטטוס]]="פנויה",IF(N510="גמר מלא סטנדרט",".GMS",IF(N510="גמר מלא טיוב חומרים",".GMC",IF(N510="גמר מינימלי",".GM",IF(N510="דירת שיווק",".DS","")))),""),".",VLOOKUP(Check[[#This Row],[טיפוס]],Tipus[],5,FALSE),".",VLOOKUP(Check[[#This Row],[מגדל]],Tower,2,FALSE),".Ap.",Check[[#This Row],[מספר דירה]])</f>
        <v>S.S.4C.TN.Ap.171</v>
      </c>
      <c r="B510" s="13" t="str">
        <f>_xlfn.CONCAT(VLOOKUP(Check[[#This Row],[סטטוס]],Sold,2,FALSE),IF(Check[[#This Row],[סטטוס]]="פנויה",IF(N510="גמר מלא סטנדרט",".GMS",IF(N510="גמר מלא טיוב חומרים",".GMC",IF(N510="גמר מינימלי",".GM",IF(N510="דירת שיווק",".DS","")))),""),IF(M510="זומן לטרום",".ZLT",IF(M510="טרום מסירה",".TM",IF(M510="טרום מסירה מהנדס",".TMM",IF(M510="מסירת חזקה",".MH",IF(M510="מסירת חזקה מהנדס",".MHM",""))))),".",VLOOKUP(Check[[#This Row],[טיפוס]],Tipus[],5,FALSE),".",VLOOKUP(Check[[#This Row],[מגדל]],Tower,2,FALSE),".Ap.",Check[[#This Row],[מספר דירה]])</f>
        <v>S.S.4C.TN.Ap.171</v>
      </c>
      <c r="C510" s="3" t="s">
        <v>56</v>
      </c>
      <c r="D510" s="3">
        <v>21</v>
      </c>
      <c r="E510" s="4">
        <v>171</v>
      </c>
      <c r="F510" s="3">
        <v>2104</v>
      </c>
      <c r="G510" s="3" t="s">
        <v>26</v>
      </c>
      <c r="H510" s="5">
        <f>VLOOKUP(Check[[#This Row],[טיפוס]],Tipus[],2,FALSE)</f>
        <v>4</v>
      </c>
      <c r="I510" s="5" t="str">
        <f>VLOOKUP(Check[[#This Row],[טיפוס]],Tipus[],3,FALSE)</f>
        <v>סטנדרט</v>
      </c>
      <c r="J510" s="5" t="str">
        <f>VLOOKUP(Check[[#This Row],[טיפוס]],Tipus[],4,FALSE)</f>
        <v>A</v>
      </c>
      <c r="K510" s="3" t="str">
        <f>IF(Check[[#This Row],[סטטוס2]]="הולד","פנויה",Check[[#This Row],[סטטוס2]])</f>
        <v>מכורה</v>
      </c>
      <c r="L510" s="382" t="s">
        <v>130</v>
      </c>
      <c r="M510" s="382"/>
      <c r="N510" s="383"/>
      <c r="O510" s="383"/>
      <c r="P510" s="411"/>
      <c r="Q510" s="411"/>
      <c r="R510" s="383"/>
      <c r="S510" s="390">
        <v>44327</v>
      </c>
      <c r="T510" s="390" t="s">
        <v>758</v>
      </c>
      <c r="U510" s="387" t="s">
        <v>759</v>
      </c>
      <c r="V510" s="387" t="s">
        <v>760</v>
      </c>
      <c r="W510" s="387"/>
    </row>
    <row r="511" spans="1:23" x14ac:dyDescent="0.2">
      <c r="A511" s="13" t="str">
        <f>_xlfn.CONCAT(VLOOKUP(Check[[#This Row],[סטטוס]],Sold,2,FALSE),IF(Check[[#This Row],[סטטוס]]="פנויה",IF(N511="גמר מלא סטנדרט",".GMS",IF(N511="גמר מלא טיוב חומרים",".GMC",IF(N511="גמר מינימלי",".GM",IF(N511="דירת שיווק",".DS","")))),""),".",VLOOKUP(Check[[#This Row],[טיפוס]],Tipus[],5,FALSE),".",VLOOKUP(Check[[#This Row],[מגדל]],Tower,2,FALSE),".Ap.",Check[[#This Row],[מספר דירה]])</f>
        <v>S.S.2D.TN.Ap.172</v>
      </c>
      <c r="B511" s="13" t="str">
        <f>_xlfn.CONCAT(VLOOKUP(Check[[#This Row],[סטטוס]],Sold,2,FALSE),IF(Check[[#This Row],[סטטוס]]="פנויה",IF(N511="גמר מלא סטנדרט",".GMS",IF(N511="גמר מלא טיוב חומרים",".GMC",IF(N511="גמר מינימלי",".GM",IF(N511="דירת שיווק",".DS","")))),""),IF(M511="זומן לטרום",".ZLT",IF(M511="טרום מסירה",".TM",IF(M511="טרום מסירה מהנדס",".TMM",IF(M511="מסירת חזקה",".MH",IF(M511="מסירת חזקה מהנדס",".MHM",""))))),".",VLOOKUP(Check[[#This Row],[טיפוס]],Tipus[],5,FALSE),".",VLOOKUP(Check[[#This Row],[מגדל]],Tower,2,FALSE),".Ap.",Check[[#This Row],[מספר דירה]])</f>
        <v>S.S.2D.TN.Ap.172</v>
      </c>
      <c r="C511" s="3" t="s">
        <v>56</v>
      </c>
      <c r="D511" s="3">
        <v>21</v>
      </c>
      <c r="E511" s="4">
        <v>172</v>
      </c>
      <c r="F511" s="3">
        <v>2105</v>
      </c>
      <c r="G511" s="5" t="s">
        <v>10</v>
      </c>
      <c r="H511" s="5">
        <f>VLOOKUP(Check[[#This Row],[טיפוס]],Tipus[],2,FALSE)</f>
        <v>2</v>
      </c>
      <c r="I511" s="5" t="str">
        <f>VLOOKUP(Check[[#This Row],[טיפוס]],Tipus[],3,FALSE)</f>
        <v>סטנדרט</v>
      </c>
      <c r="J511" s="5" t="str">
        <f>VLOOKUP(Check[[#This Row],[טיפוס]],Tipus[],4,FALSE)</f>
        <v>C</v>
      </c>
      <c r="K511" s="3" t="str">
        <f>IF(Check[[#This Row],[סטטוס2]]="הולד","פנויה",Check[[#This Row],[סטטוס2]])</f>
        <v>מכורה</v>
      </c>
      <c r="L511" s="382" t="s">
        <v>130</v>
      </c>
      <c r="M511" s="382"/>
      <c r="N511" s="383"/>
      <c r="O511" s="383"/>
      <c r="P511" s="411"/>
      <c r="Q511" s="411"/>
      <c r="R511" s="383"/>
      <c r="S511" s="390">
        <v>44762</v>
      </c>
      <c r="T511" s="390" t="s">
        <v>1071</v>
      </c>
      <c r="U511" s="387"/>
      <c r="V511" s="387"/>
      <c r="W511" s="387"/>
    </row>
    <row r="512" spans="1:23" x14ac:dyDescent="0.2">
      <c r="A512" s="13" t="str">
        <f>_xlfn.CONCAT(VLOOKUP(Check[[#This Row],[סטטוס]],Sold,2,FALSE),IF(Check[[#This Row],[סטטוס]]="פנויה",IF(N512="גמר מלא סטנדרט",".GMS",IF(N512="גמר מלא טיוב חומרים",".GMC",IF(N512="גמר מינימלי",".GM",IF(N512="דירת שיווק",".DS","")))),""),".",VLOOKUP(Check[[#This Row],[טיפוס]],Tipus[],5,FALSE),".",VLOOKUP(Check[[#This Row],[מגדל]],Tower,2,FALSE),".Ap.",Check[[#This Row],[מספר דירה]])</f>
        <v>V.GMS.S.3A.TN.Ap.173</v>
      </c>
      <c r="B512" s="13" t="str">
        <f>_xlfn.CONCAT(VLOOKUP(Check[[#This Row],[סטטוס]],Sold,2,FALSE),IF(Check[[#This Row],[סטטוס]]="פנויה",IF(N512="גמר מלא סטנדרט",".GMS",IF(N512="גמר מלא טיוב חומרים",".GMC",IF(N512="גמר מינימלי",".GM",IF(N512="דירת שיווק",".DS","")))),""),IF(M512="זומן לטרום",".ZLT",IF(M512="טרום מסירה",".TM",IF(M512="טרום מסירה מהנדס",".TMM",IF(M512="מסירת חזקה",".MH",IF(M512="מסירת חזקה מהנדס",".MHM",""))))),".",VLOOKUP(Check[[#This Row],[טיפוס]],Tipus[],5,FALSE),".",VLOOKUP(Check[[#This Row],[מגדל]],Tower,2,FALSE),".Ap.",Check[[#This Row],[מספר דירה]])</f>
        <v>V.GMS.S.3A.TN.Ap.173</v>
      </c>
      <c r="C512" s="3" t="s">
        <v>56</v>
      </c>
      <c r="D512" s="3">
        <v>22</v>
      </c>
      <c r="E512" s="4">
        <v>173</v>
      </c>
      <c r="F512" s="3">
        <v>2206</v>
      </c>
      <c r="G512" s="3" t="s">
        <v>9</v>
      </c>
      <c r="H512" s="5">
        <f>VLOOKUP(Check[[#This Row],[טיפוס]],Tipus[],2,FALSE)</f>
        <v>3</v>
      </c>
      <c r="I512" s="5" t="str">
        <f>VLOOKUP(Check[[#This Row],[טיפוס]],Tipus[],3,FALSE)</f>
        <v>סטנדרט</v>
      </c>
      <c r="J512" s="5" t="str">
        <f>VLOOKUP(Check[[#This Row],[טיפוס]],Tipus[],4,FALSE)</f>
        <v>D</v>
      </c>
      <c r="K512" s="3" t="str">
        <f>IF(Check[[#This Row],[סטטוס2]]="הולד","פנויה",Check[[#This Row],[סטטוס2]])</f>
        <v>פנויה</v>
      </c>
      <c r="L512" s="382" t="s">
        <v>108</v>
      </c>
      <c r="M512" s="382"/>
      <c r="N512" t="s">
        <v>1367</v>
      </c>
      <c r="O512" s="383" t="s">
        <v>1390</v>
      </c>
      <c r="P512" s="410" t="s">
        <v>1389</v>
      </c>
      <c r="Q512" s="410"/>
      <c r="R512" s="383"/>
      <c r="S512" s="390"/>
      <c r="T512" s="390" t="s">
        <v>214</v>
      </c>
      <c r="U512" s="387"/>
      <c r="V512" s="387"/>
      <c r="W512" s="387"/>
    </row>
    <row r="513" spans="1:23" x14ac:dyDescent="0.2">
      <c r="A513" s="13" t="str">
        <f>_xlfn.CONCAT(VLOOKUP(Check[[#This Row],[סטטוס]],Sold,2,FALSE),IF(Check[[#This Row],[סטטוס]]="פנויה",IF(N513="גמר מלא סטנדרט",".GMS",IF(N513="גמר מלא טיוב חומרים",".GMC",IF(N513="גמר מינימלי",".GM",IF(N513="דירת שיווק",".DS","")))),""),".",VLOOKUP(Check[[#This Row],[טיפוס]],Tipus[],5,FALSE),".",VLOOKUP(Check[[#This Row],[מגדל]],Tower,2,FALSE),".Ap.",Check[[#This Row],[מספר דירה]])</f>
        <v>S.S.3G.TN.Ap.174</v>
      </c>
      <c r="B513" s="13" t="str">
        <f>_xlfn.CONCAT(VLOOKUP(Check[[#This Row],[סטטוס]],Sold,2,FALSE),IF(Check[[#This Row],[סטטוס]]="פנויה",IF(N513="גמר מלא סטנדרט",".GMS",IF(N513="גמר מלא טיוב חומרים",".GMC",IF(N513="גמר מינימלי",".GM",IF(N513="דירת שיווק",".DS","")))),""),IF(M513="זומן לטרום",".ZLT",IF(M513="טרום מסירה",".TM",IF(M513="טרום מסירה מהנדס",".TMM",IF(M513="מסירת חזקה",".MH",IF(M513="מסירת חזקה מהנדס",".MHM",""))))),".",VLOOKUP(Check[[#This Row],[טיפוס]],Tipus[],5,FALSE),".",VLOOKUP(Check[[#This Row],[מגדל]],Tower,2,FALSE),".Ap.",Check[[#This Row],[מספר דירה]])</f>
        <v>S.S.3G.TN.Ap.174</v>
      </c>
      <c r="C513" s="3" t="s">
        <v>56</v>
      </c>
      <c r="D513" s="3">
        <v>22</v>
      </c>
      <c r="E513" s="4">
        <v>174</v>
      </c>
      <c r="F513" s="3">
        <v>2207</v>
      </c>
      <c r="G513" s="3" t="s">
        <v>22</v>
      </c>
      <c r="H513" s="5">
        <f>VLOOKUP(Check[[#This Row],[טיפוס]],Tipus[],2,FALSE)</f>
        <v>3</v>
      </c>
      <c r="I513" s="5" t="str">
        <f>VLOOKUP(Check[[#This Row],[טיפוס]],Tipus[],3,FALSE)</f>
        <v>סטנדרט</v>
      </c>
      <c r="J513" s="5" t="str">
        <f>VLOOKUP(Check[[#This Row],[טיפוס]],Tipus[],4,FALSE)</f>
        <v>E</v>
      </c>
      <c r="K513" s="3" t="str">
        <f>IF(Check[[#This Row],[סטטוס2]]="הולד","פנויה",Check[[#This Row],[סטטוס2]])</f>
        <v>מכורה</v>
      </c>
      <c r="L513" s="382" t="s">
        <v>130</v>
      </c>
      <c r="M513" s="382"/>
      <c r="N513" s="383"/>
      <c r="O513" s="383"/>
      <c r="P513" s="411"/>
      <c r="Q513" s="411"/>
      <c r="R513" s="383"/>
      <c r="S513" s="390">
        <v>44483</v>
      </c>
      <c r="T513" s="390" t="s">
        <v>761</v>
      </c>
      <c r="U513" s="387" t="s">
        <v>762</v>
      </c>
      <c r="V513" s="387"/>
      <c r="W513" s="387"/>
    </row>
    <row r="514" spans="1:23" x14ac:dyDescent="0.2">
      <c r="A514" s="13" t="str">
        <f>_xlfn.CONCAT(VLOOKUP(Check[[#This Row],[סטטוס]],Sold,2,FALSE),IF(Check[[#This Row],[סטטוס]]="פנויה",IF(N514="גמר מלא סטנדרט",".GMS",IF(N514="גמר מלא טיוב חומרים",".GMC",IF(N514="גמר מינימלי",".GM",IF(N514="דירת שיווק",".DS","")))),""),".",VLOOKUP(Check[[#This Row],[טיפוס]],Tipus[],5,FALSE),".",VLOOKUP(Check[[#This Row],[מגדל]],Tower,2,FALSE),".Ap.",Check[[#This Row],[מספר דירה]])</f>
        <v>O.S.3F.TN.Ap.175</v>
      </c>
      <c r="B514" s="13" t="str">
        <f>_xlfn.CONCAT(VLOOKUP(Check[[#This Row],[סטטוס]],Sold,2,FALSE),IF(Check[[#This Row],[סטטוס]]="פנויה",IF(N514="גמר מלא סטנדרט",".GMS",IF(N514="גמר מלא טיוב חומרים",".GMC",IF(N514="גמר מינימלי",".GM",IF(N514="דירת שיווק",".DS","")))),""),IF(M514="זומן לטרום",".ZLT",IF(M514="טרום מסירה",".TM",IF(M514="טרום מסירה מהנדס",".TMM",IF(M514="מסירת חזקה",".MH",IF(M514="מסירת חזקה מהנדס",".MHM",""))))),".",VLOOKUP(Check[[#This Row],[טיפוס]],Tipus[],5,FALSE),".",VLOOKUP(Check[[#This Row],[מגדל]],Tower,2,FALSE),".Ap.",Check[[#This Row],[מספר דירה]])</f>
        <v>O.S.3F.TN.Ap.175</v>
      </c>
      <c r="C514" s="3" t="s">
        <v>56</v>
      </c>
      <c r="D514" s="3">
        <v>22</v>
      </c>
      <c r="E514" s="4">
        <v>175</v>
      </c>
      <c r="F514" s="3">
        <v>2201</v>
      </c>
      <c r="G514" s="5" t="s">
        <v>23</v>
      </c>
      <c r="H514" s="5">
        <f>VLOOKUP(Check[[#This Row],[טיפוס]],Tipus[],2,FALSE)</f>
        <v>3</v>
      </c>
      <c r="I514" s="5" t="str">
        <f>VLOOKUP(Check[[#This Row],[טיפוס]],Tipus[],3,FALSE)</f>
        <v>סטנדרט</v>
      </c>
      <c r="J514" s="5" t="str">
        <f>VLOOKUP(Check[[#This Row],[טיפוס]],Tipus[],4,FALSE)</f>
        <v>G</v>
      </c>
      <c r="K514" s="3" t="str">
        <f>IF(Check[[#This Row],[סטטוס2]]="הולד","פנויה",Check[[#This Row],[סטטוס2]])</f>
        <v>בעלים</v>
      </c>
      <c r="L514" s="382" t="s">
        <v>91</v>
      </c>
      <c r="M514" s="382"/>
      <c r="N514" s="383"/>
      <c r="O514" s="383"/>
      <c r="P514" s="411"/>
      <c r="Q514" s="411"/>
      <c r="R514" s="383"/>
      <c r="S514" s="390">
        <v>44040</v>
      </c>
      <c r="T514" s="390" t="s">
        <v>1297</v>
      </c>
      <c r="U514" s="387" t="s">
        <v>264</v>
      </c>
      <c r="V514" s="387" t="s">
        <v>214</v>
      </c>
      <c r="W514" s="387" t="s">
        <v>265</v>
      </c>
    </row>
    <row r="515" spans="1:23" x14ac:dyDescent="0.2">
      <c r="A515" s="13" t="str">
        <f>_xlfn.CONCAT(VLOOKUP(Check[[#This Row],[סטטוס]],Sold,2,FALSE),IF(Check[[#This Row],[סטטוס]]="פנויה",IF(N515="גמר מלא סטנדרט",".GMS",IF(N515="גמר מלא טיוב חומרים",".GMC",IF(N515="גמר מינימלי",".GM",IF(N515="דירת שיווק",".DS","")))),""),".",VLOOKUP(Check[[#This Row],[טיפוס]],Tipus[],5,FALSE),".",VLOOKUP(Check[[#This Row],[מגדל]],Tower,2,FALSE),".Ap.",Check[[#This Row],[מספר דירה]])</f>
        <v>O.S.5B.TN.Ap.176</v>
      </c>
      <c r="B515" s="13" t="str">
        <f>_xlfn.CONCAT(VLOOKUP(Check[[#This Row],[סטטוס]],Sold,2,FALSE),IF(Check[[#This Row],[סטטוס]]="פנויה",IF(N515="גמר מלא סטנדרט",".GMS",IF(N515="גמר מלא טיוב חומרים",".GMC",IF(N515="גמר מינימלי",".GM",IF(N515="דירת שיווק",".DS","")))),""),IF(M515="זומן לטרום",".ZLT",IF(M515="טרום מסירה",".TM",IF(M515="טרום מסירה מהנדס",".TMM",IF(M515="מסירת חזקה",".MH",IF(M515="מסירת חזקה מהנדס",".MHM",""))))),".",VLOOKUP(Check[[#This Row],[טיפוס]],Tipus[],5,FALSE),".",VLOOKUP(Check[[#This Row],[מגדל]],Tower,2,FALSE),".Ap.",Check[[#This Row],[מספר דירה]])</f>
        <v>O.S.5B.TN.Ap.176</v>
      </c>
      <c r="C515" s="3" t="s">
        <v>56</v>
      </c>
      <c r="D515" s="3">
        <v>22</v>
      </c>
      <c r="E515" s="4">
        <v>176</v>
      </c>
      <c r="F515" s="3">
        <v>2202</v>
      </c>
      <c r="G515" s="5" t="s">
        <v>24</v>
      </c>
      <c r="H515" s="5">
        <f>VLOOKUP(Check[[#This Row],[טיפוס]],Tipus[],2,FALSE)</f>
        <v>5</v>
      </c>
      <c r="I515" s="5" t="str">
        <f>VLOOKUP(Check[[#This Row],[טיפוס]],Tipus[],3,FALSE)</f>
        <v>סטנדרט</v>
      </c>
      <c r="J515" s="5" t="str">
        <f>VLOOKUP(Check[[#This Row],[טיפוס]],Tipus[],4,FALSE)</f>
        <v>H</v>
      </c>
      <c r="K515" s="3" t="str">
        <f>IF(Check[[#This Row],[סטטוס2]]="הולד","פנויה",Check[[#This Row],[סטטוס2]])</f>
        <v>בעלים</v>
      </c>
      <c r="L515" s="382" t="s">
        <v>91</v>
      </c>
      <c r="M515" s="382"/>
      <c r="N515" s="383"/>
      <c r="O515" s="383"/>
      <c r="P515" s="411"/>
      <c r="Q515" s="411"/>
      <c r="R515" s="383"/>
      <c r="S515" s="390">
        <v>44040</v>
      </c>
      <c r="T515" s="390" t="s">
        <v>1356</v>
      </c>
      <c r="U515" s="387" t="s">
        <v>266</v>
      </c>
      <c r="V515" s="387" t="s">
        <v>267</v>
      </c>
      <c r="W515" s="387" t="s">
        <v>268</v>
      </c>
    </row>
    <row r="516" spans="1:23" x14ac:dyDescent="0.2">
      <c r="A516" s="13" t="str">
        <f>_xlfn.CONCAT(VLOOKUP(Check[[#This Row],[סטטוס]],Sold,2,FALSE),IF(Check[[#This Row],[סטטוס]]="פנויה",IF(N516="גמר מלא סטנדרט",".GMS",IF(N516="גמר מלא טיוב חומרים",".GMC",IF(N516="גמר מינימלי",".GM",IF(N516="דירת שיווק",".DS","")))),""),".",VLOOKUP(Check[[#This Row],[טיפוס]],Tipus[],5,FALSE),".",VLOOKUP(Check[[#This Row],[מגדל]],Tower,2,FALSE),".Ap.",Check[[#This Row],[מספר דירה]])</f>
        <v>O.S.5A.TN.Ap.177</v>
      </c>
      <c r="B516" s="13" t="str">
        <f>_xlfn.CONCAT(VLOOKUP(Check[[#This Row],[סטטוס]],Sold,2,FALSE),IF(Check[[#This Row],[סטטוס]]="פנויה",IF(N516="גמר מלא סטנדרט",".GMS",IF(N516="גמר מלא טיוב חומרים",".GMC",IF(N516="גמר מינימלי",".GM",IF(N516="דירת שיווק",".DS","")))),""),IF(M516="זומן לטרום",".ZLT",IF(M516="טרום מסירה",".TM",IF(M516="טרום מסירה מהנדס",".TMM",IF(M516="מסירת חזקה",".MH",IF(M516="מסירת חזקה מהנדס",".MHM",""))))),".",VLOOKUP(Check[[#This Row],[טיפוס]],Tipus[],5,FALSE),".",VLOOKUP(Check[[#This Row],[מגדל]],Tower,2,FALSE),".Ap.",Check[[#This Row],[מספר דירה]])</f>
        <v>O.S.5A.TN.Ap.177</v>
      </c>
      <c r="C516" s="3" t="s">
        <v>56</v>
      </c>
      <c r="D516" s="3">
        <v>22</v>
      </c>
      <c r="E516" s="4">
        <v>177</v>
      </c>
      <c r="F516" s="3">
        <v>2203</v>
      </c>
      <c r="G516" s="5" t="s">
        <v>25</v>
      </c>
      <c r="H516" s="5">
        <f>VLOOKUP(Check[[#This Row],[טיפוס]],Tipus[],2,FALSE)</f>
        <v>5</v>
      </c>
      <c r="I516" s="5" t="str">
        <f>VLOOKUP(Check[[#This Row],[טיפוס]],Tipus[],3,FALSE)</f>
        <v>סטנדרט</v>
      </c>
      <c r="J516" s="5" t="str">
        <f>VLOOKUP(Check[[#This Row],[טיפוס]],Tipus[],4,FALSE)</f>
        <v>J</v>
      </c>
      <c r="K516" s="3" t="str">
        <f>IF(Check[[#This Row],[סטטוס2]]="הולד","פנויה",Check[[#This Row],[סטטוס2]])</f>
        <v>בעלים</v>
      </c>
      <c r="L516" s="382" t="s">
        <v>91</v>
      </c>
      <c r="M516" s="382"/>
      <c r="N516" s="383"/>
      <c r="O516" s="383"/>
      <c r="P516" s="411"/>
      <c r="Q516" s="411"/>
      <c r="R516" s="383"/>
      <c r="S516" s="390">
        <v>44040</v>
      </c>
      <c r="T516" s="390" t="s">
        <v>1356</v>
      </c>
      <c r="U516" s="387" t="s">
        <v>269</v>
      </c>
      <c r="V516" s="387" t="s">
        <v>270</v>
      </c>
      <c r="W516" s="387" t="s">
        <v>271</v>
      </c>
    </row>
    <row r="517" spans="1:23" x14ac:dyDescent="0.2">
      <c r="A517" s="13" t="str">
        <f>_xlfn.CONCAT(VLOOKUP(Check[[#This Row],[סטטוס]],Sold,2,FALSE),IF(Check[[#This Row],[סטטוס]]="פנויה",IF(N517="גמר מלא סטנדרט",".GMS",IF(N517="גמר מלא טיוב חומרים",".GMC",IF(N517="גמר מינימלי",".GM",IF(N517="דירת שיווק",".DS","")))),""),".",VLOOKUP(Check[[#This Row],[טיפוס]],Tipus[],5,FALSE),".",VLOOKUP(Check[[#This Row],[מגדל]],Tower,2,FALSE),".Ap.",Check[[#This Row],[מספר דירה]])</f>
        <v>S.S.4C.TN.Ap.178</v>
      </c>
      <c r="B517" s="13" t="str">
        <f>_xlfn.CONCAT(VLOOKUP(Check[[#This Row],[סטטוס]],Sold,2,FALSE),IF(Check[[#This Row],[סטטוס]]="פנויה",IF(N517="גמר מלא סטנדרט",".GMS",IF(N517="גמר מלא טיוב חומרים",".GMC",IF(N517="גמר מינימלי",".GM",IF(N517="דירת שיווק",".DS","")))),""),IF(M517="זומן לטרום",".ZLT",IF(M517="טרום מסירה",".TM",IF(M517="טרום מסירה מהנדס",".TMM",IF(M517="מסירת חזקה",".MH",IF(M517="מסירת חזקה מהנדס",".MHM",""))))),".",VLOOKUP(Check[[#This Row],[טיפוס]],Tipus[],5,FALSE),".",VLOOKUP(Check[[#This Row],[מגדל]],Tower,2,FALSE),".Ap.",Check[[#This Row],[מספר דירה]])</f>
        <v>S.S.4C.TN.Ap.178</v>
      </c>
      <c r="C517" s="3" t="s">
        <v>56</v>
      </c>
      <c r="D517" s="3">
        <v>22</v>
      </c>
      <c r="E517" s="4">
        <v>178</v>
      </c>
      <c r="F517" s="3">
        <v>2204</v>
      </c>
      <c r="G517" s="3" t="s">
        <v>26</v>
      </c>
      <c r="H517" s="5">
        <f>VLOOKUP(Check[[#This Row],[טיפוס]],Tipus[],2,FALSE)</f>
        <v>4</v>
      </c>
      <c r="I517" s="5" t="str">
        <f>VLOOKUP(Check[[#This Row],[טיפוס]],Tipus[],3,FALSE)</f>
        <v>סטנדרט</v>
      </c>
      <c r="J517" s="5" t="str">
        <f>VLOOKUP(Check[[#This Row],[טיפוס]],Tipus[],4,FALSE)</f>
        <v>A</v>
      </c>
      <c r="K517" s="3" t="str">
        <f>IF(Check[[#This Row],[סטטוס2]]="הולד","פנויה",Check[[#This Row],[סטטוס2]])</f>
        <v>מכורה</v>
      </c>
      <c r="L517" s="382" t="s">
        <v>130</v>
      </c>
      <c r="M517" s="382"/>
      <c r="N517" s="383"/>
      <c r="O517" s="383"/>
      <c r="P517" s="411"/>
      <c r="Q517" s="411"/>
      <c r="R517" s="383"/>
      <c r="S517" s="390">
        <v>44404</v>
      </c>
      <c r="T517" s="390" t="s">
        <v>763</v>
      </c>
      <c r="U517" s="387" t="s">
        <v>764</v>
      </c>
      <c r="V517" s="387" t="s">
        <v>765</v>
      </c>
      <c r="W517" s="387"/>
    </row>
    <row r="518" spans="1:23" x14ac:dyDescent="0.2">
      <c r="A518" s="13" t="str">
        <f>_xlfn.CONCAT(VLOOKUP(Check[[#This Row],[סטטוס]],Sold,2,FALSE),IF(Check[[#This Row],[סטטוס]]="פנויה",IF(N518="גמר מלא סטנדרט",".GMS",IF(N518="גמר מלא טיוב חומרים",".GMC",IF(N518="גמר מינימלי",".GM",IF(N518="דירת שיווק",".DS","")))),""),".",VLOOKUP(Check[[#This Row],[טיפוס]],Tipus[],5,FALSE),".",VLOOKUP(Check[[#This Row],[מגדל]],Tower,2,FALSE),".Ap.",Check[[#This Row],[מספר דירה]])</f>
        <v>S.S.2D.TN.Ap.179</v>
      </c>
      <c r="B518" s="13" t="str">
        <f>_xlfn.CONCAT(VLOOKUP(Check[[#This Row],[סטטוס]],Sold,2,FALSE),IF(Check[[#This Row],[סטטוס]]="פנויה",IF(N518="גמר מלא סטנדרט",".GMS",IF(N518="גמר מלא טיוב חומרים",".GMC",IF(N518="גמר מינימלי",".GM",IF(N518="דירת שיווק",".DS","")))),""),IF(M518="זומן לטרום",".ZLT",IF(M518="טרום מסירה",".TM",IF(M518="טרום מסירה מהנדס",".TMM",IF(M518="מסירת חזקה",".MH",IF(M518="מסירת חזקה מהנדס",".MHM",""))))),".",VLOOKUP(Check[[#This Row],[טיפוס]],Tipus[],5,FALSE),".",VLOOKUP(Check[[#This Row],[מגדל]],Tower,2,FALSE),".Ap.",Check[[#This Row],[מספר דירה]])</f>
        <v>S.S.2D.TN.Ap.179</v>
      </c>
      <c r="C518" s="3" t="s">
        <v>56</v>
      </c>
      <c r="D518" s="3">
        <v>22</v>
      </c>
      <c r="E518" s="4">
        <v>179</v>
      </c>
      <c r="F518" s="3">
        <v>2205</v>
      </c>
      <c r="G518" s="6" t="s">
        <v>10</v>
      </c>
      <c r="H518" s="5">
        <f>VLOOKUP(Check[[#This Row],[טיפוס]],Tipus[],2,FALSE)</f>
        <v>2</v>
      </c>
      <c r="I518" s="6" t="str">
        <f>VLOOKUP(Check[[#This Row],[טיפוס]],Tipus[],3,FALSE)</f>
        <v>סטנדרט</v>
      </c>
      <c r="J518" s="6" t="str">
        <f>VLOOKUP(Check[[#This Row],[טיפוס]],Tipus[],4,FALSE)</f>
        <v>C</v>
      </c>
      <c r="K518" s="3" t="str">
        <f>IF(Check[[#This Row],[סטטוס2]]="הולד","פנויה",Check[[#This Row],[סטטוס2]])</f>
        <v>מכורה</v>
      </c>
      <c r="L518" s="382" t="s">
        <v>130</v>
      </c>
      <c r="M518" s="382"/>
      <c r="N518" s="383"/>
      <c r="O518" s="383"/>
      <c r="P518" s="411"/>
      <c r="Q518" s="411"/>
      <c r="R518" s="383"/>
      <c r="S518" s="390">
        <v>44762</v>
      </c>
      <c r="T518" s="390" t="s">
        <v>1071</v>
      </c>
      <c r="U518" s="387"/>
      <c r="V518" s="387"/>
      <c r="W518" s="387"/>
    </row>
    <row r="519" spans="1:23" x14ac:dyDescent="0.2">
      <c r="A519" s="13" t="str">
        <f>_xlfn.CONCAT(VLOOKUP(Check[[#This Row],[סטטוס]],Sold,2,FALSE),IF(Check[[#This Row],[סטטוס]]="פנויה",IF(N519="גמר מלא סטנדרט",".GMS",IF(N519="גמר מלא טיוב חומרים",".GMC",IF(N519="גמר מינימלי",".GM",IF(N519="דירת שיווק",".DS","")))),""),".",VLOOKUP(Check[[#This Row],[טיפוס]],Tipus[],5,FALSE),".",VLOOKUP(Check[[#This Row],[מגדל]],Tower,2,FALSE),".Ap.",Check[[#This Row],[מספר דירה]])</f>
        <v>V.GMS.S.3A.TN.Ap.180</v>
      </c>
      <c r="B519" s="13" t="str">
        <f>_xlfn.CONCAT(VLOOKUP(Check[[#This Row],[סטטוס]],Sold,2,FALSE),IF(Check[[#This Row],[סטטוס]]="פנויה",IF(N519="גמר מלא סטנדרט",".GMS",IF(N519="גמר מלא טיוב חומרים",".GMC",IF(N519="גמר מינימלי",".GM",IF(N519="דירת שיווק",".DS","")))),""),IF(M519="זומן לטרום",".ZLT",IF(M519="טרום מסירה",".TM",IF(M519="טרום מסירה מהנדס",".TMM",IF(M519="מסירת חזקה",".MH",IF(M519="מסירת חזקה מהנדס",".MHM",""))))),".",VLOOKUP(Check[[#This Row],[טיפוס]],Tipus[],5,FALSE),".",VLOOKUP(Check[[#This Row],[מגדל]],Tower,2,FALSE),".Ap.",Check[[#This Row],[מספר דירה]])</f>
        <v>V.GMS.S.3A.TN.Ap.180</v>
      </c>
      <c r="C519" s="3" t="s">
        <v>56</v>
      </c>
      <c r="D519" s="3">
        <v>23</v>
      </c>
      <c r="E519" s="4">
        <v>180</v>
      </c>
      <c r="F519" s="3">
        <v>2306</v>
      </c>
      <c r="G519" s="3" t="s">
        <v>9</v>
      </c>
      <c r="H519" s="5">
        <f>VLOOKUP(Check[[#This Row],[טיפוס]],Tipus[],2,FALSE)</f>
        <v>3</v>
      </c>
      <c r="I519" s="5" t="str">
        <f>VLOOKUP(Check[[#This Row],[טיפוס]],Tipus[],3,FALSE)</f>
        <v>סטנדרט</v>
      </c>
      <c r="J519" s="5" t="str">
        <f>VLOOKUP(Check[[#This Row],[טיפוס]],Tipus[],4,FALSE)</f>
        <v>D</v>
      </c>
      <c r="K519" s="3" t="str">
        <f>IF(Check[[#This Row],[סטטוס2]]="הולד","פנויה",Check[[#This Row],[סטטוס2]])</f>
        <v>פנויה</v>
      </c>
      <c r="L519" s="382" t="s">
        <v>108</v>
      </c>
      <c r="M519" s="382"/>
      <c r="N519" t="s">
        <v>1367</v>
      </c>
      <c r="O519" s="383" t="s">
        <v>1390</v>
      </c>
      <c r="P519" s="410" t="s">
        <v>1389</v>
      </c>
      <c r="Q519" s="410"/>
      <c r="R519" s="383"/>
      <c r="S519" s="390"/>
      <c r="T519" s="390" t="s">
        <v>214</v>
      </c>
      <c r="U519" s="387"/>
      <c r="V519" s="387"/>
      <c r="W519" s="387"/>
    </row>
    <row r="520" spans="1:23" x14ac:dyDescent="0.2">
      <c r="A520" s="13" t="str">
        <f>_xlfn.CONCAT(VLOOKUP(Check[[#This Row],[סטטוס]],Sold,2,FALSE),IF(Check[[#This Row],[סטטוס]]="פנויה",IF(N520="גמר מלא סטנדרט",".GMS",IF(N520="גמר מלא טיוב חומרים",".GMC",IF(N520="גמר מינימלי",".GM",IF(N520="דירת שיווק",".DS","")))),""),".",VLOOKUP(Check[[#This Row],[טיפוס]],Tipus[],5,FALSE),".",VLOOKUP(Check[[#This Row],[מגדל]],Tower,2,FALSE),".Ap.",Check[[#This Row],[מספר דירה]])</f>
        <v>S.S.3G.TN.Ap.181</v>
      </c>
      <c r="B520" s="13" t="str">
        <f>_xlfn.CONCAT(VLOOKUP(Check[[#This Row],[סטטוס]],Sold,2,FALSE),IF(Check[[#This Row],[סטטוס]]="פנויה",IF(N520="גמר מלא סטנדרט",".GMS",IF(N520="גמר מלא טיוב חומרים",".GMC",IF(N520="גמר מינימלי",".GM",IF(N520="דירת שיווק",".DS","")))),""),IF(M520="זומן לטרום",".ZLT",IF(M520="טרום מסירה",".TM",IF(M520="טרום מסירה מהנדס",".TMM",IF(M520="מסירת חזקה",".MH",IF(M520="מסירת חזקה מהנדס",".MHM",""))))),".",VLOOKUP(Check[[#This Row],[טיפוס]],Tipus[],5,FALSE),".",VLOOKUP(Check[[#This Row],[מגדל]],Tower,2,FALSE),".Ap.",Check[[#This Row],[מספר דירה]])</f>
        <v>S.S.3G.TN.Ap.181</v>
      </c>
      <c r="C520" s="3" t="s">
        <v>56</v>
      </c>
      <c r="D520" s="3">
        <v>23</v>
      </c>
      <c r="E520" s="4">
        <v>181</v>
      </c>
      <c r="F520" s="3">
        <v>2307</v>
      </c>
      <c r="G520" s="3" t="s">
        <v>22</v>
      </c>
      <c r="H520" s="5">
        <f>VLOOKUP(Check[[#This Row],[טיפוס]],Tipus[],2,FALSE)</f>
        <v>3</v>
      </c>
      <c r="I520" s="5" t="str">
        <f>VLOOKUP(Check[[#This Row],[טיפוס]],Tipus[],3,FALSE)</f>
        <v>סטנדרט</v>
      </c>
      <c r="J520" s="5" t="str">
        <f>VLOOKUP(Check[[#This Row],[טיפוס]],Tipus[],4,FALSE)</f>
        <v>E</v>
      </c>
      <c r="K520" s="3" t="str">
        <f>IF(Check[[#This Row],[סטטוס2]]="הולד","פנויה",Check[[#This Row],[סטטוס2]])</f>
        <v>מכורה</v>
      </c>
      <c r="L520" s="382" t="s">
        <v>130</v>
      </c>
      <c r="M520" s="382"/>
      <c r="N520" s="383"/>
      <c r="O520" s="383"/>
      <c r="P520" s="411"/>
      <c r="Q520" s="411"/>
      <c r="R520" s="400"/>
      <c r="S520" s="390">
        <v>44448</v>
      </c>
      <c r="T520" s="390" t="s">
        <v>766</v>
      </c>
      <c r="U520" s="387" t="s">
        <v>767</v>
      </c>
      <c r="V520" s="387"/>
      <c r="W520" s="387"/>
    </row>
    <row r="521" spans="1:23" x14ac:dyDescent="0.2">
      <c r="A521" s="13" t="str">
        <f>_xlfn.CONCAT(VLOOKUP(Check[[#This Row],[סטטוס]],Sold,2,FALSE),IF(Check[[#This Row],[סטטוס]]="פנויה",IF(N521="גמר מלא סטנדרט",".GMS",IF(N521="גמר מלא טיוב חומרים",".GMC",IF(N521="גמר מינימלי",".GM",IF(N521="דירת שיווק",".DS","")))),""),".",VLOOKUP(Check[[#This Row],[טיפוס]],Tipus[],5,FALSE),".",VLOOKUP(Check[[#This Row],[מגדל]],Tower,2,FALSE),".Ap.",Check[[#This Row],[מספר דירה]])</f>
        <v>S.S.3F.TN.Ap.182</v>
      </c>
      <c r="B521" s="13" t="str">
        <f>_xlfn.CONCAT(VLOOKUP(Check[[#This Row],[סטטוס]],Sold,2,FALSE),IF(Check[[#This Row],[סטטוס]]="פנויה",IF(N521="גמר מלא סטנדרט",".GMS",IF(N521="גמר מלא טיוב חומרים",".GMC",IF(N521="גמר מינימלי",".GM",IF(N521="דירת שיווק",".DS","")))),""),IF(M521="זומן לטרום",".ZLT",IF(M521="טרום מסירה",".TM",IF(M521="טרום מסירה מהנדס",".TMM",IF(M521="מסירת חזקה",".MH",IF(M521="מסירת חזקה מהנדס",".MHM",""))))),".",VLOOKUP(Check[[#This Row],[טיפוס]],Tipus[],5,FALSE),".",VLOOKUP(Check[[#This Row],[מגדל]],Tower,2,FALSE),".Ap.",Check[[#This Row],[מספר דירה]])</f>
        <v>S.S.3F.TN.Ap.182</v>
      </c>
      <c r="C521" s="3" t="s">
        <v>56</v>
      </c>
      <c r="D521" s="3">
        <v>23</v>
      </c>
      <c r="E521" s="4">
        <v>182</v>
      </c>
      <c r="F521" s="3">
        <v>2301</v>
      </c>
      <c r="G521" s="5" t="s">
        <v>23</v>
      </c>
      <c r="H521" s="5">
        <f>VLOOKUP(Check[[#This Row],[טיפוס]],Tipus[],2,FALSE)</f>
        <v>3</v>
      </c>
      <c r="I521" s="5" t="str">
        <f>VLOOKUP(Check[[#This Row],[טיפוס]],Tipus[],3,FALSE)</f>
        <v>סטנדרט</v>
      </c>
      <c r="J521" s="5" t="str">
        <f>VLOOKUP(Check[[#This Row],[טיפוס]],Tipus[],4,FALSE)</f>
        <v>G</v>
      </c>
      <c r="K521" s="3" t="str">
        <f>IF(Check[[#This Row],[סטטוס2]]="הולד","פנויה",Check[[#This Row],[סטטוס2]])</f>
        <v>מכורה</v>
      </c>
      <c r="L521" s="382" t="s">
        <v>130</v>
      </c>
      <c r="M521" s="382"/>
      <c r="N521" s="383"/>
      <c r="O521" s="383"/>
      <c r="P521" s="411"/>
      <c r="Q521" s="411"/>
      <c r="R521" s="400"/>
      <c r="S521" s="390">
        <v>44273</v>
      </c>
      <c r="T521" s="390" t="s">
        <v>768</v>
      </c>
      <c r="U521" s="387" t="s">
        <v>769</v>
      </c>
      <c r="V521" s="387"/>
      <c r="W521" s="387"/>
    </row>
    <row r="522" spans="1:23" ht="141.75" x14ac:dyDescent="0.2">
      <c r="A522" s="13" t="str">
        <f>_xlfn.CONCAT(VLOOKUP(Check[[#This Row],[סטטוס]],Sold,2,FALSE),IF(Check[[#This Row],[סטטוס]]="פנויה",IF(N522="גמר מלא סטנדרט",".GMS",IF(N522="גמר מלא טיוב חומרים",".GMC",IF(N522="גמר מינימלי",".GM",IF(N522="דירת שיווק",".DS","")))),""),".",VLOOKUP(Check[[#This Row],[טיפוס]],Tipus[],5,FALSE),".",VLOOKUP(Check[[#This Row],[מגדל]],Tower,2,FALSE),".Ap.",Check[[#This Row],[מספר דירה]])</f>
        <v>V.GMC.S.5B.TN.Ap.183</v>
      </c>
      <c r="B522" s="13" t="str">
        <f>_xlfn.CONCAT(VLOOKUP(Check[[#This Row],[סטטוס]],Sold,2,FALSE),IF(Check[[#This Row],[סטטוס]]="פנויה",IF(N522="גמר מלא סטנדרט",".GMS",IF(N522="גמר מלא טיוב חומרים",".GMC",IF(N522="גמר מינימלי",".GM",IF(N522="דירת שיווק",".DS","")))),""),IF(M522="זומן לטרום",".ZLT",IF(M522="טרום מסירה",".TM",IF(M522="טרום מסירה מהנדס",".TMM",IF(M522="מסירת חזקה",".MH",IF(M522="מסירת חזקה מהנדס",".MHM",""))))),".",VLOOKUP(Check[[#This Row],[טיפוס]],Tipus[],5,FALSE),".",VLOOKUP(Check[[#This Row],[מגדל]],Tower,2,FALSE),".Ap.",Check[[#This Row],[מספר דירה]])</f>
        <v>V.GMC.S.5B.TN.Ap.183</v>
      </c>
      <c r="C522" s="3" t="s">
        <v>56</v>
      </c>
      <c r="D522" s="3">
        <v>23</v>
      </c>
      <c r="E522" s="4">
        <v>183</v>
      </c>
      <c r="F522" s="3">
        <v>2302</v>
      </c>
      <c r="G522" s="5" t="s">
        <v>24</v>
      </c>
      <c r="H522" s="5">
        <f>VLOOKUP(Check[[#This Row],[טיפוס]],Tipus[],2,FALSE)</f>
        <v>5</v>
      </c>
      <c r="I522" s="5" t="str">
        <f>VLOOKUP(Check[[#This Row],[טיפוס]],Tipus[],3,FALSE)</f>
        <v>סטנדרט</v>
      </c>
      <c r="J522" s="5" t="str">
        <f>VLOOKUP(Check[[#This Row],[טיפוס]],Tipus[],4,FALSE)</f>
        <v>H</v>
      </c>
      <c r="K522" s="3" t="str">
        <f>IF(Check[[#This Row],[סטטוס2]]="הולד","פנויה",Check[[#This Row],[סטטוס2]])</f>
        <v>פנויה</v>
      </c>
      <c r="L522" s="382" t="s">
        <v>108</v>
      </c>
      <c r="M522" s="382"/>
      <c r="N522" t="s">
        <v>1417</v>
      </c>
      <c r="O522" s="404" t="s">
        <v>1398</v>
      </c>
      <c r="P522" s="415" t="s">
        <v>1386</v>
      </c>
      <c r="Q522" s="423" t="s">
        <v>1397</v>
      </c>
      <c r="R522" s="399"/>
      <c r="S522" s="390"/>
      <c r="T522" s="390" t="s">
        <v>214</v>
      </c>
      <c r="U522" s="387"/>
      <c r="V522" s="387"/>
      <c r="W522" s="387"/>
    </row>
    <row r="523" spans="1:23" x14ac:dyDescent="0.2">
      <c r="A523" s="13" t="str">
        <f>_xlfn.CONCAT(VLOOKUP(Check[[#This Row],[סטטוס]],Sold,2,FALSE),IF(Check[[#This Row],[סטטוס]]="פנויה",IF(N523="גמר מלא סטנדרט",".GMS",IF(N523="גמר מלא טיוב חומרים",".GMC",IF(N523="גמר מינימלי",".GM",IF(N523="דירת שיווק",".DS","")))),""),".",VLOOKUP(Check[[#This Row],[טיפוס]],Tipus[],5,FALSE),".",VLOOKUP(Check[[#This Row],[מגדל]],Tower,2,FALSE),".Ap.",Check[[#This Row],[מספר דירה]])</f>
        <v>S.S.5A.TN.Ap.184</v>
      </c>
      <c r="B523" s="13" t="str">
        <f>_xlfn.CONCAT(VLOOKUP(Check[[#This Row],[סטטוס]],Sold,2,FALSE),IF(Check[[#This Row],[סטטוס]]="פנויה",IF(N523="גמר מלא סטנדרט",".GMS",IF(N523="גמר מלא טיוב חומרים",".GMC",IF(N523="גמר מינימלי",".GM",IF(N523="דירת שיווק",".DS","")))),""),IF(M523="זומן לטרום",".ZLT",IF(M523="טרום מסירה",".TM",IF(M523="טרום מסירה מהנדס",".TMM",IF(M523="מסירת חזקה",".MH",IF(M523="מסירת חזקה מהנדס",".MHM",""))))),".",VLOOKUP(Check[[#This Row],[טיפוס]],Tipus[],5,FALSE),".",VLOOKUP(Check[[#This Row],[מגדל]],Tower,2,FALSE),".Ap.",Check[[#This Row],[מספר דירה]])</f>
        <v>S.S.5A.TN.Ap.184</v>
      </c>
      <c r="C523" s="3" t="s">
        <v>56</v>
      </c>
      <c r="D523" s="3">
        <v>23</v>
      </c>
      <c r="E523" s="4">
        <v>184</v>
      </c>
      <c r="F523" s="3">
        <v>2303</v>
      </c>
      <c r="G523" s="5" t="s">
        <v>25</v>
      </c>
      <c r="H523" s="5">
        <f>VLOOKUP(Check[[#This Row],[טיפוס]],Tipus[],2,FALSE)</f>
        <v>5</v>
      </c>
      <c r="I523" s="5" t="str">
        <f>VLOOKUP(Check[[#This Row],[טיפוס]],Tipus[],3,FALSE)</f>
        <v>סטנדרט</v>
      </c>
      <c r="J523" s="5" t="str">
        <f>VLOOKUP(Check[[#This Row],[טיפוס]],Tipus[],4,FALSE)</f>
        <v>J</v>
      </c>
      <c r="K523" s="3" t="str">
        <f>IF(Check[[#This Row],[סטטוס2]]="הולד","פנויה",Check[[#This Row],[סטטוס2]])</f>
        <v>מכורה</v>
      </c>
      <c r="L523" s="382" t="s">
        <v>130</v>
      </c>
      <c r="M523" s="382"/>
      <c r="N523" s="383"/>
      <c r="O523" s="383"/>
      <c r="P523" s="411"/>
      <c r="Q523" s="411"/>
      <c r="R523" s="400"/>
      <c r="S523" s="390">
        <v>44404</v>
      </c>
      <c r="T523" s="390" t="s">
        <v>763</v>
      </c>
      <c r="U523" s="387" t="s">
        <v>770</v>
      </c>
      <c r="V523" s="387" t="s">
        <v>771</v>
      </c>
      <c r="W523" s="387" t="s">
        <v>772</v>
      </c>
    </row>
    <row r="524" spans="1:23" x14ac:dyDescent="0.2">
      <c r="A524" s="13" t="str">
        <f>_xlfn.CONCAT(VLOOKUP(Check[[#This Row],[סטטוס]],Sold,2,FALSE),IF(Check[[#This Row],[סטטוס]]="פנויה",IF(N524="גמר מלא סטנדרט",".GMS",IF(N524="גמר מלא טיוב חומרים",".GMC",IF(N524="גמר מינימלי",".GM",IF(N524="דירת שיווק",".DS","")))),""),".",VLOOKUP(Check[[#This Row],[טיפוס]],Tipus[],5,FALSE),".",VLOOKUP(Check[[#This Row],[מגדל]],Tower,2,FALSE),".Ap.",Check[[#This Row],[מספר דירה]])</f>
        <v>S.S.4C.TN.Ap.185</v>
      </c>
      <c r="B524" s="13" t="str">
        <f>_xlfn.CONCAT(VLOOKUP(Check[[#This Row],[סטטוס]],Sold,2,FALSE),IF(Check[[#This Row],[סטטוס]]="פנויה",IF(N524="גמר מלא סטנדרט",".GMS",IF(N524="גמר מלא טיוב חומרים",".GMC",IF(N524="גמר מינימלי",".GM",IF(N524="דירת שיווק",".DS","")))),""),IF(M524="זומן לטרום",".ZLT",IF(M524="טרום מסירה",".TM",IF(M524="טרום מסירה מהנדס",".TMM",IF(M524="מסירת חזקה",".MH",IF(M524="מסירת חזקה מהנדס",".MHM",""))))),".",VLOOKUP(Check[[#This Row],[טיפוס]],Tipus[],5,FALSE),".",VLOOKUP(Check[[#This Row],[מגדל]],Tower,2,FALSE),".Ap.",Check[[#This Row],[מספר דירה]])</f>
        <v>S.S.4C.TN.Ap.185</v>
      </c>
      <c r="C524" s="3" t="s">
        <v>56</v>
      </c>
      <c r="D524" s="3">
        <v>23</v>
      </c>
      <c r="E524" s="4">
        <v>185</v>
      </c>
      <c r="F524" s="3">
        <v>2304</v>
      </c>
      <c r="G524" s="3" t="s">
        <v>26</v>
      </c>
      <c r="H524" s="5">
        <f>VLOOKUP(Check[[#This Row],[טיפוס]],Tipus[],2,FALSE)</f>
        <v>4</v>
      </c>
      <c r="I524" s="5" t="str">
        <f>VLOOKUP(Check[[#This Row],[טיפוס]],Tipus[],3,FALSE)</f>
        <v>סטנדרט</v>
      </c>
      <c r="J524" s="5" t="str">
        <f>VLOOKUP(Check[[#This Row],[טיפוס]],Tipus[],4,FALSE)</f>
        <v>A</v>
      </c>
      <c r="K524" s="3" t="str">
        <f>IF(Check[[#This Row],[סטטוס2]]="הולד","פנויה",Check[[#This Row],[סטטוס2]])</f>
        <v>מכורה</v>
      </c>
      <c r="L524" s="382" t="s">
        <v>130</v>
      </c>
      <c r="M524" s="382"/>
      <c r="N524" s="383"/>
      <c r="O524" s="383"/>
      <c r="P524" s="411"/>
      <c r="Q524" s="411"/>
      <c r="R524" s="400"/>
      <c r="S524" s="390">
        <v>44255</v>
      </c>
      <c r="T524" s="390" t="s">
        <v>773</v>
      </c>
      <c r="U524" s="387" t="s">
        <v>774</v>
      </c>
      <c r="V524" s="387" t="s">
        <v>775</v>
      </c>
      <c r="W524" s="387"/>
    </row>
    <row r="525" spans="1:23" x14ac:dyDescent="0.2">
      <c r="A525" s="13" t="str">
        <f>_xlfn.CONCAT(VLOOKUP(Check[[#This Row],[סטטוס]],Sold,2,FALSE),IF(Check[[#This Row],[סטטוס]]="פנויה",IF(N525="גמר מלא סטנדרט",".GMS",IF(N525="גמר מלא טיוב חומרים",".GMC",IF(N525="גמר מינימלי",".GM",IF(N525="דירת שיווק",".DS","")))),""),".",VLOOKUP(Check[[#This Row],[טיפוס]],Tipus[],5,FALSE),".",VLOOKUP(Check[[#This Row],[מגדל]],Tower,2,FALSE),".Ap.",Check[[#This Row],[מספר דירה]])</f>
        <v>S.S.2D.TN.Ap.186</v>
      </c>
      <c r="B525" s="13" t="str">
        <f>_xlfn.CONCAT(VLOOKUP(Check[[#This Row],[סטטוס]],Sold,2,FALSE),IF(Check[[#This Row],[סטטוס]]="פנויה",IF(N525="גמר מלא סטנדרט",".GMS",IF(N525="גמר מלא טיוב חומרים",".GMC",IF(N525="גמר מינימלי",".GM",IF(N525="דירת שיווק",".DS","")))),""),IF(M525="זומן לטרום",".ZLT",IF(M525="טרום מסירה",".TM",IF(M525="טרום מסירה מהנדס",".TMM",IF(M525="מסירת חזקה",".MH",IF(M525="מסירת חזקה מהנדס",".MHM",""))))),".",VLOOKUP(Check[[#This Row],[טיפוס]],Tipus[],5,FALSE),".",VLOOKUP(Check[[#This Row],[מגדל]],Tower,2,FALSE),".Ap.",Check[[#This Row],[מספר דירה]])</f>
        <v>S.S.2D.TN.Ap.186</v>
      </c>
      <c r="C525" s="3" t="s">
        <v>56</v>
      </c>
      <c r="D525" s="3">
        <v>23</v>
      </c>
      <c r="E525" s="4">
        <v>186</v>
      </c>
      <c r="F525" s="3">
        <v>2305</v>
      </c>
      <c r="G525" s="6" t="s">
        <v>10</v>
      </c>
      <c r="H525" s="5">
        <f>VLOOKUP(Check[[#This Row],[טיפוס]],Tipus[],2,FALSE)</f>
        <v>2</v>
      </c>
      <c r="I525" s="6" t="str">
        <f>VLOOKUP(Check[[#This Row],[טיפוס]],Tipus[],3,FALSE)</f>
        <v>סטנדרט</v>
      </c>
      <c r="J525" s="6" t="str">
        <f>VLOOKUP(Check[[#This Row],[טיפוס]],Tipus[],4,FALSE)</f>
        <v>C</v>
      </c>
      <c r="K525" s="3" t="str">
        <f>IF(Check[[#This Row],[סטטוס2]]="הולד","פנויה",Check[[#This Row],[סטטוס2]])</f>
        <v>מכורה</v>
      </c>
      <c r="L525" s="382" t="s">
        <v>130</v>
      </c>
      <c r="M525" s="382"/>
      <c r="N525" s="383"/>
      <c r="O525" s="383"/>
      <c r="P525" s="411"/>
      <c r="Q525" s="411"/>
      <c r="R525" s="400"/>
      <c r="S525" s="390">
        <v>44762</v>
      </c>
      <c r="T525" s="390" t="s">
        <v>1071</v>
      </c>
      <c r="U525" s="387"/>
      <c r="V525" s="387"/>
      <c r="W525" s="387"/>
    </row>
    <row r="526" spans="1:23" x14ac:dyDescent="0.2">
      <c r="A526" s="13" t="str">
        <f>_xlfn.CONCAT(VLOOKUP(Check[[#This Row],[סטטוס]],Sold,2,FALSE),IF(Check[[#This Row],[סטטוס]]="פנויה",IF(N526="גמר מלא סטנדרט",".GMS",IF(N526="גמר מלא טיוב חומרים",".GMC",IF(N526="גמר מינימלי",".GM",IF(N526="דירת שיווק",".DS","")))),""),".",VLOOKUP(Check[[#This Row],[טיפוס]],Tipus[],5,FALSE),".",VLOOKUP(Check[[#This Row],[מגדל]],Tower,2,FALSE),".Ap.",Check[[#This Row],[מספר דירה]])</f>
        <v>V.GMS.S.3A.TN.Ap.187</v>
      </c>
      <c r="B526" s="13" t="str">
        <f>_xlfn.CONCAT(VLOOKUP(Check[[#This Row],[סטטוס]],Sold,2,FALSE),IF(Check[[#This Row],[סטטוס]]="פנויה",IF(N526="גמר מלא סטנדרט",".GMS",IF(N526="גמר מלא טיוב חומרים",".GMC",IF(N526="גמר מינימלי",".GM",IF(N526="דירת שיווק",".DS","")))),""),IF(M526="זומן לטרום",".ZLT",IF(M526="טרום מסירה",".TM",IF(M526="טרום מסירה מהנדס",".TMM",IF(M526="מסירת חזקה",".MH",IF(M526="מסירת חזקה מהנדס",".MHM",""))))),".",VLOOKUP(Check[[#This Row],[טיפוס]],Tipus[],5,FALSE),".",VLOOKUP(Check[[#This Row],[מגדל]],Tower,2,FALSE),".Ap.",Check[[#This Row],[מספר דירה]])</f>
        <v>V.GMS.S.3A.TN.Ap.187</v>
      </c>
      <c r="C526" s="3" t="s">
        <v>56</v>
      </c>
      <c r="D526" s="3">
        <v>24</v>
      </c>
      <c r="E526" s="4">
        <v>187</v>
      </c>
      <c r="F526" s="3">
        <v>2406</v>
      </c>
      <c r="G526" s="3" t="s">
        <v>9</v>
      </c>
      <c r="H526" s="5">
        <f>VLOOKUP(Check[[#This Row],[טיפוס]],Tipus[],2,FALSE)</f>
        <v>3</v>
      </c>
      <c r="I526" s="5" t="str">
        <f>VLOOKUP(Check[[#This Row],[טיפוס]],Tipus[],3,FALSE)</f>
        <v>סטנדרט</v>
      </c>
      <c r="J526" s="5" t="str">
        <f>VLOOKUP(Check[[#This Row],[טיפוס]],Tipus[],4,FALSE)</f>
        <v>D</v>
      </c>
      <c r="K526" s="3" t="str">
        <f>IF(Check[[#This Row],[סטטוס2]]="הולד","פנויה",Check[[#This Row],[סטטוס2]])</f>
        <v>פנויה</v>
      </c>
      <c r="L526" s="382" t="s">
        <v>108</v>
      </c>
      <c r="M526" s="382"/>
      <c r="N526" t="s">
        <v>1367</v>
      </c>
      <c r="O526" s="383" t="s">
        <v>1390</v>
      </c>
      <c r="P526" s="410" t="s">
        <v>1389</v>
      </c>
      <c r="Q526" s="410"/>
      <c r="R526" s="400"/>
      <c r="S526" s="390"/>
      <c r="T526" s="390" t="s">
        <v>214</v>
      </c>
      <c r="U526" s="387"/>
      <c r="V526" s="387"/>
      <c r="W526" s="387"/>
    </row>
    <row r="527" spans="1:23" x14ac:dyDescent="0.2">
      <c r="A527" s="13" t="str">
        <f>_xlfn.CONCAT(VLOOKUP(Check[[#This Row],[סטטוס]],Sold,2,FALSE),IF(Check[[#This Row],[סטטוס]]="פנויה",IF(N527="גמר מלא סטנדרט",".GMS",IF(N527="גמר מלא טיוב חומרים",".GMC",IF(N527="גמר מינימלי",".GM",IF(N527="דירת שיווק",".DS","")))),""),".",VLOOKUP(Check[[#This Row],[טיפוס]],Tipus[],5,FALSE),".",VLOOKUP(Check[[#This Row],[מגדל]],Tower,2,FALSE),".Ap.",Check[[#This Row],[מספר דירה]])</f>
        <v>S.S.3G.TN.Ap.188</v>
      </c>
      <c r="B527" s="13" t="str">
        <f>_xlfn.CONCAT(VLOOKUP(Check[[#This Row],[סטטוס]],Sold,2,FALSE),IF(Check[[#This Row],[סטטוס]]="פנויה",IF(N527="גמר מלא סטנדרט",".GMS",IF(N527="גמר מלא טיוב חומרים",".GMC",IF(N527="גמר מינימלי",".GM",IF(N527="דירת שיווק",".DS","")))),""),IF(M527="זומן לטרום",".ZLT",IF(M527="טרום מסירה",".TM",IF(M527="טרום מסירה מהנדס",".TMM",IF(M527="מסירת חזקה",".MH",IF(M527="מסירת חזקה מהנדס",".MHM",""))))),".",VLOOKUP(Check[[#This Row],[טיפוס]],Tipus[],5,FALSE),".",VLOOKUP(Check[[#This Row],[מגדל]],Tower,2,FALSE),".Ap.",Check[[#This Row],[מספר דירה]])</f>
        <v>S.S.3G.TN.Ap.188</v>
      </c>
      <c r="C527" s="3" t="s">
        <v>56</v>
      </c>
      <c r="D527" s="3">
        <v>24</v>
      </c>
      <c r="E527" s="4">
        <v>188</v>
      </c>
      <c r="F527" s="3">
        <v>2407</v>
      </c>
      <c r="G527" s="3" t="s">
        <v>22</v>
      </c>
      <c r="H527" s="5">
        <f>VLOOKUP(Check[[#This Row],[טיפוס]],Tipus[],2,FALSE)</f>
        <v>3</v>
      </c>
      <c r="I527" s="5" t="str">
        <f>VLOOKUP(Check[[#This Row],[טיפוס]],Tipus[],3,FALSE)</f>
        <v>סטנדרט</v>
      </c>
      <c r="J527" s="5" t="str">
        <f>VLOOKUP(Check[[#This Row],[טיפוס]],Tipus[],4,FALSE)</f>
        <v>E</v>
      </c>
      <c r="K527" s="3" t="str">
        <f>IF(Check[[#This Row],[סטטוס2]]="הולד","פנויה",Check[[#This Row],[סטטוס2]])</f>
        <v>מכורה</v>
      </c>
      <c r="L527" s="382" t="s">
        <v>130</v>
      </c>
      <c r="M527" s="382"/>
      <c r="N527" s="383"/>
      <c r="O527" s="383"/>
      <c r="P527" s="411"/>
      <c r="Q527" s="411"/>
      <c r="R527" s="400"/>
      <c r="S527" s="390">
        <v>44483</v>
      </c>
      <c r="T527" s="390" t="s">
        <v>776</v>
      </c>
      <c r="U527" s="387" t="s">
        <v>777</v>
      </c>
      <c r="V527" s="387" t="s">
        <v>214</v>
      </c>
      <c r="W527" s="387"/>
    </row>
    <row r="528" spans="1:23" x14ac:dyDescent="0.2">
      <c r="A528" s="13" t="str">
        <f>_xlfn.CONCAT(VLOOKUP(Check[[#This Row],[סטטוס]],Sold,2,FALSE),IF(Check[[#This Row],[סטטוס]]="פנויה",IF(N528="גמר מלא סטנדרט",".GMS",IF(N528="גמר מלא טיוב חומרים",".GMC",IF(N528="גמר מינימלי",".GM",IF(N528="דירת שיווק",".DS","")))),""),".",VLOOKUP(Check[[#This Row],[טיפוס]],Tipus[],5,FALSE),".",VLOOKUP(Check[[#This Row],[מגדל]],Tower,2,FALSE),".Ap.",Check[[#This Row],[מספר דירה]])</f>
        <v>S.S.3F.TN.Ap.189</v>
      </c>
      <c r="B528" s="13" t="str">
        <f>_xlfn.CONCAT(VLOOKUP(Check[[#This Row],[סטטוס]],Sold,2,FALSE),IF(Check[[#This Row],[סטטוס]]="פנויה",IF(N528="גמר מלא סטנדרט",".GMS",IF(N528="גמר מלא טיוב חומרים",".GMC",IF(N528="גמר מינימלי",".GM",IF(N528="דירת שיווק",".DS","")))),""),IF(M528="זומן לטרום",".ZLT",IF(M528="טרום מסירה",".TM",IF(M528="טרום מסירה מהנדס",".TMM",IF(M528="מסירת חזקה",".MH",IF(M528="מסירת חזקה מהנדס",".MHM",""))))),".",VLOOKUP(Check[[#This Row],[טיפוס]],Tipus[],5,FALSE),".",VLOOKUP(Check[[#This Row],[מגדל]],Tower,2,FALSE),".Ap.",Check[[#This Row],[מספר דירה]])</f>
        <v>S.S.3F.TN.Ap.189</v>
      </c>
      <c r="C528" s="3" t="s">
        <v>56</v>
      </c>
      <c r="D528" s="3">
        <v>24</v>
      </c>
      <c r="E528" s="4">
        <v>189</v>
      </c>
      <c r="F528" s="3">
        <v>2401</v>
      </c>
      <c r="G528" s="5" t="s">
        <v>23</v>
      </c>
      <c r="H528" s="5">
        <f>VLOOKUP(Check[[#This Row],[טיפוס]],Tipus[],2,FALSE)</f>
        <v>3</v>
      </c>
      <c r="I528" s="5" t="str">
        <f>VLOOKUP(Check[[#This Row],[טיפוס]],Tipus[],3,FALSE)</f>
        <v>סטנדרט</v>
      </c>
      <c r="J528" s="5" t="str">
        <f>VLOOKUP(Check[[#This Row],[טיפוס]],Tipus[],4,FALSE)</f>
        <v>G</v>
      </c>
      <c r="K528" s="3" t="str">
        <f>IF(Check[[#This Row],[סטטוס2]]="הולד","פנויה",Check[[#This Row],[סטטוס2]])</f>
        <v>מכורה</v>
      </c>
      <c r="L528" s="382" t="s">
        <v>130</v>
      </c>
      <c r="M528" s="382"/>
      <c r="N528" t="s">
        <v>1367</v>
      </c>
      <c r="O528" s="402" t="s">
        <v>1391</v>
      </c>
      <c r="P528" s="410" t="s">
        <v>1389</v>
      </c>
      <c r="Q528" s="410"/>
      <c r="R528" s="400"/>
      <c r="S528" s="390"/>
      <c r="T528" s="390" t="s">
        <v>214</v>
      </c>
      <c r="U528" s="387"/>
      <c r="V528" s="387"/>
      <c r="W528" s="387"/>
    </row>
    <row r="529" spans="1:23" ht="141.75" x14ac:dyDescent="0.2">
      <c r="A529" s="13" t="str">
        <f>_xlfn.CONCAT(VLOOKUP(Check[[#This Row],[סטטוס]],Sold,2,FALSE),IF(Check[[#This Row],[סטטוס]]="פנויה",IF(N529="גמר מלא סטנדרט",".GMS",IF(N529="גמר מלא טיוב חומרים",".GMC",IF(N529="גמר מינימלי",".GM",IF(N529="דירת שיווק",".DS","")))),""),".",VLOOKUP(Check[[#This Row],[טיפוס]],Tipus[],5,FALSE),".",VLOOKUP(Check[[#This Row],[מגדל]],Tower,2,FALSE),".Ap.",Check[[#This Row],[מספר דירה]])</f>
        <v>V.GMC.S.5B.TN.Ap.190</v>
      </c>
      <c r="B529" s="13" t="str">
        <f>_xlfn.CONCAT(VLOOKUP(Check[[#This Row],[סטטוס]],Sold,2,FALSE),IF(Check[[#This Row],[סטטוס]]="פנויה",IF(N529="גמר מלא סטנדרט",".GMS",IF(N529="גמר מלא טיוב חומרים",".GMC",IF(N529="גמר מינימלי",".GM",IF(N529="דירת שיווק",".DS","")))),""),IF(M529="זומן לטרום",".ZLT",IF(M529="טרום מסירה",".TM",IF(M529="טרום מסירה מהנדס",".TMM",IF(M529="מסירת חזקה",".MH",IF(M529="מסירת חזקה מהנדס",".MHM",""))))),".",VLOOKUP(Check[[#This Row],[טיפוס]],Tipus[],5,FALSE),".",VLOOKUP(Check[[#This Row],[מגדל]],Tower,2,FALSE),".Ap.",Check[[#This Row],[מספר דירה]])</f>
        <v>V.GMC.S.5B.TN.Ap.190</v>
      </c>
      <c r="C529" s="3" t="s">
        <v>56</v>
      </c>
      <c r="D529" s="3">
        <v>24</v>
      </c>
      <c r="E529" s="4">
        <v>190</v>
      </c>
      <c r="F529" s="3">
        <v>2402</v>
      </c>
      <c r="G529" s="5" t="s">
        <v>24</v>
      </c>
      <c r="H529" s="5">
        <f>VLOOKUP(Check[[#This Row],[טיפוס]],Tipus[],2,FALSE)</f>
        <v>5</v>
      </c>
      <c r="I529" s="5" t="str">
        <f>VLOOKUP(Check[[#This Row],[טיפוס]],Tipus[],3,FALSE)</f>
        <v>סטנדרט</v>
      </c>
      <c r="J529" s="5" t="str">
        <f>VLOOKUP(Check[[#This Row],[טיפוס]],Tipus[],4,FALSE)</f>
        <v>H</v>
      </c>
      <c r="K529" s="3" t="str">
        <f>IF(Check[[#This Row],[סטטוס2]]="הולד","פנויה",Check[[#This Row],[סטטוס2]])</f>
        <v>פנויה</v>
      </c>
      <c r="L529" s="382" t="s">
        <v>108</v>
      </c>
      <c r="M529" s="382"/>
      <c r="N529" t="s">
        <v>1417</v>
      </c>
      <c r="O529" s="404" t="s">
        <v>1398</v>
      </c>
      <c r="P529" s="415" t="s">
        <v>1386</v>
      </c>
      <c r="Q529" s="423" t="s">
        <v>1397</v>
      </c>
      <c r="R529" s="399"/>
      <c r="S529" s="390"/>
      <c r="T529" s="390" t="s">
        <v>214</v>
      </c>
      <c r="U529" s="387"/>
      <c r="V529" s="387"/>
      <c r="W529" s="387"/>
    </row>
    <row r="530" spans="1:23" x14ac:dyDescent="0.2">
      <c r="A530" s="13" t="str">
        <f>_xlfn.CONCAT(VLOOKUP(Check[[#This Row],[סטטוס]],Sold,2,FALSE),IF(Check[[#This Row],[סטטוס]]="פנויה",IF(N530="גמר מלא סטנדרט",".GMS",IF(N530="גמר מלא טיוב חומרים",".GMC",IF(N530="גמר מינימלי",".GM",IF(N530="דירת שיווק",".DS","")))),""),".",VLOOKUP(Check[[#This Row],[טיפוס]],Tipus[],5,FALSE),".",VLOOKUP(Check[[#This Row],[מגדל]],Tower,2,FALSE),".Ap.",Check[[#This Row],[מספר דירה]])</f>
        <v>S.S.5A.TN.Ap.191</v>
      </c>
      <c r="B530" s="13" t="str">
        <f>_xlfn.CONCAT(VLOOKUP(Check[[#This Row],[סטטוס]],Sold,2,FALSE),IF(Check[[#This Row],[סטטוס]]="פנויה",IF(N530="גמר מלא סטנדרט",".GMS",IF(N530="גמר מלא טיוב חומרים",".GMC",IF(N530="גמר מינימלי",".GM",IF(N530="דירת שיווק",".DS","")))),""),IF(M530="זומן לטרום",".ZLT",IF(M530="טרום מסירה",".TM",IF(M530="טרום מסירה מהנדס",".TMM",IF(M530="מסירת חזקה",".MH",IF(M530="מסירת חזקה מהנדס",".MHM",""))))),".",VLOOKUP(Check[[#This Row],[טיפוס]],Tipus[],5,FALSE),".",VLOOKUP(Check[[#This Row],[מגדל]],Tower,2,FALSE),".Ap.",Check[[#This Row],[מספר דירה]])</f>
        <v>S.S.5A.TN.Ap.191</v>
      </c>
      <c r="C530" s="3" t="s">
        <v>56</v>
      </c>
      <c r="D530" s="3">
        <v>24</v>
      </c>
      <c r="E530" s="4">
        <v>191</v>
      </c>
      <c r="F530" s="3">
        <v>2403</v>
      </c>
      <c r="G530" s="5" t="s">
        <v>25</v>
      </c>
      <c r="H530" s="5">
        <f>VLOOKUP(Check[[#This Row],[טיפוס]],Tipus[],2,FALSE)</f>
        <v>5</v>
      </c>
      <c r="I530" s="5" t="str">
        <f>VLOOKUP(Check[[#This Row],[טיפוס]],Tipus[],3,FALSE)</f>
        <v>סטנדרט</v>
      </c>
      <c r="J530" s="5" t="str">
        <f>VLOOKUP(Check[[#This Row],[טיפוס]],Tipus[],4,FALSE)</f>
        <v>J</v>
      </c>
      <c r="K530" s="3" t="str">
        <f>IF(Check[[#This Row],[סטטוס2]]="הולד","פנויה",Check[[#This Row],[סטטוס2]])</f>
        <v>מכורה</v>
      </c>
      <c r="L530" s="382" t="s">
        <v>130</v>
      </c>
      <c r="M530" s="382"/>
      <c r="N530" s="383"/>
      <c r="O530" s="383"/>
      <c r="P530" s="411"/>
      <c r="Q530" s="411"/>
      <c r="R530" s="400"/>
      <c r="S530" s="390">
        <v>44368</v>
      </c>
      <c r="T530" s="390" t="s">
        <v>778</v>
      </c>
      <c r="U530" s="387" t="s">
        <v>779</v>
      </c>
      <c r="V530" s="387" t="s">
        <v>780</v>
      </c>
      <c r="W530" s="387"/>
    </row>
    <row r="531" spans="1:23" x14ac:dyDescent="0.2">
      <c r="A531" s="13" t="str">
        <f>_xlfn.CONCAT(VLOOKUP(Check[[#This Row],[סטטוס]],Sold,2,FALSE),IF(Check[[#This Row],[סטטוס]]="פנויה",IF(N531="גמר מלא סטנדרט",".GMS",IF(N531="גמר מלא טיוב חומרים",".GMC",IF(N531="גמר מינימלי",".GM",IF(N531="דירת שיווק",".DS","")))),""),".",VLOOKUP(Check[[#This Row],[טיפוס]],Tipus[],5,FALSE),".",VLOOKUP(Check[[#This Row],[מגדל]],Tower,2,FALSE),".Ap.",Check[[#This Row],[מספר דירה]])</f>
        <v>S.S.4C.TN.Ap.192</v>
      </c>
      <c r="B531" s="13" t="str">
        <f>_xlfn.CONCAT(VLOOKUP(Check[[#This Row],[סטטוס]],Sold,2,FALSE),IF(Check[[#This Row],[סטטוס]]="פנויה",IF(N531="גמר מלא סטנדרט",".GMS",IF(N531="גמר מלא טיוב חומרים",".GMC",IF(N531="גמר מינימלי",".GM",IF(N531="דירת שיווק",".DS","")))),""),IF(M531="זומן לטרום",".ZLT",IF(M531="טרום מסירה",".TM",IF(M531="טרום מסירה מהנדס",".TMM",IF(M531="מסירת חזקה",".MH",IF(M531="מסירת חזקה מהנדס",".MHM",""))))),".",VLOOKUP(Check[[#This Row],[טיפוס]],Tipus[],5,FALSE),".",VLOOKUP(Check[[#This Row],[מגדל]],Tower,2,FALSE),".Ap.",Check[[#This Row],[מספר דירה]])</f>
        <v>S.S.4C.TN.Ap.192</v>
      </c>
      <c r="C531" s="3" t="s">
        <v>56</v>
      </c>
      <c r="D531" s="3">
        <v>24</v>
      </c>
      <c r="E531" s="4">
        <v>192</v>
      </c>
      <c r="F531" s="3">
        <v>2404</v>
      </c>
      <c r="G531" s="3" t="s">
        <v>26</v>
      </c>
      <c r="H531" s="5">
        <f>VLOOKUP(Check[[#This Row],[טיפוס]],Tipus[],2,FALSE)</f>
        <v>4</v>
      </c>
      <c r="I531" s="5" t="str">
        <f>VLOOKUP(Check[[#This Row],[טיפוס]],Tipus[],3,FALSE)</f>
        <v>סטנדרט</v>
      </c>
      <c r="J531" s="5" t="str">
        <f>VLOOKUP(Check[[#This Row],[טיפוס]],Tipus[],4,FALSE)</f>
        <v>A</v>
      </c>
      <c r="K531" s="3" t="str">
        <f>IF(Check[[#This Row],[סטטוס2]]="הולד","פנויה",Check[[#This Row],[סטטוס2]])</f>
        <v>מכורה</v>
      </c>
      <c r="L531" s="382" t="s">
        <v>130</v>
      </c>
      <c r="M531" s="382"/>
      <c r="N531" s="383"/>
      <c r="O531" s="383"/>
      <c r="P531" s="411"/>
      <c r="Q531" s="411"/>
      <c r="R531" s="400"/>
      <c r="S531" s="390">
        <v>44314</v>
      </c>
      <c r="T531" s="390" t="s">
        <v>781</v>
      </c>
      <c r="U531" s="387" t="s">
        <v>782</v>
      </c>
      <c r="V531" s="387" t="s">
        <v>783</v>
      </c>
      <c r="W531" s="387"/>
    </row>
    <row r="532" spans="1:23" x14ac:dyDescent="0.2">
      <c r="A532" s="13" t="str">
        <f>_xlfn.CONCAT(VLOOKUP(Check[[#This Row],[סטטוס]],Sold,2,FALSE),IF(Check[[#This Row],[סטטוס]]="פנויה",IF(N532="גמר מלא סטנדרט",".GMS",IF(N532="גמר מלא טיוב חומרים",".GMC",IF(N532="גמר מינימלי",".GM",IF(N532="דירת שיווק",".DS","")))),""),".",VLOOKUP(Check[[#This Row],[טיפוס]],Tipus[],5,FALSE),".",VLOOKUP(Check[[#This Row],[מגדל]],Tower,2,FALSE),".Ap.",Check[[#This Row],[מספר דירה]])</f>
        <v>V.GMS.S.2D.TN.Ap.193</v>
      </c>
      <c r="B532" s="13" t="str">
        <f>_xlfn.CONCAT(VLOOKUP(Check[[#This Row],[סטטוס]],Sold,2,FALSE),IF(Check[[#This Row],[סטטוס]]="פנויה",IF(N532="גמר מלא סטנדרט",".GMS",IF(N532="גמר מלא טיוב חומרים",".GMC",IF(N532="גמר מינימלי",".GM",IF(N532="דירת שיווק",".DS","")))),""),IF(M532="זומן לטרום",".ZLT",IF(M532="טרום מסירה",".TM",IF(M532="טרום מסירה מהנדס",".TMM",IF(M532="מסירת חזקה",".MH",IF(M532="מסירת חזקה מהנדס",".MHM",""))))),".",VLOOKUP(Check[[#This Row],[טיפוס]],Tipus[],5,FALSE),".",VLOOKUP(Check[[#This Row],[מגדל]],Tower,2,FALSE),".Ap.",Check[[#This Row],[מספר דירה]])</f>
        <v>V.GMS.S.2D.TN.Ap.193</v>
      </c>
      <c r="C532" s="3" t="s">
        <v>56</v>
      </c>
      <c r="D532" s="3">
        <v>24</v>
      </c>
      <c r="E532" s="4">
        <v>193</v>
      </c>
      <c r="F532" s="3">
        <v>2405</v>
      </c>
      <c r="G532" s="6" t="s">
        <v>10</v>
      </c>
      <c r="H532" s="5">
        <f>VLOOKUP(Check[[#This Row],[טיפוס]],Tipus[],2,FALSE)</f>
        <v>2</v>
      </c>
      <c r="I532" s="6" t="str">
        <f>VLOOKUP(Check[[#This Row],[טיפוס]],Tipus[],3,FALSE)</f>
        <v>סטנדרט</v>
      </c>
      <c r="J532" s="6" t="str">
        <f>VLOOKUP(Check[[#This Row],[טיפוס]],Tipus[],4,FALSE)</f>
        <v>C</v>
      </c>
      <c r="K532" s="3" t="str">
        <f>IF(Check[[#This Row],[סטטוס2]]="הולד","פנויה",Check[[#This Row],[סטטוס2]])</f>
        <v>פנויה</v>
      </c>
      <c r="L532" s="382" t="s">
        <v>108</v>
      </c>
      <c r="M532" s="382"/>
      <c r="N532" t="s">
        <v>1367</v>
      </c>
      <c r="O532" s="383" t="s">
        <v>1390</v>
      </c>
      <c r="P532" s="410" t="s">
        <v>1389</v>
      </c>
      <c r="Q532" s="410"/>
      <c r="R532" s="400"/>
      <c r="S532" s="390"/>
      <c r="T532" s="390" t="s">
        <v>214</v>
      </c>
      <c r="U532" s="387"/>
      <c r="V532" s="387"/>
      <c r="W532" s="387"/>
    </row>
    <row r="533" spans="1:23" x14ac:dyDescent="0.2">
      <c r="A533" s="13" t="str">
        <f>_xlfn.CONCAT(VLOOKUP(Check[[#This Row],[סטטוס]],Sold,2,FALSE),IF(Check[[#This Row],[סטטוס]]="פנויה",IF(N533="גמר מלא סטנדרט",".GMS",IF(N533="גמר מלא טיוב חומרים",".GMC",IF(N533="גמר מינימלי",".GM",IF(N533="דירת שיווק",".DS","")))),""),".",VLOOKUP(Check[[#This Row],[טיפוס]],Tipus[],5,FALSE),".",VLOOKUP(Check[[#This Row],[מגדל]],Tower,2,FALSE),".Ap.",Check[[#This Row],[מספר דירה]])</f>
        <v>V.GMS.S.3A.TN.Ap.194</v>
      </c>
      <c r="B533" s="13" t="str">
        <f>_xlfn.CONCAT(VLOOKUP(Check[[#This Row],[סטטוס]],Sold,2,FALSE),IF(Check[[#This Row],[סטטוס]]="פנויה",IF(N533="גמר מלא סטנדרט",".GMS",IF(N533="גמר מלא טיוב חומרים",".GMC",IF(N533="גמר מינימלי",".GM",IF(N533="דירת שיווק",".DS","")))),""),IF(M533="זומן לטרום",".ZLT",IF(M533="טרום מסירה",".TM",IF(M533="טרום מסירה מהנדס",".TMM",IF(M533="מסירת חזקה",".MH",IF(M533="מסירת חזקה מהנדס",".MHM",""))))),".",VLOOKUP(Check[[#This Row],[טיפוס]],Tipus[],5,FALSE),".",VLOOKUP(Check[[#This Row],[מגדל]],Tower,2,FALSE),".Ap.",Check[[#This Row],[מספר דירה]])</f>
        <v>V.GMS.S.3A.TN.Ap.194</v>
      </c>
      <c r="C533" s="3" t="s">
        <v>56</v>
      </c>
      <c r="D533" s="3">
        <v>25</v>
      </c>
      <c r="E533" s="4">
        <v>194</v>
      </c>
      <c r="F533" s="3">
        <v>2506</v>
      </c>
      <c r="G533" s="3" t="s">
        <v>9</v>
      </c>
      <c r="H533" s="5">
        <f>VLOOKUP(Check[[#This Row],[טיפוס]],Tipus[],2,FALSE)</f>
        <v>3</v>
      </c>
      <c r="I533" s="5" t="str">
        <f>VLOOKUP(Check[[#This Row],[טיפוס]],Tipus[],3,FALSE)</f>
        <v>סטנדרט</v>
      </c>
      <c r="J533" s="5" t="str">
        <f>VLOOKUP(Check[[#This Row],[טיפוס]],Tipus[],4,FALSE)</f>
        <v>D</v>
      </c>
      <c r="K533" s="3" t="str">
        <f>IF(Check[[#This Row],[סטטוס2]]="הולד","פנויה",Check[[#This Row],[סטטוס2]])</f>
        <v>פנויה</v>
      </c>
      <c r="L533" s="382" t="s">
        <v>108</v>
      </c>
      <c r="M533" s="382"/>
      <c r="N533" t="s">
        <v>1367</v>
      </c>
      <c r="O533" s="383" t="s">
        <v>1390</v>
      </c>
      <c r="P533" s="410" t="s">
        <v>1389</v>
      </c>
      <c r="Q533" s="410"/>
      <c r="R533" s="400"/>
      <c r="S533" s="390"/>
      <c r="T533" s="390" t="s">
        <v>214</v>
      </c>
      <c r="U533" s="387"/>
      <c r="V533" s="387"/>
      <c r="W533" s="387"/>
    </row>
    <row r="534" spans="1:23" x14ac:dyDescent="0.2">
      <c r="A534" s="13" t="str">
        <f>_xlfn.CONCAT(VLOOKUP(Check[[#This Row],[סטטוס]],Sold,2,FALSE),IF(Check[[#This Row],[סטטוס]]="פנויה",IF(N534="גמר מלא סטנדרט",".GMS",IF(N534="גמר מלא טיוב חומרים",".GMC",IF(N534="גמר מינימלי",".GM",IF(N534="דירת שיווק",".DS","")))),""),".",VLOOKUP(Check[[#This Row],[טיפוס]],Tipus[],5,FALSE),".",VLOOKUP(Check[[#This Row],[מגדל]],Tower,2,FALSE),".Ap.",Check[[#This Row],[מספר דירה]])</f>
        <v>S.S.3G.TN.Ap.195</v>
      </c>
      <c r="B534" s="13" t="str">
        <f>_xlfn.CONCAT(VLOOKUP(Check[[#This Row],[סטטוס]],Sold,2,FALSE),IF(Check[[#This Row],[סטטוס]]="פנויה",IF(N534="גמר מלא סטנדרט",".GMS",IF(N534="גמר מלא טיוב חומרים",".GMC",IF(N534="גמר מינימלי",".GM",IF(N534="דירת שיווק",".DS","")))),""),IF(M534="זומן לטרום",".ZLT",IF(M534="טרום מסירה",".TM",IF(M534="טרום מסירה מהנדס",".TMM",IF(M534="מסירת חזקה",".MH",IF(M534="מסירת חזקה מהנדס",".MHM",""))))),".",VLOOKUP(Check[[#This Row],[טיפוס]],Tipus[],5,FALSE),".",VLOOKUP(Check[[#This Row],[מגדל]],Tower,2,FALSE),".Ap.",Check[[#This Row],[מספר דירה]])</f>
        <v>S.S.3G.TN.Ap.195</v>
      </c>
      <c r="C534" s="3" t="s">
        <v>56</v>
      </c>
      <c r="D534" s="3">
        <v>25</v>
      </c>
      <c r="E534" s="4">
        <v>195</v>
      </c>
      <c r="F534" s="3">
        <v>2507</v>
      </c>
      <c r="G534" s="3" t="s">
        <v>22</v>
      </c>
      <c r="H534" s="5">
        <f>VLOOKUP(Check[[#This Row],[טיפוס]],Tipus[],2,FALSE)</f>
        <v>3</v>
      </c>
      <c r="I534" s="5" t="str">
        <f>VLOOKUP(Check[[#This Row],[טיפוס]],Tipus[],3,FALSE)</f>
        <v>סטנדרט</v>
      </c>
      <c r="J534" s="5" t="str">
        <f>VLOOKUP(Check[[#This Row],[טיפוס]],Tipus[],4,FALSE)</f>
        <v>E</v>
      </c>
      <c r="K534" s="3" t="str">
        <f>IF(Check[[#This Row],[סטטוס2]]="הולד","פנויה",Check[[#This Row],[סטטוס2]])</f>
        <v>מכורה</v>
      </c>
      <c r="L534" s="382" t="s">
        <v>130</v>
      </c>
      <c r="M534" s="382"/>
      <c r="N534" s="383"/>
      <c r="O534" s="383"/>
      <c r="P534" s="411"/>
      <c r="Q534" s="411"/>
      <c r="R534" s="400"/>
      <c r="S534" s="390">
        <v>44997</v>
      </c>
      <c r="T534" s="390" t="s">
        <v>784</v>
      </c>
      <c r="U534" s="387" t="s">
        <v>785</v>
      </c>
      <c r="V534" s="387"/>
      <c r="W534" s="387"/>
    </row>
    <row r="535" spans="1:23" x14ac:dyDescent="0.2">
      <c r="A535" s="13" t="str">
        <f>_xlfn.CONCAT(VLOOKUP(Check[[#This Row],[סטטוס]],Sold,2,FALSE),IF(Check[[#This Row],[סטטוס]]="פנויה",IF(N535="גמר מלא סטנדרט",".GMS",IF(N535="גמר מלא טיוב חומרים",".GMC",IF(N535="גמר מינימלי",".GM",IF(N535="דירת שיווק",".DS","")))),""),".",VLOOKUP(Check[[#This Row],[טיפוס]],Tipus[],5,FALSE),".",VLOOKUP(Check[[#This Row],[מגדל]],Tower,2,FALSE),".Ap.",Check[[#This Row],[מספר דירה]])</f>
        <v>S.S.3F.TN.Ap.196</v>
      </c>
      <c r="B535" s="13" t="str">
        <f>_xlfn.CONCAT(VLOOKUP(Check[[#This Row],[סטטוס]],Sold,2,FALSE),IF(Check[[#This Row],[סטטוס]]="פנויה",IF(N535="גמר מלא סטנדרט",".GMS",IF(N535="גמר מלא טיוב חומרים",".GMC",IF(N535="גמר מינימלי",".GM",IF(N535="דירת שיווק",".DS","")))),""),IF(M535="זומן לטרום",".ZLT",IF(M535="טרום מסירה",".TM",IF(M535="טרום מסירה מהנדס",".TMM",IF(M535="מסירת חזקה",".MH",IF(M535="מסירת חזקה מהנדס",".MHM",""))))),".",VLOOKUP(Check[[#This Row],[טיפוס]],Tipus[],5,FALSE),".",VLOOKUP(Check[[#This Row],[מגדל]],Tower,2,FALSE),".Ap.",Check[[#This Row],[מספר דירה]])</f>
        <v>S.S.3F.TN.Ap.196</v>
      </c>
      <c r="C535" s="3" t="s">
        <v>56</v>
      </c>
      <c r="D535" s="3">
        <v>25</v>
      </c>
      <c r="E535" s="4">
        <v>196</v>
      </c>
      <c r="F535" s="3">
        <v>2501</v>
      </c>
      <c r="G535" s="5" t="s">
        <v>23</v>
      </c>
      <c r="H535" s="5">
        <f>VLOOKUP(Check[[#This Row],[טיפוס]],Tipus[],2,FALSE)</f>
        <v>3</v>
      </c>
      <c r="I535" s="5" t="str">
        <f>VLOOKUP(Check[[#This Row],[טיפוס]],Tipus[],3,FALSE)</f>
        <v>סטנדרט</v>
      </c>
      <c r="J535" s="5" t="str">
        <f>VLOOKUP(Check[[#This Row],[טיפוס]],Tipus[],4,FALSE)</f>
        <v>G</v>
      </c>
      <c r="K535" s="3" t="str">
        <f>IF(Check[[#This Row],[סטטוס2]]="הולד","פנויה",Check[[#This Row],[סטטוס2]])</f>
        <v>מכורה</v>
      </c>
      <c r="L535" s="382" t="s">
        <v>130</v>
      </c>
      <c r="M535" s="382"/>
      <c r="N535" s="383"/>
      <c r="O535" s="383"/>
      <c r="P535" s="411"/>
      <c r="Q535" s="411"/>
      <c r="R535" s="400"/>
      <c r="S535" s="390">
        <v>44262</v>
      </c>
      <c r="T535" s="390" t="s">
        <v>786</v>
      </c>
      <c r="U535" s="387" t="s">
        <v>787</v>
      </c>
      <c r="V535" s="387"/>
      <c r="W535" s="387"/>
    </row>
    <row r="536" spans="1:23" x14ac:dyDescent="0.2">
      <c r="A536" s="13" t="str">
        <f>_xlfn.CONCAT(VLOOKUP(Check[[#This Row],[סטטוס]],Sold,2,FALSE),IF(Check[[#This Row],[סטטוס]]="פנויה",IF(N536="גמר מלא סטנדרט",".GMS",IF(N536="גמר מלא טיוב חומרים",".GMC",IF(N536="גמר מינימלי",".GM",IF(N536="דירת שיווק",".DS","")))),""),".",VLOOKUP(Check[[#This Row],[טיפוס]],Tipus[],5,FALSE),".",VLOOKUP(Check[[#This Row],[מגדל]],Tower,2,FALSE),".Ap.",Check[[#This Row],[מספר דירה]])</f>
        <v>O.S.5B.TN.Ap.197</v>
      </c>
      <c r="B536" s="13" t="str">
        <f>_xlfn.CONCAT(VLOOKUP(Check[[#This Row],[סטטוס]],Sold,2,FALSE),IF(Check[[#This Row],[סטטוס]]="פנויה",IF(N536="גמר מלא סטנדרט",".GMS",IF(N536="גמר מלא טיוב חומרים",".GMC",IF(N536="גמר מינימלי",".GM",IF(N536="דירת שיווק",".DS","")))),""),IF(M536="זומן לטרום",".ZLT",IF(M536="טרום מסירה",".TM",IF(M536="טרום מסירה מהנדס",".TMM",IF(M536="מסירת חזקה",".MH",IF(M536="מסירת חזקה מהנדס",".MHM",""))))),".",VLOOKUP(Check[[#This Row],[טיפוס]],Tipus[],5,FALSE),".",VLOOKUP(Check[[#This Row],[מגדל]],Tower,2,FALSE),".Ap.",Check[[#This Row],[מספר דירה]])</f>
        <v>O.S.5B.TN.Ap.197</v>
      </c>
      <c r="C536" s="3" t="s">
        <v>56</v>
      </c>
      <c r="D536" s="3">
        <v>25</v>
      </c>
      <c r="E536" s="4">
        <v>197</v>
      </c>
      <c r="F536" s="3">
        <v>2502</v>
      </c>
      <c r="G536" s="5" t="s">
        <v>24</v>
      </c>
      <c r="H536" s="5">
        <f>VLOOKUP(Check[[#This Row],[טיפוס]],Tipus[],2,FALSE)</f>
        <v>5</v>
      </c>
      <c r="I536" s="5" t="str">
        <f>VLOOKUP(Check[[#This Row],[טיפוס]],Tipus[],3,FALSE)</f>
        <v>סטנדרט</v>
      </c>
      <c r="J536" s="5" t="str">
        <f>VLOOKUP(Check[[#This Row],[טיפוס]],Tipus[],4,FALSE)</f>
        <v>H</v>
      </c>
      <c r="K536" s="3" t="str">
        <f>IF(Check[[#This Row],[סטטוס2]]="הולד","פנויה",Check[[#This Row],[סטטוס2]])</f>
        <v>בעלים</v>
      </c>
      <c r="L536" s="382" t="s">
        <v>91</v>
      </c>
      <c r="M536" s="382"/>
      <c r="N536" s="383"/>
      <c r="O536" s="383"/>
      <c r="P536" s="411"/>
      <c r="Q536" s="411"/>
      <c r="R536" s="400"/>
      <c r="S536" s="390">
        <v>44040</v>
      </c>
      <c r="T536" s="390" t="s">
        <v>1357</v>
      </c>
      <c r="U536" s="387" t="s">
        <v>272</v>
      </c>
      <c r="V536" s="387" t="s">
        <v>273</v>
      </c>
      <c r="W536" s="387" t="s">
        <v>214</v>
      </c>
    </row>
    <row r="537" spans="1:23" x14ac:dyDescent="0.2">
      <c r="A537" s="13" t="str">
        <f>_xlfn.CONCAT(VLOOKUP(Check[[#This Row],[סטטוס]],Sold,2,FALSE),IF(Check[[#This Row],[סטטוס]]="פנויה",IF(N537="גמר מלא סטנדרט",".GMS",IF(N537="גמר מלא טיוב חומרים",".GMC",IF(N537="גמר מינימלי",".GM",IF(N537="דירת שיווק",".DS","")))),""),".",VLOOKUP(Check[[#This Row],[טיפוס]],Tipus[],5,FALSE),".",VLOOKUP(Check[[#This Row],[מגדל]],Tower,2,FALSE),".Ap.",Check[[#This Row],[מספר דירה]])</f>
        <v>S.S.5A.TN.Ap.198</v>
      </c>
      <c r="B537" s="13" t="str">
        <f>_xlfn.CONCAT(VLOOKUP(Check[[#This Row],[סטטוס]],Sold,2,FALSE),IF(Check[[#This Row],[סטטוס]]="פנויה",IF(N537="גמר מלא סטנדרט",".GMS",IF(N537="גמר מלא טיוב חומרים",".GMC",IF(N537="גמר מינימלי",".GM",IF(N537="דירת שיווק",".DS","")))),""),IF(M537="זומן לטרום",".ZLT",IF(M537="טרום מסירה",".TM",IF(M537="טרום מסירה מהנדס",".TMM",IF(M537="מסירת חזקה",".MH",IF(M537="מסירת חזקה מהנדס",".MHM",""))))),".",VLOOKUP(Check[[#This Row],[טיפוס]],Tipus[],5,FALSE),".",VLOOKUP(Check[[#This Row],[מגדל]],Tower,2,FALSE),".Ap.",Check[[#This Row],[מספר דירה]])</f>
        <v>S.S.5A.TN.Ap.198</v>
      </c>
      <c r="C537" s="3" t="s">
        <v>56</v>
      </c>
      <c r="D537" s="3">
        <v>25</v>
      </c>
      <c r="E537" s="4">
        <v>198</v>
      </c>
      <c r="F537" s="3">
        <v>2503</v>
      </c>
      <c r="G537" s="5" t="s">
        <v>25</v>
      </c>
      <c r="H537" s="5">
        <f>VLOOKUP(Check[[#This Row],[טיפוס]],Tipus[],2,FALSE)</f>
        <v>5</v>
      </c>
      <c r="I537" s="5" t="str">
        <f>VLOOKUP(Check[[#This Row],[טיפוס]],Tipus[],3,FALSE)</f>
        <v>סטנדרט</v>
      </c>
      <c r="J537" s="5" t="str">
        <f>VLOOKUP(Check[[#This Row],[טיפוס]],Tipus[],4,FALSE)</f>
        <v>J</v>
      </c>
      <c r="K537" s="3" t="str">
        <f>IF(Check[[#This Row],[סטטוס2]]="הולד","פנויה",Check[[#This Row],[סטטוס2]])</f>
        <v>מכורה</v>
      </c>
      <c r="L537" s="382" t="s">
        <v>130</v>
      </c>
      <c r="M537" s="382"/>
      <c r="N537" s="383"/>
      <c r="O537" s="383"/>
      <c r="P537" s="411"/>
      <c r="Q537" s="411"/>
      <c r="R537" s="383"/>
      <c r="S537" s="390">
        <v>44367</v>
      </c>
      <c r="T537" s="390" t="s">
        <v>788</v>
      </c>
      <c r="U537" s="387" t="s">
        <v>789</v>
      </c>
      <c r="V537" s="387" t="s">
        <v>790</v>
      </c>
      <c r="W537" s="387"/>
    </row>
    <row r="538" spans="1:23" x14ac:dyDescent="0.2">
      <c r="A538" s="13" t="str">
        <f>_xlfn.CONCAT(VLOOKUP(Check[[#This Row],[סטטוס]],Sold,2,FALSE),IF(Check[[#This Row],[סטטוס]]="פנויה",IF(N538="גמר מלא סטנדרט",".GMS",IF(N538="גמר מלא טיוב חומרים",".GMC",IF(N538="גמר מינימלי",".GM",IF(N538="דירת שיווק",".DS","")))),""),".",VLOOKUP(Check[[#This Row],[טיפוס]],Tipus[],5,FALSE),".",VLOOKUP(Check[[#This Row],[מגדל]],Tower,2,FALSE),".Ap.",Check[[#This Row],[מספר דירה]])</f>
        <v>S.S.4C.TN.Ap.199</v>
      </c>
      <c r="B538" s="13" t="str">
        <f>_xlfn.CONCAT(VLOOKUP(Check[[#This Row],[סטטוס]],Sold,2,FALSE),IF(Check[[#This Row],[סטטוס]]="פנויה",IF(N538="גמר מלא סטנדרט",".GMS",IF(N538="גמר מלא טיוב חומרים",".GMC",IF(N538="גמר מינימלי",".GM",IF(N538="דירת שיווק",".DS","")))),""),IF(M538="זומן לטרום",".ZLT",IF(M538="טרום מסירה",".TM",IF(M538="טרום מסירה מהנדס",".TMM",IF(M538="מסירת חזקה",".MH",IF(M538="מסירת חזקה מהנדס",".MHM",""))))),".",VLOOKUP(Check[[#This Row],[טיפוס]],Tipus[],5,FALSE),".",VLOOKUP(Check[[#This Row],[מגדל]],Tower,2,FALSE),".Ap.",Check[[#This Row],[מספר דירה]])</f>
        <v>S.S.4C.TN.Ap.199</v>
      </c>
      <c r="C538" s="3" t="s">
        <v>56</v>
      </c>
      <c r="D538" s="3">
        <v>25</v>
      </c>
      <c r="E538" s="4">
        <v>199</v>
      </c>
      <c r="F538" s="3">
        <v>2504</v>
      </c>
      <c r="G538" s="3" t="s">
        <v>26</v>
      </c>
      <c r="H538" s="5">
        <f>VLOOKUP(Check[[#This Row],[טיפוס]],Tipus[],2,FALSE)</f>
        <v>4</v>
      </c>
      <c r="I538" s="5" t="str">
        <f>VLOOKUP(Check[[#This Row],[טיפוס]],Tipus[],3,FALSE)</f>
        <v>סטנדרט</v>
      </c>
      <c r="J538" s="5" t="str">
        <f>VLOOKUP(Check[[#This Row],[טיפוס]],Tipus[],4,FALSE)</f>
        <v>A</v>
      </c>
      <c r="K538" s="3" t="str">
        <f>IF(Check[[#This Row],[סטטוס2]]="הולד","פנויה",Check[[#This Row],[סטטוס2]])</f>
        <v>מכורה</v>
      </c>
      <c r="L538" s="382" t="s">
        <v>130</v>
      </c>
      <c r="M538" s="382"/>
      <c r="N538" s="383"/>
      <c r="O538" s="383"/>
      <c r="P538" s="411"/>
      <c r="Q538" s="411"/>
      <c r="R538" s="383"/>
      <c r="S538" s="390">
        <v>44255</v>
      </c>
      <c r="T538" s="390" t="s">
        <v>791</v>
      </c>
      <c r="U538" s="387" t="s">
        <v>792</v>
      </c>
      <c r="V538" s="387" t="s">
        <v>793</v>
      </c>
      <c r="W538" s="387"/>
    </row>
    <row r="539" spans="1:23" x14ac:dyDescent="0.2">
      <c r="A539" s="13" t="str">
        <f>_xlfn.CONCAT(VLOOKUP(Check[[#This Row],[סטטוס]],Sold,2,FALSE),IF(Check[[#This Row],[סטטוס]]="פנויה",IF(N539="גמר מלא סטנדרט",".GMS",IF(N539="גמר מלא טיוב חומרים",".GMC",IF(N539="גמר מינימלי",".GM",IF(N539="דירת שיווק",".DS","")))),""),".",VLOOKUP(Check[[#This Row],[טיפוס]],Tipus[],5,FALSE),".",VLOOKUP(Check[[#This Row],[מגדל]],Tower,2,FALSE),".Ap.",Check[[#This Row],[מספר דירה]])</f>
        <v>V.GMS.S.2D.TN.Ap.200</v>
      </c>
      <c r="B539" s="13" t="str">
        <f>_xlfn.CONCAT(VLOOKUP(Check[[#This Row],[סטטוס]],Sold,2,FALSE),IF(Check[[#This Row],[סטטוס]]="פנויה",IF(N539="גמר מלא סטנדרט",".GMS",IF(N539="גמר מלא טיוב חומרים",".GMC",IF(N539="גמר מינימלי",".GM",IF(N539="דירת שיווק",".DS","")))),""),IF(M539="זומן לטרום",".ZLT",IF(M539="טרום מסירה",".TM",IF(M539="טרום מסירה מהנדס",".TMM",IF(M539="מסירת חזקה",".MH",IF(M539="מסירת חזקה מהנדס",".MHM",""))))),".",VLOOKUP(Check[[#This Row],[טיפוס]],Tipus[],5,FALSE),".",VLOOKUP(Check[[#This Row],[מגדל]],Tower,2,FALSE),".Ap.",Check[[#This Row],[מספר דירה]])</f>
        <v>V.GMS.S.2D.TN.Ap.200</v>
      </c>
      <c r="C539" s="3" t="s">
        <v>56</v>
      </c>
      <c r="D539" s="3">
        <v>25</v>
      </c>
      <c r="E539" s="4">
        <v>200</v>
      </c>
      <c r="F539" s="3">
        <v>2505</v>
      </c>
      <c r="G539" s="6" t="s">
        <v>10</v>
      </c>
      <c r="H539" s="5">
        <f>VLOOKUP(Check[[#This Row],[טיפוס]],Tipus[],2,FALSE)</f>
        <v>2</v>
      </c>
      <c r="I539" s="6" t="str">
        <f>VLOOKUP(Check[[#This Row],[טיפוס]],Tipus[],3,FALSE)</f>
        <v>סטנדרט</v>
      </c>
      <c r="J539" s="6" t="str">
        <f>VLOOKUP(Check[[#This Row],[טיפוס]],Tipus[],4,FALSE)</f>
        <v>C</v>
      </c>
      <c r="K539" s="3" t="str">
        <f>IF(Check[[#This Row],[סטטוס2]]="הולד","פנויה",Check[[#This Row],[סטטוס2]])</f>
        <v>פנויה</v>
      </c>
      <c r="L539" s="382" t="s">
        <v>108</v>
      </c>
      <c r="M539" s="382"/>
      <c r="N539" t="s">
        <v>1367</v>
      </c>
      <c r="O539" s="383" t="s">
        <v>1390</v>
      </c>
      <c r="P539" s="410" t="s">
        <v>1389</v>
      </c>
      <c r="Q539" s="410"/>
      <c r="R539" s="383"/>
      <c r="S539" s="390"/>
      <c r="T539" s="390" t="s">
        <v>214</v>
      </c>
      <c r="U539" s="387"/>
      <c r="V539" s="387"/>
      <c r="W539" s="387"/>
    </row>
    <row r="540" spans="1:23" x14ac:dyDescent="0.2">
      <c r="A540" s="13" t="str">
        <f>_xlfn.CONCAT(VLOOKUP(Check[[#This Row],[סטטוס]],Sold,2,FALSE),IF(Check[[#This Row],[סטטוס]]="פנויה",IF(N540="גמר מלא סטנדרט",".GMS",IF(N540="גמר מלא טיוב חומרים",".GMC",IF(N540="גמר מינימלי",".GM",IF(N540="דירת שיווק",".DS","")))),""),".",VLOOKUP(Check[[#This Row],[טיפוס]],Tipus[],5,FALSE),".",VLOOKUP(Check[[#This Row],[מגדל]],Tower,2,FALSE),".Ap.",Check[[#This Row],[מספר דירה]])</f>
        <v>V.GMS.S.3A.TN.Ap.201</v>
      </c>
      <c r="B540" s="13" t="str">
        <f>_xlfn.CONCAT(VLOOKUP(Check[[#This Row],[סטטוס]],Sold,2,FALSE),IF(Check[[#This Row],[סטטוס]]="פנויה",IF(N540="גמר מלא סטנדרט",".GMS",IF(N540="גמר מלא טיוב חומרים",".GMC",IF(N540="גמר מינימלי",".GM",IF(N540="דירת שיווק",".DS","")))),""),IF(M540="זומן לטרום",".ZLT",IF(M540="טרום מסירה",".TM",IF(M540="טרום מסירה מהנדס",".TMM",IF(M540="מסירת חזקה",".MH",IF(M540="מסירת חזקה מהנדס",".MHM",""))))),".",VLOOKUP(Check[[#This Row],[טיפוס]],Tipus[],5,FALSE),".",VLOOKUP(Check[[#This Row],[מגדל]],Tower,2,FALSE),".Ap.",Check[[#This Row],[מספר דירה]])</f>
        <v>V.GMS.S.3A.TN.Ap.201</v>
      </c>
      <c r="C540" s="3" t="s">
        <v>56</v>
      </c>
      <c r="D540" s="3">
        <v>26</v>
      </c>
      <c r="E540" s="4">
        <v>201</v>
      </c>
      <c r="F540" s="3">
        <v>2605</v>
      </c>
      <c r="G540" s="3" t="s">
        <v>9</v>
      </c>
      <c r="H540" s="5">
        <f>VLOOKUP(Check[[#This Row],[טיפוס]],Tipus[],2,FALSE)</f>
        <v>3</v>
      </c>
      <c r="I540" s="5" t="str">
        <f>VLOOKUP(Check[[#This Row],[טיפוס]],Tipus[],3,FALSE)</f>
        <v>סטנדרט</v>
      </c>
      <c r="J540" s="5" t="str">
        <f>VLOOKUP(Check[[#This Row],[טיפוס]],Tipus[],4,FALSE)</f>
        <v>D</v>
      </c>
      <c r="K540" s="3" t="str">
        <f>IF(Check[[#This Row],[סטטוס2]]="הולד","פנויה",Check[[#This Row],[סטטוס2]])</f>
        <v>פנויה</v>
      </c>
      <c r="L540" s="382" t="s">
        <v>108</v>
      </c>
      <c r="M540" s="382"/>
      <c r="N540" t="s">
        <v>1367</v>
      </c>
      <c r="O540" s="383" t="s">
        <v>1390</v>
      </c>
      <c r="P540" s="410" t="s">
        <v>1389</v>
      </c>
      <c r="Q540" s="410"/>
      <c r="R540" s="383"/>
      <c r="S540" s="390"/>
      <c r="T540" s="390" t="s">
        <v>214</v>
      </c>
      <c r="U540" s="387"/>
      <c r="V540" s="387"/>
      <c r="W540" s="387"/>
    </row>
    <row r="541" spans="1:23" x14ac:dyDescent="0.2">
      <c r="A541" s="13" t="str">
        <f>_xlfn.CONCAT(VLOOKUP(Check[[#This Row],[סטטוס]],Sold,2,FALSE),IF(Check[[#This Row],[סטטוס]]="פנויה",IF(N541="גמר מלא סטנדרט",".GMS",IF(N541="גמר מלא טיוב חומרים",".GMC",IF(N541="גמר מינימלי",".GM",IF(N541="דירת שיווק",".DS","")))),""),".",VLOOKUP(Check[[#This Row],[טיפוס]],Tipus[],5,FALSE),".",VLOOKUP(Check[[#This Row],[מגדל]],Tower,2,FALSE),".Ap.",Check[[#This Row],[מספר דירה]])</f>
        <v>S.S.3G.TN.Ap.202</v>
      </c>
      <c r="B541" s="13" t="str">
        <f>_xlfn.CONCAT(VLOOKUP(Check[[#This Row],[סטטוס]],Sold,2,FALSE),IF(Check[[#This Row],[סטטוס]]="פנויה",IF(N541="גמר מלא סטנדרט",".GMS",IF(N541="גמר מלא טיוב חומרים",".GMC",IF(N541="גמר מינימלי",".GM",IF(N541="דירת שיווק",".DS","")))),""),IF(M541="זומן לטרום",".ZLT",IF(M541="טרום מסירה",".TM",IF(M541="טרום מסירה מהנדס",".TMM",IF(M541="מסירת חזקה",".MH",IF(M541="מסירת חזקה מהנדס",".MHM",""))))),".",VLOOKUP(Check[[#This Row],[טיפוס]],Tipus[],5,FALSE),".",VLOOKUP(Check[[#This Row],[מגדל]],Tower,2,FALSE),".Ap.",Check[[#This Row],[מספר דירה]])</f>
        <v>S.S.3G.TN.Ap.202</v>
      </c>
      <c r="C541" s="3" t="s">
        <v>56</v>
      </c>
      <c r="D541" s="3">
        <v>26</v>
      </c>
      <c r="E541" s="4">
        <v>202</v>
      </c>
      <c r="F541" s="3">
        <v>2607</v>
      </c>
      <c r="G541" s="3" t="s">
        <v>22</v>
      </c>
      <c r="H541" s="5">
        <f>VLOOKUP(Check[[#This Row],[טיפוס]],Tipus[],2,FALSE)</f>
        <v>3</v>
      </c>
      <c r="I541" s="5" t="str">
        <f>VLOOKUP(Check[[#This Row],[טיפוס]],Tipus[],3,FALSE)</f>
        <v>סטנדרט</v>
      </c>
      <c r="J541" s="5" t="str">
        <f>VLOOKUP(Check[[#This Row],[טיפוס]],Tipus[],4,FALSE)</f>
        <v>E</v>
      </c>
      <c r="K541" s="3" t="str">
        <f>IF(Check[[#This Row],[סטטוס2]]="הולד","פנויה",Check[[#This Row],[סטטוס2]])</f>
        <v>מכורה</v>
      </c>
      <c r="L541" s="382" t="s">
        <v>130</v>
      </c>
      <c r="M541" s="382"/>
      <c r="N541" s="383"/>
      <c r="O541" s="383"/>
      <c r="P541" s="411"/>
      <c r="Q541" s="411"/>
      <c r="R541" s="383"/>
      <c r="S541" s="390">
        <v>45399</v>
      </c>
      <c r="T541" s="390" t="s">
        <v>1211</v>
      </c>
      <c r="U541" s="387"/>
      <c r="V541" s="387"/>
      <c r="W541" s="387"/>
    </row>
    <row r="542" spans="1:23" x14ac:dyDescent="0.2">
      <c r="A542" s="13" t="str">
        <f>_xlfn.CONCAT(VLOOKUP(Check[[#This Row],[סטטוס]],Sold,2,FALSE),IF(Check[[#This Row],[סטטוס]]="פנויה",IF(N542="גמר מלא סטנדרט",".GMS",IF(N542="גמר מלא טיוב חומרים",".GMC",IF(N542="גמר מינימלי",".GM",IF(N542="דירת שיווק",".DS","")))),""),".",VLOOKUP(Check[[#This Row],[טיפוס]],Tipus[],5,FALSE),".",VLOOKUP(Check[[#This Row],[מגדל]],Tower,2,FALSE),".Ap.",Check[[#This Row],[מספר דירה]])</f>
        <v>S.S.3F.TN.Ap.203</v>
      </c>
      <c r="B542" s="13" t="str">
        <f>_xlfn.CONCAT(VLOOKUP(Check[[#This Row],[סטטוס]],Sold,2,FALSE),IF(Check[[#This Row],[סטטוס]]="פנויה",IF(N542="גמר מלא סטנדרט",".GMS",IF(N542="גמר מלא טיוב חומרים",".GMC",IF(N542="גמר מינימלי",".GM",IF(N542="דירת שיווק",".DS","")))),""),IF(M542="זומן לטרום",".ZLT",IF(M542="טרום מסירה",".TM",IF(M542="טרום מסירה מהנדס",".TMM",IF(M542="מסירת חזקה",".MH",IF(M542="מסירת חזקה מהנדס",".MHM",""))))),".",VLOOKUP(Check[[#This Row],[טיפוס]],Tipus[],5,FALSE),".",VLOOKUP(Check[[#This Row],[מגדל]],Tower,2,FALSE),".Ap.",Check[[#This Row],[מספר דירה]])</f>
        <v>S.S.3F.TN.Ap.203</v>
      </c>
      <c r="C542" s="3" t="s">
        <v>56</v>
      </c>
      <c r="D542" s="3">
        <v>26</v>
      </c>
      <c r="E542" s="4">
        <v>203</v>
      </c>
      <c r="F542" s="3">
        <v>2601</v>
      </c>
      <c r="G542" s="5" t="s">
        <v>23</v>
      </c>
      <c r="H542" s="5">
        <f>VLOOKUP(Check[[#This Row],[טיפוס]],Tipus[],2,FALSE)</f>
        <v>3</v>
      </c>
      <c r="I542" s="5" t="str">
        <f>VLOOKUP(Check[[#This Row],[טיפוס]],Tipus[],3,FALSE)</f>
        <v>סטנדרט</v>
      </c>
      <c r="J542" s="5" t="str">
        <f>VLOOKUP(Check[[#This Row],[טיפוס]],Tipus[],4,FALSE)</f>
        <v>G</v>
      </c>
      <c r="K542" s="3" t="str">
        <f>IF(Check[[#This Row],[סטטוס2]]="הולד","פנויה",Check[[#This Row],[סטטוס2]])</f>
        <v>מכורה</v>
      </c>
      <c r="L542" s="382" t="s">
        <v>130</v>
      </c>
      <c r="M542" s="382"/>
      <c r="N542" s="383"/>
      <c r="O542" s="383"/>
      <c r="P542" s="411"/>
      <c r="Q542" s="411"/>
      <c r="R542" s="383"/>
      <c r="S542" s="390">
        <v>44364</v>
      </c>
      <c r="T542" s="390" t="s">
        <v>1071</v>
      </c>
      <c r="U542" s="387" t="s">
        <v>794</v>
      </c>
      <c r="V542" s="387"/>
      <c r="W542" s="387"/>
    </row>
    <row r="543" spans="1:23" x14ac:dyDescent="0.2">
      <c r="A543" s="13" t="str">
        <f>_xlfn.CONCAT(VLOOKUP(Check[[#This Row],[סטטוס]],Sold,2,FALSE),IF(Check[[#This Row],[סטטוס]]="פנויה",IF(N543="גמר מלא סטנדרט",".GMS",IF(N543="גמר מלא טיוב חומרים",".GMC",IF(N543="גמר מינימלי",".GM",IF(N543="דירת שיווק",".DS","")))),""),".",VLOOKUP(Check[[#This Row],[טיפוס]],Tipus[],5,FALSE),".",VLOOKUP(Check[[#This Row],[מגדל]],Tower,2,FALSE),".Ap.",Check[[#This Row],[מספר דירה]])</f>
        <v>S.S.5B.TN.Ap.204</v>
      </c>
      <c r="B543" s="13" t="str">
        <f>_xlfn.CONCAT(VLOOKUP(Check[[#This Row],[סטטוס]],Sold,2,FALSE),IF(Check[[#This Row],[סטטוס]]="פנויה",IF(N543="גמר מלא סטנדרט",".GMS",IF(N543="גמר מלא טיוב חומרים",".GMC",IF(N543="גמר מינימלי",".GM",IF(N543="דירת שיווק",".DS","")))),""),IF(M543="זומן לטרום",".ZLT",IF(M543="טרום מסירה",".TM",IF(M543="טרום מסירה מהנדס",".TMM",IF(M543="מסירת חזקה",".MH",IF(M543="מסירת חזקה מהנדס",".MHM",""))))),".",VLOOKUP(Check[[#This Row],[טיפוס]],Tipus[],5,FALSE),".",VLOOKUP(Check[[#This Row],[מגדל]],Tower,2,FALSE),".Ap.",Check[[#This Row],[מספר דירה]])</f>
        <v>S.S.5B.TN.Ap.204</v>
      </c>
      <c r="C543" s="3" t="s">
        <v>56</v>
      </c>
      <c r="D543" s="3">
        <v>26</v>
      </c>
      <c r="E543" s="4">
        <v>204</v>
      </c>
      <c r="F543" s="3">
        <v>2602</v>
      </c>
      <c r="G543" s="5" t="s">
        <v>24</v>
      </c>
      <c r="H543" s="5">
        <f>VLOOKUP(Check[[#This Row],[טיפוס]],Tipus[],2,FALSE)</f>
        <v>5</v>
      </c>
      <c r="I543" s="5" t="str">
        <f>VLOOKUP(Check[[#This Row],[טיפוס]],Tipus[],3,FALSE)</f>
        <v>סטנדרט</v>
      </c>
      <c r="J543" s="5" t="str">
        <f>VLOOKUP(Check[[#This Row],[טיפוס]],Tipus[],4,FALSE)</f>
        <v>H</v>
      </c>
      <c r="K543" s="3" t="str">
        <f>IF(Check[[#This Row],[סטטוס2]]="הולד","פנויה",Check[[#This Row],[סטטוס2]])</f>
        <v>מכורה</v>
      </c>
      <c r="L543" s="382" t="s">
        <v>130</v>
      </c>
      <c r="M543" s="382"/>
      <c r="N543" s="383"/>
      <c r="O543" s="383"/>
      <c r="P543" s="411"/>
      <c r="Q543" s="411"/>
      <c r="R543" s="383"/>
      <c r="S543" s="390">
        <v>44353</v>
      </c>
      <c r="T543" s="390" t="s">
        <v>795</v>
      </c>
      <c r="U543" s="387" t="s">
        <v>796</v>
      </c>
      <c r="V543" s="387" t="s">
        <v>797</v>
      </c>
      <c r="W543" s="387"/>
    </row>
    <row r="544" spans="1:23" x14ac:dyDescent="0.2">
      <c r="A544" s="13" t="str">
        <f>_xlfn.CONCAT(VLOOKUP(Check[[#This Row],[סטטוס]],Sold,2,FALSE),IF(Check[[#This Row],[סטטוס]]="פנויה",IF(N544="גמר מלא סטנדרט",".GMS",IF(N544="גמר מלא טיוב חומרים",".GMC",IF(N544="גמר מינימלי",".GM",IF(N544="דירת שיווק",".DS","")))),""),".",VLOOKUP(Check[[#This Row],[טיפוס]],Tipus[],5,FALSE),".",VLOOKUP(Check[[#This Row],[מגדל]],Tower,2,FALSE),".Ap.",Check[[#This Row],[מספר דירה]])</f>
        <v>S.S.5A.TN.Ap.205</v>
      </c>
      <c r="B544" s="13" t="str">
        <f>_xlfn.CONCAT(VLOOKUP(Check[[#This Row],[סטטוס]],Sold,2,FALSE),IF(Check[[#This Row],[סטטוס]]="פנויה",IF(N544="גמר מלא סטנדרט",".GMS",IF(N544="גמר מלא טיוב חומרים",".GMC",IF(N544="גמר מינימלי",".GM",IF(N544="דירת שיווק",".DS","")))),""),IF(M544="זומן לטרום",".ZLT",IF(M544="טרום מסירה",".TM",IF(M544="טרום מסירה מהנדס",".TMM",IF(M544="מסירת חזקה",".MH",IF(M544="מסירת חזקה מהנדס",".MHM",""))))),".",VLOOKUP(Check[[#This Row],[טיפוס]],Tipus[],5,FALSE),".",VLOOKUP(Check[[#This Row],[מגדל]],Tower,2,FALSE),".Ap.",Check[[#This Row],[מספר דירה]])</f>
        <v>S.S.5A.TN.Ap.205</v>
      </c>
      <c r="C544" s="3" t="s">
        <v>56</v>
      </c>
      <c r="D544" s="3">
        <v>26</v>
      </c>
      <c r="E544" s="4">
        <v>205</v>
      </c>
      <c r="F544" s="3">
        <v>2603</v>
      </c>
      <c r="G544" s="5" t="s">
        <v>25</v>
      </c>
      <c r="H544" s="5">
        <f>VLOOKUP(Check[[#This Row],[טיפוס]],Tipus[],2,FALSE)</f>
        <v>5</v>
      </c>
      <c r="I544" s="5" t="str">
        <f>VLOOKUP(Check[[#This Row],[טיפוס]],Tipus[],3,FALSE)</f>
        <v>סטנדרט</v>
      </c>
      <c r="J544" s="5" t="str">
        <f>VLOOKUP(Check[[#This Row],[טיפוס]],Tipus[],4,FALSE)</f>
        <v>J</v>
      </c>
      <c r="K544" s="3" t="str">
        <f>IF(Check[[#This Row],[סטטוס2]]="הולד","פנויה",Check[[#This Row],[סטטוס2]])</f>
        <v>מכורה</v>
      </c>
      <c r="L544" s="382" t="s">
        <v>130</v>
      </c>
      <c r="M544" s="382"/>
      <c r="N544" s="383"/>
      <c r="O544" s="383"/>
      <c r="P544" s="411"/>
      <c r="Q544" s="411"/>
      <c r="R544" s="383"/>
      <c r="S544" s="390">
        <v>44353</v>
      </c>
      <c r="T544" s="390" t="s">
        <v>795</v>
      </c>
      <c r="U544" s="387" t="s">
        <v>798</v>
      </c>
      <c r="V544" s="387" t="s">
        <v>799</v>
      </c>
      <c r="W544" s="387"/>
    </row>
    <row r="545" spans="1:23" x14ac:dyDescent="0.2">
      <c r="A545" s="13" t="str">
        <f>_xlfn.CONCAT(VLOOKUP(Check[[#This Row],[סטטוס]],Sold,2,FALSE),IF(Check[[#This Row],[סטטוס]]="פנויה",IF(N545="גמר מלא סטנדרט",".GMS",IF(N545="גמר מלא טיוב חומרים",".GMC",IF(N545="גמר מינימלי",".GM",IF(N545="דירת שיווק",".DS","")))),""),".",VLOOKUP(Check[[#This Row],[טיפוס]],Tipus[],5,FALSE),".",VLOOKUP(Check[[#This Row],[מגדל]],Tower,2,FALSE),".Ap.",Check[[#This Row],[מספר דירה]])</f>
        <v>O.S.4C.TN.Ap.206</v>
      </c>
      <c r="B545" s="13" t="str">
        <f>_xlfn.CONCAT(VLOOKUP(Check[[#This Row],[סטטוס]],Sold,2,FALSE),IF(Check[[#This Row],[סטטוס]]="פנויה",IF(N545="גמר מלא סטנדרט",".GMS",IF(N545="גמר מלא טיוב חומרים",".GMC",IF(N545="גמר מינימלי",".GM",IF(N545="דירת שיווק",".DS","")))),""),IF(M545="זומן לטרום",".ZLT",IF(M545="טרום מסירה",".TM",IF(M545="טרום מסירה מהנדס",".TMM",IF(M545="מסירת חזקה",".MH",IF(M545="מסירת חזקה מהנדס",".MHM",""))))),".",VLOOKUP(Check[[#This Row],[טיפוס]],Tipus[],5,FALSE),".",VLOOKUP(Check[[#This Row],[מגדל]],Tower,2,FALSE),".Ap.",Check[[#This Row],[מספר דירה]])</f>
        <v>O.S.4C.TN.Ap.206</v>
      </c>
      <c r="C545" s="3" t="s">
        <v>56</v>
      </c>
      <c r="D545" s="3">
        <v>26</v>
      </c>
      <c r="E545" s="4">
        <v>206</v>
      </c>
      <c r="F545" s="3">
        <v>2604</v>
      </c>
      <c r="G545" s="3" t="s">
        <v>26</v>
      </c>
      <c r="H545" s="5">
        <f>VLOOKUP(Check[[#This Row],[טיפוס]],Tipus[],2,FALSE)</f>
        <v>4</v>
      </c>
      <c r="I545" s="5" t="str">
        <f>VLOOKUP(Check[[#This Row],[טיפוס]],Tipus[],3,FALSE)</f>
        <v>סטנדרט</v>
      </c>
      <c r="J545" s="5" t="str">
        <f>VLOOKUP(Check[[#This Row],[טיפוס]],Tipus[],4,FALSE)</f>
        <v>A</v>
      </c>
      <c r="K545" s="3" t="str">
        <f>IF(Check[[#This Row],[סטטוס2]]="הולד","פנויה",Check[[#This Row],[סטטוס2]])</f>
        <v>בעלים</v>
      </c>
      <c r="L545" s="382" t="s">
        <v>91</v>
      </c>
      <c r="M545" s="382"/>
      <c r="N545" s="383"/>
      <c r="O545" s="383"/>
      <c r="P545" s="411"/>
      <c r="Q545" s="411"/>
      <c r="R545" s="383"/>
      <c r="S545" s="390">
        <v>44040</v>
      </c>
      <c r="T545" s="390" t="s">
        <v>274</v>
      </c>
      <c r="U545" s="387" t="s">
        <v>275</v>
      </c>
      <c r="V545" s="387" t="s">
        <v>276</v>
      </c>
      <c r="W545" s="387" t="s">
        <v>277</v>
      </c>
    </row>
    <row r="546" spans="1:23" x14ac:dyDescent="0.2">
      <c r="A546" s="13" t="str">
        <f>_xlfn.CONCAT(VLOOKUP(Check[[#This Row],[סטטוס]],Sold,2,FALSE),IF(Check[[#This Row],[סטטוס]]="פנויה",IF(N546="גמר מלא סטנדרט",".GMS",IF(N546="גמר מלא טיוב חומרים",".GMC",IF(N546="גמר מינימלי",".GM",IF(N546="דירת שיווק",".DS","")))),""),".",VLOOKUP(Check[[#This Row],[טיפוס]],Tipus[],5,FALSE),".",VLOOKUP(Check[[#This Row],[מגדל]],Tower,2,FALSE),".Ap.",Check[[#This Row],[מספר דירה]])</f>
        <v>V.GMS.S.2D.TN.Ap.207</v>
      </c>
      <c r="B546" s="13" t="str">
        <f>_xlfn.CONCAT(VLOOKUP(Check[[#This Row],[סטטוס]],Sold,2,FALSE),IF(Check[[#This Row],[סטטוס]]="פנויה",IF(N546="גמר מלא סטנדרט",".GMS",IF(N546="גמר מלא טיוב חומרים",".GMC",IF(N546="גמר מינימלי",".GM",IF(N546="דירת שיווק",".DS","")))),""),IF(M546="זומן לטרום",".ZLT",IF(M546="טרום מסירה",".TM",IF(M546="טרום מסירה מהנדס",".TMM",IF(M546="מסירת חזקה",".MH",IF(M546="מסירת חזקה מהנדס",".MHM",""))))),".",VLOOKUP(Check[[#This Row],[טיפוס]],Tipus[],5,FALSE),".",VLOOKUP(Check[[#This Row],[מגדל]],Tower,2,FALSE),".Ap.",Check[[#This Row],[מספר דירה]])</f>
        <v>V.GMS.S.2D.TN.Ap.207</v>
      </c>
      <c r="C546" s="3" t="s">
        <v>56</v>
      </c>
      <c r="D546" s="3">
        <v>26</v>
      </c>
      <c r="E546" s="4">
        <v>207</v>
      </c>
      <c r="F546" s="3">
        <v>2605</v>
      </c>
      <c r="G546" s="6" t="s">
        <v>10</v>
      </c>
      <c r="H546" s="5">
        <f>VLOOKUP(Check[[#This Row],[טיפוס]],Tipus[],2,FALSE)</f>
        <v>2</v>
      </c>
      <c r="I546" s="6" t="str">
        <f>VLOOKUP(Check[[#This Row],[טיפוס]],Tipus[],3,FALSE)</f>
        <v>סטנדרט</v>
      </c>
      <c r="J546" s="6" t="str">
        <f>VLOOKUP(Check[[#This Row],[טיפוס]],Tipus[],4,FALSE)</f>
        <v>C</v>
      </c>
      <c r="K546" s="3" t="str">
        <f>IF(Check[[#This Row],[סטטוס2]]="הולד","פנויה",Check[[#This Row],[סטטוס2]])</f>
        <v>פנויה</v>
      </c>
      <c r="L546" s="382" t="s">
        <v>108</v>
      </c>
      <c r="M546" s="382"/>
      <c r="N546" t="s">
        <v>1367</v>
      </c>
      <c r="O546" s="383" t="s">
        <v>1390</v>
      </c>
      <c r="P546" s="410" t="s">
        <v>1389</v>
      </c>
      <c r="Q546" s="410"/>
      <c r="R546" s="383"/>
      <c r="S546" s="390"/>
      <c r="T546" s="390" t="s">
        <v>214</v>
      </c>
      <c r="U546" s="387"/>
      <c r="V546" s="387"/>
      <c r="W546" s="387"/>
    </row>
    <row r="547" spans="1:23" x14ac:dyDescent="0.2">
      <c r="A547" s="13" t="str">
        <f>_xlfn.CONCAT(VLOOKUP(Check[[#This Row],[סטטוס]],Sold,2,FALSE),IF(Check[[#This Row],[סטטוס]]="פנויה",IF(N547="גמר מלא סטנדרט",".GMS",IF(N547="גמר מלא טיוב חומרים",".GMC",IF(N547="גמר מינימלי",".GM",IF(N547="דירת שיווק",".DS","")))),""),".",VLOOKUP(Check[[#This Row],[טיפוס]],Tipus[],5,FALSE),".",VLOOKUP(Check[[#This Row],[מגדל]],Tower,2,FALSE),".Ap.",Check[[#This Row],[מספר דירה]])</f>
        <v>V.GMS.S.3A.TN.Ap.208</v>
      </c>
      <c r="B547" s="13" t="str">
        <f>_xlfn.CONCAT(VLOOKUP(Check[[#This Row],[סטטוס]],Sold,2,FALSE),IF(Check[[#This Row],[סטטוס]]="פנויה",IF(N547="גמר מלא סטנדרט",".GMS",IF(N547="גמר מלא טיוב חומרים",".GMC",IF(N547="גמר מינימלי",".GM",IF(N547="דירת שיווק",".DS","")))),""),IF(M547="זומן לטרום",".ZLT",IF(M547="טרום מסירה",".TM",IF(M547="טרום מסירה מהנדס",".TMM",IF(M547="מסירת חזקה",".MH",IF(M547="מסירת חזקה מהנדס",".MHM",""))))),".",VLOOKUP(Check[[#This Row],[טיפוס]],Tipus[],5,FALSE),".",VLOOKUP(Check[[#This Row],[מגדל]],Tower,2,FALSE),".Ap.",Check[[#This Row],[מספר דירה]])</f>
        <v>V.GMS.S.3A.TN.Ap.208</v>
      </c>
      <c r="C547" s="3" t="s">
        <v>56</v>
      </c>
      <c r="D547" s="3">
        <v>27</v>
      </c>
      <c r="E547" s="4">
        <v>208</v>
      </c>
      <c r="F547" s="3">
        <v>2706</v>
      </c>
      <c r="G547" s="3" t="s">
        <v>9</v>
      </c>
      <c r="H547" s="5">
        <f>VLOOKUP(Check[[#This Row],[טיפוס]],Tipus[],2,FALSE)</f>
        <v>3</v>
      </c>
      <c r="I547" s="5" t="str">
        <f>VLOOKUP(Check[[#This Row],[טיפוס]],Tipus[],3,FALSE)</f>
        <v>סטנדרט</v>
      </c>
      <c r="J547" s="5" t="str">
        <f>VLOOKUP(Check[[#This Row],[טיפוס]],Tipus[],4,FALSE)</f>
        <v>D</v>
      </c>
      <c r="K547" s="3" t="str">
        <f>IF(Check[[#This Row],[סטטוס2]]="הולד","פנויה",Check[[#This Row],[סטטוס2]])</f>
        <v>פנויה</v>
      </c>
      <c r="L547" s="382" t="s">
        <v>108</v>
      </c>
      <c r="M547" s="382"/>
      <c r="N547" t="s">
        <v>1367</v>
      </c>
      <c r="O547" s="383" t="s">
        <v>1390</v>
      </c>
      <c r="P547" s="410" t="s">
        <v>1389</v>
      </c>
      <c r="Q547" s="410"/>
      <c r="R547" s="383"/>
      <c r="S547" s="390"/>
      <c r="T547" s="390" t="s">
        <v>214</v>
      </c>
      <c r="U547" s="387"/>
      <c r="V547" s="387"/>
      <c r="W547" s="387"/>
    </row>
    <row r="548" spans="1:23" x14ac:dyDescent="0.2">
      <c r="A548" s="13" t="str">
        <f>_xlfn.CONCAT(VLOOKUP(Check[[#This Row],[סטטוס]],Sold,2,FALSE),IF(Check[[#This Row],[סטטוס]]="פנויה",IF(N548="גמר מלא סטנדרט",".GMS",IF(N548="גמר מלא טיוב חומרים",".GMC",IF(N548="גמר מינימלי",".GM",IF(N548="דירת שיווק",".DS","")))),""),".",VLOOKUP(Check[[#This Row],[טיפוס]],Tipus[],5,FALSE),".",VLOOKUP(Check[[#This Row],[מגדל]],Tower,2,FALSE),".Ap.",Check[[#This Row],[מספר דירה]])</f>
        <v>S.S.3G.TN.Ap.209</v>
      </c>
      <c r="B548" s="13" t="str">
        <f>_xlfn.CONCAT(VLOOKUP(Check[[#This Row],[סטטוס]],Sold,2,FALSE),IF(Check[[#This Row],[סטטוס]]="פנויה",IF(N548="גמר מלא סטנדרט",".GMS",IF(N548="גמר מלא טיוב חומרים",".GMC",IF(N548="גמר מינימלי",".GM",IF(N548="דירת שיווק",".DS","")))),""),IF(M548="זומן לטרום",".ZLT",IF(M548="טרום מסירה",".TM",IF(M548="טרום מסירה מהנדס",".TMM",IF(M548="מסירת חזקה",".MH",IF(M548="מסירת חזקה מהנדס",".MHM",""))))),".",VLOOKUP(Check[[#This Row],[טיפוס]],Tipus[],5,FALSE),".",VLOOKUP(Check[[#This Row],[מגדל]],Tower,2,FALSE),".Ap.",Check[[#This Row],[מספר דירה]])</f>
        <v>S.S.3G.TN.Ap.209</v>
      </c>
      <c r="C548" s="3" t="s">
        <v>56</v>
      </c>
      <c r="D548" s="3">
        <v>27</v>
      </c>
      <c r="E548" s="4">
        <v>209</v>
      </c>
      <c r="F548" s="3">
        <v>2707</v>
      </c>
      <c r="G548" s="3" t="s">
        <v>22</v>
      </c>
      <c r="H548" s="5">
        <f>VLOOKUP(Check[[#This Row],[טיפוס]],Tipus[],2,FALSE)</f>
        <v>3</v>
      </c>
      <c r="I548" s="5" t="str">
        <f>VLOOKUP(Check[[#This Row],[טיפוס]],Tipus[],3,FALSE)</f>
        <v>סטנדרט</v>
      </c>
      <c r="J548" s="5" t="str">
        <f>VLOOKUP(Check[[#This Row],[טיפוס]],Tipus[],4,FALSE)</f>
        <v>E</v>
      </c>
      <c r="K548" s="3" t="str">
        <f>IF(Check[[#This Row],[סטטוס2]]="הולד","פנויה",Check[[#This Row],[סטטוס2]])</f>
        <v>מכורה</v>
      </c>
      <c r="L548" s="382" t="s">
        <v>130</v>
      </c>
      <c r="M548" s="382"/>
      <c r="N548" s="383"/>
      <c r="O548" s="383"/>
      <c r="P548" s="411"/>
      <c r="Q548" s="411"/>
      <c r="R548" s="383"/>
      <c r="S548" s="390">
        <v>45399</v>
      </c>
      <c r="T548" s="390" t="s">
        <v>1212</v>
      </c>
      <c r="U548" s="387"/>
      <c r="V548" s="387"/>
      <c r="W548" s="387"/>
    </row>
    <row r="549" spans="1:23" x14ac:dyDescent="0.2">
      <c r="A549" s="13" t="str">
        <f>_xlfn.CONCAT(VLOOKUP(Check[[#This Row],[סטטוס]],Sold,2,FALSE),IF(Check[[#This Row],[סטטוס]]="פנויה",IF(N549="גמר מלא סטנדרט",".GMS",IF(N549="גמר מלא טיוב חומרים",".GMC",IF(N549="גמר מינימלי",".GM",IF(N549="דירת שיווק",".DS","")))),""),".",VLOOKUP(Check[[#This Row],[טיפוס]],Tipus[],5,FALSE),".",VLOOKUP(Check[[#This Row],[מגדל]],Tower,2,FALSE),".Ap.",Check[[#This Row],[מספר דירה]])</f>
        <v>V.GMS.S.3F.TN.Ap.210</v>
      </c>
      <c r="B549" s="13" t="str">
        <f>_xlfn.CONCAT(VLOOKUP(Check[[#This Row],[סטטוס]],Sold,2,FALSE),IF(Check[[#This Row],[סטטוס]]="פנויה",IF(N549="גמר מלא סטנדרט",".GMS",IF(N549="גמר מלא טיוב חומרים",".GMC",IF(N549="גמר מינימלי",".GM",IF(N549="דירת שיווק",".DS","")))),""),IF(M549="זומן לטרום",".ZLT",IF(M549="טרום מסירה",".TM",IF(M549="טרום מסירה מהנדס",".TMM",IF(M549="מסירת חזקה",".MH",IF(M549="מסירת חזקה מהנדס",".MHM",""))))),".",VLOOKUP(Check[[#This Row],[טיפוס]],Tipus[],5,FALSE),".",VLOOKUP(Check[[#This Row],[מגדל]],Tower,2,FALSE),".Ap.",Check[[#This Row],[מספר דירה]])</f>
        <v>V.GMS.S.3F.TN.Ap.210</v>
      </c>
      <c r="C549" s="3" t="s">
        <v>56</v>
      </c>
      <c r="D549" s="3">
        <v>27</v>
      </c>
      <c r="E549" s="4">
        <v>210</v>
      </c>
      <c r="F549" s="3">
        <v>2701</v>
      </c>
      <c r="G549" s="5" t="s">
        <v>23</v>
      </c>
      <c r="H549" s="5">
        <f>VLOOKUP(Check[[#This Row],[טיפוס]],Tipus[],2,FALSE)</f>
        <v>3</v>
      </c>
      <c r="I549" s="5" t="str">
        <f>VLOOKUP(Check[[#This Row],[טיפוס]],Tipus[],3,FALSE)</f>
        <v>סטנדרט</v>
      </c>
      <c r="J549" s="5" t="str">
        <f>VLOOKUP(Check[[#This Row],[טיפוס]],Tipus[],4,FALSE)</f>
        <v>G</v>
      </c>
      <c r="K549" s="3" t="str">
        <f>IF(Check[[#This Row],[סטטוס2]]="הולד","פנויה",Check[[#This Row],[סטטוס2]])</f>
        <v>פנויה</v>
      </c>
      <c r="L549" s="382" t="s">
        <v>108</v>
      </c>
      <c r="M549" s="382"/>
      <c r="N549" t="s">
        <v>1367</v>
      </c>
      <c r="O549" s="383" t="s">
        <v>1390</v>
      </c>
      <c r="P549" s="410" t="s">
        <v>1389</v>
      </c>
      <c r="Q549" s="410"/>
      <c r="R549" s="383"/>
      <c r="S549" s="390"/>
      <c r="T549" s="390" t="s">
        <v>214</v>
      </c>
      <c r="U549" s="387"/>
      <c r="V549" s="387"/>
      <c r="W549" s="387"/>
    </row>
    <row r="550" spans="1:23" x14ac:dyDescent="0.2">
      <c r="A550" s="13" t="str">
        <f>_xlfn.CONCAT(VLOOKUP(Check[[#This Row],[סטטוס]],Sold,2,FALSE),IF(Check[[#This Row],[סטטוס]]="פנויה",IF(N550="גמר מלא סטנדרט",".GMS",IF(N550="גמר מלא טיוב חומרים",".GMC",IF(N550="גמר מינימלי",".GM",IF(N550="דירת שיווק",".DS","")))),""),".",VLOOKUP(Check[[#This Row],[טיפוס]],Tipus[],5,FALSE),".",VLOOKUP(Check[[#This Row],[מגדל]],Tower,2,FALSE),".Ap.",Check[[#This Row],[מספר דירה]])</f>
        <v>S.S.5B.TN.Ap.211</v>
      </c>
      <c r="B550" s="13" t="str">
        <f>_xlfn.CONCAT(VLOOKUP(Check[[#This Row],[סטטוס]],Sold,2,FALSE),IF(Check[[#This Row],[סטטוס]]="פנויה",IF(N550="גמר מלא סטנדרט",".GMS",IF(N550="גמר מלא טיוב חומרים",".GMC",IF(N550="גמר מינימלי",".GM",IF(N550="דירת שיווק",".DS","")))),""),IF(M550="זומן לטרום",".ZLT",IF(M550="טרום מסירה",".TM",IF(M550="טרום מסירה מהנדס",".TMM",IF(M550="מסירת חזקה",".MH",IF(M550="מסירת חזקה מהנדס",".MHM",""))))),".",VLOOKUP(Check[[#This Row],[טיפוס]],Tipus[],5,FALSE),".",VLOOKUP(Check[[#This Row],[מגדל]],Tower,2,FALSE),".Ap.",Check[[#This Row],[מספר דירה]])</f>
        <v>S.S.5B.TN.Ap.211</v>
      </c>
      <c r="C550" s="3" t="s">
        <v>56</v>
      </c>
      <c r="D550" s="3">
        <v>27</v>
      </c>
      <c r="E550" s="4">
        <v>211</v>
      </c>
      <c r="F550" s="3">
        <v>2702</v>
      </c>
      <c r="G550" s="5" t="s">
        <v>24</v>
      </c>
      <c r="H550" s="5">
        <f>VLOOKUP(Check[[#This Row],[טיפוס]],Tipus[],2,FALSE)</f>
        <v>5</v>
      </c>
      <c r="I550" s="5" t="str">
        <f>VLOOKUP(Check[[#This Row],[טיפוס]],Tipus[],3,FALSE)</f>
        <v>סטנדרט</v>
      </c>
      <c r="J550" s="5" t="str">
        <f>VLOOKUP(Check[[#This Row],[טיפוס]],Tipus[],4,FALSE)</f>
        <v>H</v>
      </c>
      <c r="K550" s="3" t="str">
        <f>IF(Check[[#This Row],[סטטוס2]]="הולד","פנויה",Check[[#This Row],[סטטוס2]])</f>
        <v>מכורה</v>
      </c>
      <c r="L550" s="382" t="s">
        <v>130</v>
      </c>
      <c r="M550" s="382"/>
      <c r="N550" s="383"/>
      <c r="O550" s="383"/>
      <c r="P550" s="411"/>
      <c r="Q550" s="411"/>
      <c r="R550" s="383"/>
      <c r="S550" s="390">
        <v>44375</v>
      </c>
      <c r="T550" s="390" t="s">
        <v>800</v>
      </c>
      <c r="U550" s="387" t="s">
        <v>801</v>
      </c>
      <c r="V550" s="387" t="s">
        <v>802</v>
      </c>
      <c r="W550" s="387"/>
    </row>
    <row r="551" spans="1:23" x14ac:dyDescent="0.2">
      <c r="A551" s="13" t="str">
        <f>_xlfn.CONCAT(VLOOKUP(Check[[#This Row],[סטטוס]],Sold,2,FALSE),IF(Check[[#This Row],[סטטוס]]="פנויה",IF(N551="גמר מלא סטנדרט",".GMS",IF(N551="גמר מלא טיוב חומרים",".GMC",IF(N551="גמר מינימלי",".GM",IF(N551="דירת שיווק",".DS","")))),""),".",VLOOKUP(Check[[#This Row],[טיפוס]],Tipus[],5,FALSE),".",VLOOKUP(Check[[#This Row],[מגדל]],Tower,2,FALSE),".Ap.",Check[[#This Row],[מספר דירה]])</f>
        <v>S.S.5A.TN.Ap.212</v>
      </c>
      <c r="B551" s="13" t="str">
        <f>_xlfn.CONCAT(VLOOKUP(Check[[#This Row],[סטטוס]],Sold,2,FALSE),IF(Check[[#This Row],[סטטוס]]="פנויה",IF(N551="גמר מלא סטנדרט",".GMS",IF(N551="גמר מלא טיוב חומרים",".GMC",IF(N551="גמר מינימלי",".GM",IF(N551="דירת שיווק",".DS","")))),""),IF(M551="זומן לטרום",".ZLT",IF(M551="טרום מסירה",".TM",IF(M551="טרום מסירה מהנדס",".TMM",IF(M551="מסירת חזקה",".MH",IF(M551="מסירת חזקה מהנדס",".MHM",""))))),".",VLOOKUP(Check[[#This Row],[טיפוס]],Tipus[],5,FALSE),".",VLOOKUP(Check[[#This Row],[מגדל]],Tower,2,FALSE),".Ap.",Check[[#This Row],[מספר דירה]])</f>
        <v>S.S.5A.TN.Ap.212</v>
      </c>
      <c r="C551" s="3" t="s">
        <v>56</v>
      </c>
      <c r="D551" s="3">
        <v>27</v>
      </c>
      <c r="E551" s="4">
        <v>212</v>
      </c>
      <c r="F551" s="3">
        <v>2703</v>
      </c>
      <c r="G551" s="5" t="s">
        <v>25</v>
      </c>
      <c r="H551" s="5">
        <f>VLOOKUP(Check[[#This Row],[טיפוס]],Tipus[],2,FALSE)</f>
        <v>5</v>
      </c>
      <c r="I551" s="5" t="str">
        <f>VLOOKUP(Check[[#This Row],[טיפוס]],Tipus[],3,FALSE)</f>
        <v>סטנדרט</v>
      </c>
      <c r="J551" s="5" t="str">
        <f>VLOOKUP(Check[[#This Row],[טיפוס]],Tipus[],4,FALSE)</f>
        <v>J</v>
      </c>
      <c r="K551" s="3" t="str">
        <f>IF(Check[[#This Row],[סטטוס2]]="הולד","פנויה",Check[[#This Row],[סטטוס2]])</f>
        <v>מכורה</v>
      </c>
      <c r="L551" s="382" t="s">
        <v>130</v>
      </c>
      <c r="M551" s="382"/>
      <c r="N551" s="383"/>
      <c r="O551" s="383"/>
      <c r="P551" s="411"/>
      <c r="Q551" s="411"/>
      <c r="R551" s="383"/>
      <c r="S551" s="390">
        <v>44304</v>
      </c>
      <c r="T551" s="390" t="s">
        <v>803</v>
      </c>
      <c r="U551" s="387" t="s">
        <v>804</v>
      </c>
      <c r="V551" s="387" t="s">
        <v>805</v>
      </c>
      <c r="W551" s="387"/>
    </row>
    <row r="552" spans="1:23" x14ac:dyDescent="0.2">
      <c r="A552" s="13" t="str">
        <f>_xlfn.CONCAT(VLOOKUP(Check[[#This Row],[סטטוס]],Sold,2,FALSE),IF(Check[[#This Row],[סטטוס]]="פנויה",IF(N552="גמר מלא סטנדרט",".GMS",IF(N552="גמר מלא טיוב חומרים",".GMC",IF(N552="גמר מינימלי",".GM",IF(N552="דירת שיווק",".DS","")))),""),".",VLOOKUP(Check[[#This Row],[טיפוס]],Tipus[],5,FALSE),".",VLOOKUP(Check[[#This Row],[מגדל]],Tower,2,FALSE),".Ap.",Check[[#This Row],[מספר דירה]])</f>
        <v>O.S.4C.TN.Ap.213</v>
      </c>
      <c r="B552" s="13" t="str">
        <f>_xlfn.CONCAT(VLOOKUP(Check[[#This Row],[סטטוס]],Sold,2,FALSE),IF(Check[[#This Row],[סטטוס]]="פנויה",IF(N552="גמר מלא סטנדרט",".GMS",IF(N552="גמר מלא טיוב חומרים",".GMC",IF(N552="גמר מינימלי",".GM",IF(N552="דירת שיווק",".DS","")))),""),IF(M552="זומן לטרום",".ZLT",IF(M552="טרום מסירה",".TM",IF(M552="טרום מסירה מהנדס",".TMM",IF(M552="מסירת חזקה",".MH",IF(M552="מסירת חזקה מהנדס",".MHM",""))))),".",VLOOKUP(Check[[#This Row],[טיפוס]],Tipus[],5,FALSE),".",VLOOKUP(Check[[#This Row],[מגדל]],Tower,2,FALSE),".Ap.",Check[[#This Row],[מספר דירה]])</f>
        <v>O.S.4C.TN.Ap.213</v>
      </c>
      <c r="C552" s="3" t="s">
        <v>56</v>
      </c>
      <c r="D552" s="3">
        <v>27</v>
      </c>
      <c r="E552" s="4">
        <v>213</v>
      </c>
      <c r="F552" s="3">
        <v>2704</v>
      </c>
      <c r="G552" s="3" t="s">
        <v>26</v>
      </c>
      <c r="H552" s="5">
        <f>VLOOKUP(Check[[#This Row],[טיפוס]],Tipus[],2,FALSE)</f>
        <v>4</v>
      </c>
      <c r="I552" s="5" t="str">
        <f>VLOOKUP(Check[[#This Row],[טיפוס]],Tipus[],3,FALSE)</f>
        <v>סטנדרט</v>
      </c>
      <c r="J552" s="5" t="str">
        <f>VLOOKUP(Check[[#This Row],[טיפוס]],Tipus[],4,FALSE)</f>
        <v>A</v>
      </c>
      <c r="K552" s="3" t="str">
        <f>IF(Check[[#This Row],[סטטוס2]]="הולד","פנויה",Check[[#This Row],[סטטוס2]])</f>
        <v>בעלים</v>
      </c>
      <c r="L552" s="382" t="s">
        <v>91</v>
      </c>
      <c r="M552" s="382"/>
      <c r="N552" s="383"/>
      <c r="O552" s="383"/>
      <c r="P552" s="411"/>
      <c r="Q552" s="411"/>
      <c r="R552" s="383"/>
      <c r="S552" s="390">
        <v>44040</v>
      </c>
      <c r="T552" s="390" t="s">
        <v>278</v>
      </c>
      <c r="U552" s="387" t="s">
        <v>279</v>
      </c>
      <c r="V552" s="387" t="s">
        <v>280</v>
      </c>
      <c r="W552" s="387" t="s">
        <v>281</v>
      </c>
    </row>
    <row r="553" spans="1:23" x14ac:dyDescent="0.2">
      <c r="A553" s="13" t="str">
        <f>_xlfn.CONCAT(VLOOKUP(Check[[#This Row],[סטטוס]],Sold,2,FALSE),IF(Check[[#This Row],[סטטוס]]="פנויה",IF(N553="גמר מלא סטנדרט",".GMS",IF(N553="גמר מלא טיוב חומרים",".GMC",IF(N553="גמר מינימלי",".GM",IF(N553="דירת שיווק",".DS","")))),""),".",VLOOKUP(Check[[#This Row],[טיפוס]],Tipus[],5,FALSE),".",VLOOKUP(Check[[#This Row],[מגדל]],Tower,2,FALSE),".Ap.",Check[[#This Row],[מספר דירה]])</f>
        <v>V.GMS.S.2D.TN.Ap.214</v>
      </c>
      <c r="B553" s="13" t="str">
        <f>_xlfn.CONCAT(VLOOKUP(Check[[#This Row],[סטטוס]],Sold,2,FALSE),IF(Check[[#This Row],[סטטוס]]="פנויה",IF(N553="גמר מלא סטנדרט",".GMS",IF(N553="גמר מלא טיוב חומרים",".GMC",IF(N553="גמר מינימלי",".GM",IF(N553="דירת שיווק",".DS","")))),""),IF(M553="זומן לטרום",".ZLT",IF(M553="טרום מסירה",".TM",IF(M553="טרום מסירה מהנדס",".TMM",IF(M553="מסירת חזקה",".MH",IF(M553="מסירת חזקה מהנדס",".MHM",""))))),".",VLOOKUP(Check[[#This Row],[טיפוס]],Tipus[],5,FALSE),".",VLOOKUP(Check[[#This Row],[מגדל]],Tower,2,FALSE),".Ap.",Check[[#This Row],[מספר דירה]])</f>
        <v>V.GMS.S.2D.TN.Ap.214</v>
      </c>
      <c r="C553" s="3" t="s">
        <v>56</v>
      </c>
      <c r="D553" s="3">
        <v>27</v>
      </c>
      <c r="E553" s="4">
        <v>214</v>
      </c>
      <c r="F553" s="3">
        <v>2705</v>
      </c>
      <c r="G553" s="6" t="s">
        <v>10</v>
      </c>
      <c r="H553" s="5">
        <f>VLOOKUP(Check[[#This Row],[טיפוס]],Tipus[],2,FALSE)</f>
        <v>2</v>
      </c>
      <c r="I553" s="6" t="str">
        <f>VLOOKUP(Check[[#This Row],[טיפוס]],Tipus[],3,FALSE)</f>
        <v>סטנדרט</v>
      </c>
      <c r="J553" s="6" t="str">
        <f>VLOOKUP(Check[[#This Row],[טיפוס]],Tipus[],4,FALSE)</f>
        <v>C</v>
      </c>
      <c r="K553" s="3" t="str">
        <f>IF(Check[[#This Row],[סטטוס2]]="הולד","פנויה",Check[[#This Row],[סטטוס2]])</f>
        <v>פנויה</v>
      </c>
      <c r="L553" s="382" t="s">
        <v>108</v>
      </c>
      <c r="M553" s="382"/>
      <c r="N553" t="s">
        <v>1367</v>
      </c>
      <c r="O553" s="383" t="s">
        <v>1390</v>
      </c>
      <c r="P553" s="410" t="s">
        <v>1389</v>
      </c>
      <c r="Q553" s="410"/>
      <c r="R553" s="383"/>
      <c r="S553" s="390"/>
      <c r="T553" s="390" t="s">
        <v>214</v>
      </c>
      <c r="U553" s="387"/>
      <c r="V553" s="387"/>
      <c r="W553" s="387"/>
    </row>
    <row r="554" spans="1:23" x14ac:dyDescent="0.2">
      <c r="A554" s="13" t="str">
        <f>_xlfn.CONCAT(VLOOKUP(Check[[#This Row],[סטטוס]],Sold,2,FALSE),IF(Check[[#This Row],[סטטוס]]="פנויה",IF(N554="גמר מלא סטנדרט",".GMS",IF(N554="גמר מלא טיוב חומרים",".GMC",IF(N554="גמר מינימלי",".GM",IF(N554="דירת שיווק",".DS","")))),""),".",VLOOKUP(Check[[#This Row],[טיפוס]],Tipus[],5,FALSE),".",VLOOKUP(Check[[#This Row],[מגדל]],Tower,2,FALSE),".Ap.",Check[[#This Row],[מספר דירה]])</f>
        <v>S.S.3A.TN.Ap.215</v>
      </c>
      <c r="B554" s="13" t="str">
        <f>_xlfn.CONCAT(VLOOKUP(Check[[#This Row],[סטטוס]],Sold,2,FALSE),IF(Check[[#This Row],[סטטוס]]="פנויה",IF(N554="גמר מלא סטנדרט",".GMS",IF(N554="גמר מלא טיוב חומרים",".GMC",IF(N554="גמר מינימלי",".GM",IF(N554="דירת שיווק",".DS","")))),""),IF(M554="זומן לטרום",".ZLT",IF(M554="טרום מסירה",".TM",IF(M554="טרום מסירה מהנדס",".TMM",IF(M554="מסירת חזקה",".MH",IF(M554="מסירת חזקה מהנדס",".MHM",""))))),".",VLOOKUP(Check[[#This Row],[טיפוס]],Tipus[],5,FALSE),".",VLOOKUP(Check[[#This Row],[מגדל]],Tower,2,FALSE),".Ap.",Check[[#This Row],[מספר דירה]])</f>
        <v>S.S.3A.TN.Ap.215</v>
      </c>
      <c r="C554" s="3" t="s">
        <v>56</v>
      </c>
      <c r="D554" s="3">
        <v>28</v>
      </c>
      <c r="E554" s="4">
        <v>215</v>
      </c>
      <c r="F554" s="3">
        <v>2806</v>
      </c>
      <c r="G554" s="3" t="s">
        <v>9</v>
      </c>
      <c r="H554" s="5">
        <f>VLOOKUP(Check[[#This Row],[טיפוס]],Tipus[],2,FALSE)</f>
        <v>3</v>
      </c>
      <c r="I554" s="5" t="str">
        <f>VLOOKUP(Check[[#This Row],[טיפוס]],Tipus[],3,FALSE)</f>
        <v>סטנדרט</v>
      </c>
      <c r="J554" s="5" t="str">
        <f>VLOOKUP(Check[[#This Row],[טיפוס]],Tipus[],4,FALSE)</f>
        <v>D</v>
      </c>
      <c r="K554" s="3" t="str">
        <f>IF(Check[[#This Row],[סטטוס2]]="הולד","פנויה",Check[[#This Row],[סטטוס2]])</f>
        <v>מכורה</v>
      </c>
      <c r="L554" s="382" t="s">
        <v>130</v>
      </c>
      <c r="M554" s="382"/>
      <c r="N554" s="383"/>
      <c r="O554" s="383"/>
      <c r="P554" s="411"/>
      <c r="Q554" s="411"/>
      <c r="R554" s="383"/>
      <c r="S554" s="390">
        <v>44271</v>
      </c>
      <c r="T554" s="390" t="s">
        <v>806</v>
      </c>
      <c r="U554" s="387" t="s">
        <v>807</v>
      </c>
      <c r="V554" s="387"/>
      <c r="W554" s="387"/>
    </row>
    <row r="555" spans="1:23" x14ac:dyDescent="0.2">
      <c r="A555" s="13" t="str">
        <f>_xlfn.CONCAT(VLOOKUP(Check[[#This Row],[סטטוס]],Sold,2,FALSE),IF(Check[[#This Row],[סטטוס]]="פנויה",IF(N555="גמר מלא סטנדרט",".GMS",IF(N555="גמר מלא טיוב חומרים",".GMC",IF(N555="גמר מינימלי",".GM",IF(N555="דירת שיווק",".DS","")))),""),".",VLOOKUP(Check[[#This Row],[טיפוס]],Tipus[],5,FALSE),".",VLOOKUP(Check[[#This Row],[מגדל]],Tower,2,FALSE),".Ap.",Check[[#This Row],[מספר דירה]])</f>
        <v>S.S.3G.TN.Ap.216</v>
      </c>
      <c r="B555" s="13" t="str">
        <f>_xlfn.CONCAT(VLOOKUP(Check[[#This Row],[סטטוס]],Sold,2,FALSE),IF(Check[[#This Row],[סטטוס]]="פנויה",IF(N555="גמר מלא סטנדרט",".GMS",IF(N555="גמר מלא טיוב חומרים",".GMC",IF(N555="גמר מינימלי",".GM",IF(N555="דירת שיווק",".DS","")))),""),IF(M555="זומן לטרום",".ZLT",IF(M555="טרום מסירה",".TM",IF(M555="טרום מסירה מהנדס",".TMM",IF(M555="מסירת חזקה",".MH",IF(M555="מסירת חזקה מהנדס",".MHM",""))))),".",VLOOKUP(Check[[#This Row],[טיפוס]],Tipus[],5,FALSE),".",VLOOKUP(Check[[#This Row],[מגדל]],Tower,2,FALSE),".Ap.",Check[[#This Row],[מספר דירה]])</f>
        <v>S.S.3G.TN.Ap.216</v>
      </c>
      <c r="C555" s="3" t="s">
        <v>56</v>
      </c>
      <c r="D555" s="3">
        <v>28</v>
      </c>
      <c r="E555" s="4">
        <v>216</v>
      </c>
      <c r="F555" s="3">
        <v>2807</v>
      </c>
      <c r="G555" s="3" t="s">
        <v>22</v>
      </c>
      <c r="H555" s="5">
        <f>VLOOKUP(Check[[#This Row],[טיפוס]],Tipus[],2,FALSE)</f>
        <v>3</v>
      </c>
      <c r="I555" s="5" t="str">
        <f>VLOOKUP(Check[[#This Row],[טיפוס]],Tipus[],3,FALSE)</f>
        <v>סטנדרט</v>
      </c>
      <c r="J555" s="5" t="str">
        <f>VLOOKUP(Check[[#This Row],[טיפוס]],Tipus[],4,FALSE)</f>
        <v>E</v>
      </c>
      <c r="K555" s="3" t="str">
        <f>IF(Check[[#This Row],[סטטוס2]]="הולד","פנויה",Check[[#This Row],[סטטוס2]])</f>
        <v>מכורה</v>
      </c>
      <c r="L555" s="382" t="s">
        <v>130</v>
      </c>
      <c r="M555" s="382"/>
      <c r="N555" s="383"/>
      <c r="O555" s="383"/>
      <c r="P555" s="411"/>
      <c r="Q555" s="411"/>
      <c r="R555" s="383"/>
      <c r="S555" s="390">
        <v>44438</v>
      </c>
      <c r="T555" s="390" t="s">
        <v>808</v>
      </c>
      <c r="U555" s="387" t="s">
        <v>809</v>
      </c>
      <c r="V555" s="387"/>
      <c r="W555" s="387"/>
    </row>
    <row r="556" spans="1:23" x14ac:dyDescent="0.2">
      <c r="A556" s="13" t="str">
        <f>_xlfn.CONCAT(VLOOKUP(Check[[#This Row],[סטטוס]],Sold,2,FALSE),IF(Check[[#This Row],[סטטוס]]="פנויה",IF(N556="גמר מלא סטנדרט",".GMS",IF(N556="גמר מלא טיוב חומרים",".GMC",IF(N556="גמר מינימלי",".GM",IF(N556="דירת שיווק",".DS","")))),""),".",VLOOKUP(Check[[#This Row],[טיפוס]],Tipus[],5,FALSE),".",VLOOKUP(Check[[#This Row],[מגדל]],Tower,2,FALSE),".Ap.",Check[[#This Row],[מספר דירה]])</f>
        <v>V.GMS.S.3F.TN.Ap.217</v>
      </c>
      <c r="B556" s="13" t="str">
        <f>_xlfn.CONCAT(VLOOKUP(Check[[#This Row],[סטטוס]],Sold,2,FALSE),IF(Check[[#This Row],[סטטוס]]="פנויה",IF(N556="גמר מלא סטנדרט",".GMS",IF(N556="גמר מלא טיוב חומרים",".GMC",IF(N556="גמר מינימלי",".GM",IF(N556="דירת שיווק",".DS","")))),""),IF(M556="זומן לטרום",".ZLT",IF(M556="טרום מסירה",".TM",IF(M556="טרום מסירה מהנדס",".TMM",IF(M556="מסירת חזקה",".MH",IF(M556="מסירת חזקה מהנדס",".MHM",""))))),".",VLOOKUP(Check[[#This Row],[טיפוס]],Tipus[],5,FALSE),".",VLOOKUP(Check[[#This Row],[מגדל]],Tower,2,FALSE),".Ap.",Check[[#This Row],[מספר דירה]])</f>
        <v>V.GMS.S.3F.TN.Ap.217</v>
      </c>
      <c r="C556" s="3" t="s">
        <v>56</v>
      </c>
      <c r="D556" s="3">
        <v>28</v>
      </c>
      <c r="E556" s="4">
        <v>217</v>
      </c>
      <c r="F556" s="3">
        <v>2801</v>
      </c>
      <c r="G556" s="5" t="s">
        <v>23</v>
      </c>
      <c r="H556" s="5">
        <f>VLOOKUP(Check[[#This Row],[טיפוס]],Tipus[],2,FALSE)</f>
        <v>3</v>
      </c>
      <c r="I556" s="5" t="str">
        <f>VLOOKUP(Check[[#This Row],[טיפוס]],Tipus[],3,FALSE)</f>
        <v>סטנדרט</v>
      </c>
      <c r="J556" s="5" t="str">
        <f>VLOOKUP(Check[[#This Row],[טיפוס]],Tipus[],4,FALSE)</f>
        <v>G</v>
      </c>
      <c r="K556" s="3" t="str">
        <f>IF(Check[[#This Row],[סטטוס2]]="הולד","פנויה",Check[[#This Row],[סטטוס2]])</f>
        <v>פנויה</v>
      </c>
      <c r="L556" s="382" t="s">
        <v>108</v>
      </c>
      <c r="M556" s="382"/>
      <c r="N556" t="s">
        <v>1367</v>
      </c>
      <c r="O556" s="383" t="s">
        <v>1390</v>
      </c>
      <c r="P556" s="410" t="s">
        <v>1389</v>
      </c>
      <c r="Q556" s="410"/>
      <c r="R556" s="383"/>
      <c r="S556" s="390"/>
      <c r="T556" s="390" t="s">
        <v>214</v>
      </c>
      <c r="U556" s="387"/>
      <c r="V556" s="387"/>
      <c r="W556" s="387"/>
    </row>
    <row r="557" spans="1:23" x14ac:dyDescent="0.2">
      <c r="A557" s="13" t="str">
        <f>_xlfn.CONCAT(VLOOKUP(Check[[#This Row],[סטטוס]],Sold,2,FALSE),IF(Check[[#This Row],[סטטוס]]="פנויה",IF(N557="גמר מלא סטנדרט",".GMS",IF(N557="גמר מלא טיוב חומרים",".GMC",IF(N557="גמר מינימלי",".GM",IF(N557="דירת שיווק",".DS","")))),""),".",VLOOKUP(Check[[#This Row],[טיפוס]],Tipus[],5,FALSE),".",VLOOKUP(Check[[#This Row],[מגדל]],Tower,2,FALSE),".Ap.",Check[[#This Row],[מספר דירה]])</f>
        <v>S.S.5B.TN.Ap.218</v>
      </c>
      <c r="B557" s="13" t="str">
        <f>_xlfn.CONCAT(VLOOKUP(Check[[#This Row],[סטטוס]],Sold,2,FALSE),IF(Check[[#This Row],[סטטוס]]="פנויה",IF(N557="גמר מלא סטנדרט",".GMS",IF(N557="גמר מלא טיוב חומרים",".GMC",IF(N557="גמר מינימלי",".GM",IF(N557="דירת שיווק",".DS","")))),""),IF(M557="זומן לטרום",".ZLT",IF(M557="טרום מסירה",".TM",IF(M557="טרום מסירה מהנדס",".TMM",IF(M557="מסירת חזקה",".MH",IF(M557="מסירת חזקה מהנדס",".MHM",""))))),".",VLOOKUP(Check[[#This Row],[טיפוס]],Tipus[],5,FALSE),".",VLOOKUP(Check[[#This Row],[מגדל]],Tower,2,FALSE),".Ap.",Check[[#This Row],[מספר דירה]])</f>
        <v>S.S.5B.TN.Ap.218</v>
      </c>
      <c r="C557" s="3" t="s">
        <v>56</v>
      </c>
      <c r="D557" s="3">
        <v>28</v>
      </c>
      <c r="E557" s="4">
        <v>218</v>
      </c>
      <c r="F557" s="3">
        <v>2802</v>
      </c>
      <c r="G557" s="5" t="s">
        <v>24</v>
      </c>
      <c r="H557" s="5">
        <f>VLOOKUP(Check[[#This Row],[טיפוס]],Tipus[],2,FALSE)</f>
        <v>5</v>
      </c>
      <c r="I557" s="5" t="str">
        <f>VLOOKUP(Check[[#This Row],[טיפוס]],Tipus[],3,FALSE)</f>
        <v>סטנדרט</v>
      </c>
      <c r="J557" s="5" t="str">
        <f>VLOOKUP(Check[[#This Row],[טיפוס]],Tipus[],4,FALSE)</f>
        <v>H</v>
      </c>
      <c r="K557" s="3" t="str">
        <f>IF(Check[[#This Row],[סטטוס2]]="הולד","פנויה",Check[[#This Row],[סטטוס2]])</f>
        <v>מכורה</v>
      </c>
      <c r="L557" s="382" t="s">
        <v>130</v>
      </c>
      <c r="M557" s="382"/>
      <c r="N557" s="383"/>
      <c r="O557" s="383"/>
      <c r="P557" s="411"/>
      <c r="Q557" s="411"/>
      <c r="R557" s="383"/>
      <c r="S557" s="390">
        <v>44364</v>
      </c>
      <c r="T557" s="390" t="s">
        <v>1071</v>
      </c>
      <c r="U557" s="387" t="s">
        <v>810</v>
      </c>
      <c r="V557" s="387" t="s">
        <v>811</v>
      </c>
      <c r="W557" s="387"/>
    </row>
    <row r="558" spans="1:23" x14ac:dyDescent="0.2">
      <c r="A558" s="13" t="str">
        <f>_xlfn.CONCAT(VLOOKUP(Check[[#This Row],[סטטוס]],Sold,2,FALSE),IF(Check[[#This Row],[סטטוס]]="פנויה",IF(N558="גמר מלא סטנדרט",".GMS",IF(N558="גמר מלא טיוב חומרים",".GMC",IF(N558="גמר מינימלי",".GM",IF(N558="דירת שיווק",".DS","")))),""),".",VLOOKUP(Check[[#This Row],[טיפוס]],Tipus[],5,FALSE),".",VLOOKUP(Check[[#This Row],[מגדל]],Tower,2,FALSE),".Ap.",Check[[#This Row],[מספר דירה]])</f>
        <v>S.S.5A.TN.Ap.219</v>
      </c>
      <c r="B558" s="13" t="str">
        <f>_xlfn.CONCAT(VLOOKUP(Check[[#This Row],[סטטוס]],Sold,2,FALSE),IF(Check[[#This Row],[סטטוס]]="פנויה",IF(N558="גמר מלא סטנדרט",".GMS",IF(N558="גמר מלא טיוב חומרים",".GMC",IF(N558="גמר מינימלי",".GM",IF(N558="דירת שיווק",".DS","")))),""),IF(M558="זומן לטרום",".ZLT",IF(M558="טרום מסירה",".TM",IF(M558="טרום מסירה מהנדס",".TMM",IF(M558="מסירת חזקה",".MH",IF(M558="מסירת חזקה מהנדס",".MHM",""))))),".",VLOOKUP(Check[[#This Row],[טיפוס]],Tipus[],5,FALSE),".",VLOOKUP(Check[[#This Row],[מגדל]],Tower,2,FALSE),".Ap.",Check[[#This Row],[מספר דירה]])</f>
        <v>S.S.5A.TN.Ap.219</v>
      </c>
      <c r="C558" s="3" t="s">
        <v>56</v>
      </c>
      <c r="D558" s="3">
        <v>28</v>
      </c>
      <c r="E558" s="4">
        <v>219</v>
      </c>
      <c r="F558" s="3">
        <v>2803</v>
      </c>
      <c r="G558" s="5" t="s">
        <v>25</v>
      </c>
      <c r="H558" s="5">
        <f>VLOOKUP(Check[[#This Row],[טיפוס]],Tipus[],2,FALSE)</f>
        <v>5</v>
      </c>
      <c r="I558" s="5" t="str">
        <f>VLOOKUP(Check[[#This Row],[טיפוס]],Tipus[],3,FALSE)</f>
        <v>סטנדרט</v>
      </c>
      <c r="J558" s="5" t="str">
        <f>VLOOKUP(Check[[#This Row],[טיפוס]],Tipus[],4,FALSE)</f>
        <v>J</v>
      </c>
      <c r="K558" s="3" t="str">
        <f>IF(Check[[#This Row],[סטטוס2]]="הולד","פנויה",Check[[#This Row],[סטטוס2]])</f>
        <v>מכורה</v>
      </c>
      <c r="L558" s="382" t="s">
        <v>130</v>
      </c>
      <c r="M558" s="382"/>
      <c r="N558" s="383"/>
      <c r="O558" s="383"/>
      <c r="P558" s="411"/>
      <c r="Q558" s="411"/>
      <c r="R558" s="383"/>
      <c r="S558" s="390">
        <v>44280</v>
      </c>
      <c r="T558" s="390" t="s">
        <v>812</v>
      </c>
      <c r="U558" s="387" t="s">
        <v>813</v>
      </c>
      <c r="V558" s="387" t="s">
        <v>814</v>
      </c>
      <c r="W558" s="387"/>
    </row>
    <row r="559" spans="1:23" x14ac:dyDescent="0.2">
      <c r="A559" s="13" t="str">
        <f>_xlfn.CONCAT(VLOOKUP(Check[[#This Row],[סטטוס]],Sold,2,FALSE),IF(Check[[#This Row],[סטטוס]]="פנויה",IF(N559="גמר מלא סטנדרט",".GMS",IF(N559="גמר מלא טיוב חומרים",".GMC",IF(N559="גמר מינימלי",".GM",IF(N559="דירת שיווק",".DS","")))),""),".",VLOOKUP(Check[[#This Row],[טיפוס]],Tipus[],5,FALSE),".",VLOOKUP(Check[[#This Row],[מגדל]],Tower,2,FALSE),".Ap.",Check[[#This Row],[מספר דירה]])</f>
        <v>O.S.4C.TN.Ap.220</v>
      </c>
      <c r="B559" s="13" t="str">
        <f>_xlfn.CONCAT(VLOOKUP(Check[[#This Row],[סטטוס]],Sold,2,FALSE),IF(Check[[#This Row],[סטטוס]]="פנויה",IF(N559="גמר מלא סטנדרט",".GMS",IF(N559="גמר מלא טיוב חומרים",".GMC",IF(N559="גמר מינימלי",".GM",IF(N559="דירת שיווק",".DS","")))),""),IF(M559="זומן לטרום",".ZLT",IF(M559="טרום מסירה",".TM",IF(M559="טרום מסירה מהנדס",".TMM",IF(M559="מסירת חזקה",".MH",IF(M559="מסירת חזקה מהנדס",".MHM",""))))),".",VLOOKUP(Check[[#This Row],[טיפוס]],Tipus[],5,FALSE),".",VLOOKUP(Check[[#This Row],[מגדל]],Tower,2,FALSE),".Ap.",Check[[#This Row],[מספר דירה]])</f>
        <v>O.S.4C.TN.Ap.220</v>
      </c>
      <c r="C559" s="3" t="s">
        <v>56</v>
      </c>
      <c r="D559" s="3">
        <v>28</v>
      </c>
      <c r="E559" s="4">
        <v>220</v>
      </c>
      <c r="F559" s="3">
        <v>2804</v>
      </c>
      <c r="G559" s="3" t="s">
        <v>26</v>
      </c>
      <c r="H559" s="5">
        <f>VLOOKUP(Check[[#This Row],[טיפוס]],Tipus[],2,FALSE)</f>
        <v>4</v>
      </c>
      <c r="I559" s="5" t="str">
        <f>VLOOKUP(Check[[#This Row],[טיפוס]],Tipus[],3,FALSE)</f>
        <v>סטנדרט</v>
      </c>
      <c r="J559" s="5" t="str">
        <f>VLOOKUP(Check[[#This Row],[טיפוס]],Tipus[],4,FALSE)</f>
        <v>A</v>
      </c>
      <c r="K559" s="3" t="str">
        <f>IF(Check[[#This Row],[סטטוס2]]="הולד","פנויה",Check[[#This Row],[סטטוס2]])</f>
        <v>בעלים</v>
      </c>
      <c r="L559" s="382" t="s">
        <v>91</v>
      </c>
      <c r="M559" s="382"/>
      <c r="N559" s="383"/>
      <c r="O559" s="383"/>
      <c r="P559" s="411"/>
      <c r="Q559" s="411"/>
      <c r="R559" s="383"/>
      <c r="S559" s="390">
        <v>44040</v>
      </c>
      <c r="T559" s="390" t="s">
        <v>1358</v>
      </c>
      <c r="U559" s="387" t="s">
        <v>282</v>
      </c>
      <c r="V559" s="387" t="s">
        <v>283</v>
      </c>
      <c r="W559" s="387" t="s">
        <v>284</v>
      </c>
    </row>
    <row r="560" spans="1:23" x14ac:dyDescent="0.2">
      <c r="A560" s="13" t="str">
        <f>_xlfn.CONCAT(VLOOKUP(Check[[#This Row],[סטטוס]],Sold,2,FALSE),IF(Check[[#This Row],[סטטוס]]="פנויה",IF(N560="גמר מלא סטנדרט",".GMS",IF(N560="גמר מלא טיוב חומרים",".GMC",IF(N560="גמר מינימלי",".GM",IF(N560="דירת שיווק",".DS","")))),""),".",VLOOKUP(Check[[#This Row],[טיפוס]],Tipus[],5,FALSE),".",VLOOKUP(Check[[#This Row],[מגדל]],Tower,2,FALSE),".Ap.",Check[[#This Row],[מספר דירה]])</f>
        <v>V.GMS.S.2D.TN.Ap.221</v>
      </c>
      <c r="B560" s="13" t="str">
        <f>_xlfn.CONCAT(VLOOKUP(Check[[#This Row],[סטטוס]],Sold,2,FALSE),IF(Check[[#This Row],[סטטוס]]="פנויה",IF(N560="גמר מלא סטנדרט",".GMS",IF(N560="גמר מלא טיוב חומרים",".GMC",IF(N560="גמר מינימלי",".GM",IF(N560="דירת שיווק",".DS","")))),""),IF(M560="זומן לטרום",".ZLT",IF(M560="טרום מסירה",".TM",IF(M560="טרום מסירה מהנדס",".TMM",IF(M560="מסירת חזקה",".MH",IF(M560="מסירת חזקה מהנדס",".MHM",""))))),".",VLOOKUP(Check[[#This Row],[טיפוס]],Tipus[],5,FALSE),".",VLOOKUP(Check[[#This Row],[מגדל]],Tower,2,FALSE),".Ap.",Check[[#This Row],[מספר דירה]])</f>
        <v>V.GMS.S.2D.TN.Ap.221</v>
      </c>
      <c r="C560" s="3" t="s">
        <v>56</v>
      </c>
      <c r="D560" s="3">
        <v>28</v>
      </c>
      <c r="E560" s="4">
        <v>221</v>
      </c>
      <c r="F560" s="3">
        <v>2805</v>
      </c>
      <c r="G560" s="6" t="s">
        <v>10</v>
      </c>
      <c r="H560" s="5">
        <f>VLOOKUP(Check[[#This Row],[טיפוס]],Tipus[],2,FALSE)</f>
        <v>2</v>
      </c>
      <c r="I560" s="6" t="str">
        <f>VLOOKUP(Check[[#This Row],[טיפוס]],Tipus[],3,FALSE)</f>
        <v>סטנדרט</v>
      </c>
      <c r="J560" s="6" t="str">
        <f>VLOOKUP(Check[[#This Row],[טיפוס]],Tipus[],4,FALSE)</f>
        <v>C</v>
      </c>
      <c r="K560" s="3" t="str">
        <f>IF(Check[[#This Row],[סטטוס2]]="הולד","פנויה",Check[[#This Row],[סטטוס2]])</f>
        <v>פנויה</v>
      </c>
      <c r="L560" s="382" t="s">
        <v>108</v>
      </c>
      <c r="M560" s="382"/>
      <c r="N560" t="s">
        <v>1367</v>
      </c>
      <c r="O560" s="383" t="s">
        <v>1390</v>
      </c>
      <c r="P560" s="410" t="s">
        <v>1389</v>
      </c>
      <c r="Q560" s="410"/>
      <c r="R560" s="383"/>
      <c r="S560" s="390"/>
      <c r="T560" s="390" t="s">
        <v>214</v>
      </c>
      <c r="U560" s="387"/>
      <c r="V560" s="387"/>
      <c r="W560" s="387"/>
    </row>
    <row r="561" spans="1:23" x14ac:dyDescent="0.2">
      <c r="A561" s="13" t="str">
        <f>_xlfn.CONCAT(VLOOKUP(Check[[#This Row],[סטטוס]],Sold,2,FALSE),IF(Check[[#This Row],[סטטוס]]="פנויה",IF(N561="גמר מלא סטנדרט",".GMS",IF(N561="גמר מלא טיוב חומרים",".GMC",IF(N561="גמר מינימלי",".GM",IF(N561="דירת שיווק",".DS","")))),""),".",VLOOKUP(Check[[#This Row],[טיפוס]],Tipus[],5,FALSE),".",VLOOKUP(Check[[#This Row],[מגדל]],Tower,2,FALSE),".Ap.",Check[[#This Row],[מספר דירה]])</f>
        <v>V.GMS.S.3A.TN.Ap.222</v>
      </c>
      <c r="B561" s="13" t="str">
        <f>_xlfn.CONCAT(VLOOKUP(Check[[#This Row],[סטטוס]],Sold,2,FALSE),IF(Check[[#This Row],[סטטוס]]="פנויה",IF(N561="גמר מלא סטנדרט",".GMS",IF(N561="גמר מלא טיוב חומרים",".GMC",IF(N561="גמר מינימלי",".GM",IF(N561="דירת שיווק",".DS","")))),""),IF(M561="זומן לטרום",".ZLT",IF(M561="טרום מסירה",".TM",IF(M561="טרום מסירה מהנדס",".TMM",IF(M561="מסירת חזקה",".MH",IF(M561="מסירת חזקה מהנדס",".MHM",""))))),".",VLOOKUP(Check[[#This Row],[טיפוס]],Tipus[],5,FALSE),".",VLOOKUP(Check[[#This Row],[מגדל]],Tower,2,FALSE),".Ap.",Check[[#This Row],[מספר דירה]])</f>
        <v>V.GMS.S.3A.TN.Ap.222</v>
      </c>
      <c r="C561" s="3" t="s">
        <v>56</v>
      </c>
      <c r="D561" s="3">
        <v>29</v>
      </c>
      <c r="E561" s="4">
        <v>222</v>
      </c>
      <c r="F561" s="3">
        <v>2906</v>
      </c>
      <c r="G561" s="3" t="s">
        <v>9</v>
      </c>
      <c r="H561" s="5">
        <f>VLOOKUP(Check[[#This Row],[טיפוס]],Tipus[],2,FALSE)</f>
        <v>3</v>
      </c>
      <c r="I561" s="5" t="str">
        <f>VLOOKUP(Check[[#This Row],[טיפוס]],Tipus[],3,FALSE)</f>
        <v>סטנדרט</v>
      </c>
      <c r="J561" s="5" t="str">
        <f>VLOOKUP(Check[[#This Row],[טיפוס]],Tipus[],4,FALSE)</f>
        <v>D</v>
      </c>
      <c r="K561" s="3" t="str">
        <f>IF(Check[[#This Row],[סטטוס2]]="הולד","פנויה",Check[[#This Row],[סטטוס2]])</f>
        <v>פנויה</v>
      </c>
      <c r="L561" s="382" t="s">
        <v>108</v>
      </c>
      <c r="M561" s="382"/>
      <c r="N561" t="s">
        <v>1367</v>
      </c>
      <c r="O561" s="383" t="s">
        <v>1390</v>
      </c>
      <c r="P561" s="410" t="s">
        <v>1389</v>
      </c>
      <c r="Q561" s="410"/>
      <c r="R561" s="383"/>
      <c r="S561" s="390"/>
      <c r="T561" s="390" t="s">
        <v>214</v>
      </c>
      <c r="U561" s="387"/>
      <c r="V561" s="387"/>
      <c r="W561" s="387"/>
    </row>
    <row r="562" spans="1:23" x14ac:dyDescent="0.2">
      <c r="A562" s="13" t="str">
        <f>_xlfn.CONCAT(VLOOKUP(Check[[#This Row],[סטטוס]],Sold,2,FALSE),IF(Check[[#This Row],[סטטוס]]="פנויה",IF(N562="גמר מלא סטנדרט",".GMS",IF(N562="גמר מלא טיוב חומרים",".GMC",IF(N562="גמר מינימלי",".GM",IF(N562="דירת שיווק",".DS","")))),""),".",VLOOKUP(Check[[#This Row],[טיפוס]],Tipus[],5,FALSE),".",VLOOKUP(Check[[#This Row],[מגדל]],Tower,2,FALSE),".Ap.",Check[[#This Row],[מספר דירה]])</f>
        <v>V.GMS.S.3G.TN.Ap.223</v>
      </c>
      <c r="B562" s="13" t="str">
        <f>_xlfn.CONCAT(VLOOKUP(Check[[#This Row],[סטטוס]],Sold,2,FALSE),IF(Check[[#This Row],[סטטוס]]="פנויה",IF(N562="גמר מלא סטנדרט",".GMS",IF(N562="גמר מלא טיוב חומרים",".GMC",IF(N562="גמר מינימלי",".GM",IF(N562="דירת שיווק",".DS","")))),""),IF(M562="זומן לטרום",".ZLT",IF(M562="טרום מסירה",".TM",IF(M562="טרום מסירה מהנדס",".TMM",IF(M562="מסירת חזקה",".MH",IF(M562="מסירת חזקה מהנדס",".MHM",""))))),".",VLOOKUP(Check[[#This Row],[טיפוס]],Tipus[],5,FALSE),".",VLOOKUP(Check[[#This Row],[מגדל]],Tower,2,FALSE),".Ap.",Check[[#This Row],[מספר דירה]])</f>
        <v>V.GMS.S.3G.TN.Ap.223</v>
      </c>
      <c r="C562" s="3" t="s">
        <v>56</v>
      </c>
      <c r="D562" s="3">
        <v>29</v>
      </c>
      <c r="E562" s="4">
        <v>223</v>
      </c>
      <c r="F562" s="3">
        <v>2907</v>
      </c>
      <c r="G562" s="3" t="s">
        <v>22</v>
      </c>
      <c r="H562" s="5">
        <f>VLOOKUP(Check[[#This Row],[טיפוס]],Tipus[],2,FALSE)</f>
        <v>3</v>
      </c>
      <c r="I562" s="5" t="str">
        <f>VLOOKUP(Check[[#This Row],[טיפוס]],Tipus[],3,FALSE)</f>
        <v>סטנדרט</v>
      </c>
      <c r="J562" s="5" t="str">
        <f>VLOOKUP(Check[[#This Row],[טיפוס]],Tipus[],4,FALSE)</f>
        <v>E</v>
      </c>
      <c r="K562" s="3" t="str">
        <f>IF(Check[[#This Row],[סטטוס2]]="הולד","פנויה",Check[[#This Row],[סטטוס2]])</f>
        <v>פנויה</v>
      </c>
      <c r="L562" s="382" t="s">
        <v>108</v>
      </c>
      <c r="M562" s="382"/>
      <c r="N562" t="s">
        <v>1367</v>
      </c>
      <c r="O562" s="383" t="s">
        <v>1390</v>
      </c>
      <c r="P562" s="410" t="s">
        <v>1389</v>
      </c>
      <c r="Q562" s="410"/>
      <c r="R562" s="400"/>
      <c r="S562" s="390"/>
      <c r="T562" s="390" t="s">
        <v>214</v>
      </c>
      <c r="U562" s="387"/>
      <c r="V562" s="387"/>
      <c r="W562" s="387"/>
    </row>
    <row r="563" spans="1:23" x14ac:dyDescent="0.2">
      <c r="A563" s="13" t="str">
        <f>_xlfn.CONCAT(VLOOKUP(Check[[#This Row],[סטטוס]],Sold,2,FALSE),IF(Check[[#This Row],[סטטוס]]="פנויה",IF(N563="גמר מלא סטנדרט",".GMS",IF(N563="גמר מלא טיוב חומרים",".GMC",IF(N563="גמר מינימלי",".GM",IF(N563="דירת שיווק",".DS","")))),""),".",VLOOKUP(Check[[#This Row],[טיפוס]],Tipus[],5,FALSE),".",VLOOKUP(Check[[#This Row],[מגדל]],Tower,2,FALSE),".Ap.",Check[[#This Row],[מספר דירה]])</f>
        <v>V.GMS.S.3F.TN.Ap.224</v>
      </c>
      <c r="B563" s="13" t="str">
        <f>_xlfn.CONCAT(VLOOKUP(Check[[#This Row],[סטטוס]],Sold,2,FALSE),IF(Check[[#This Row],[סטטוס]]="פנויה",IF(N563="גמר מלא סטנדרט",".GMS",IF(N563="גמר מלא טיוב חומרים",".GMC",IF(N563="גמר מינימלי",".GM",IF(N563="דירת שיווק",".DS","")))),""),IF(M563="זומן לטרום",".ZLT",IF(M563="טרום מסירה",".TM",IF(M563="טרום מסירה מהנדס",".TMM",IF(M563="מסירת חזקה",".MH",IF(M563="מסירת חזקה מהנדס",".MHM",""))))),".",VLOOKUP(Check[[#This Row],[טיפוס]],Tipus[],5,FALSE),".",VLOOKUP(Check[[#This Row],[מגדל]],Tower,2,FALSE),".Ap.",Check[[#This Row],[מספר דירה]])</f>
        <v>V.GMS.S.3F.TN.Ap.224</v>
      </c>
      <c r="C563" s="3" t="s">
        <v>56</v>
      </c>
      <c r="D563" s="3">
        <v>29</v>
      </c>
      <c r="E563" s="4">
        <v>224</v>
      </c>
      <c r="F563" s="3">
        <v>2901</v>
      </c>
      <c r="G563" s="5" t="s">
        <v>23</v>
      </c>
      <c r="H563" s="5">
        <f>VLOOKUP(Check[[#This Row],[טיפוס]],Tipus[],2,FALSE)</f>
        <v>3</v>
      </c>
      <c r="I563" s="5" t="str">
        <f>VLOOKUP(Check[[#This Row],[טיפוס]],Tipus[],3,FALSE)</f>
        <v>סטנדרט</v>
      </c>
      <c r="J563" s="5" t="str">
        <f>VLOOKUP(Check[[#This Row],[טיפוס]],Tipus[],4,FALSE)</f>
        <v>G</v>
      </c>
      <c r="K563" s="3" t="str">
        <f>IF(Check[[#This Row],[סטטוס2]]="הולד","פנויה",Check[[#This Row],[סטטוס2]])</f>
        <v>פנויה</v>
      </c>
      <c r="L563" s="382" t="s">
        <v>108</v>
      </c>
      <c r="M563" s="382"/>
      <c r="N563" t="s">
        <v>1367</v>
      </c>
      <c r="O563" s="383" t="s">
        <v>1390</v>
      </c>
      <c r="P563" s="410" t="s">
        <v>1389</v>
      </c>
      <c r="Q563" s="410"/>
      <c r="R563" s="400"/>
      <c r="S563" s="390"/>
      <c r="T563" s="390" t="s">
        <v>214</v>
      </c>
      <c r="U563" s="387"/>
      <c r="V563" s="387"/>
      <c r="W563" s="387"/>
    </row>
    <row r="564" spans="1:23" ht="141.75" x14ac:dyDescent="0.2">
      <c r="A564" s="13" t="str">
        <f>_xlfn.CONCAT(VLOOKUP(Check[[#This Row],[סטטוס]],Sold,2,FALSE),IF(Check[[#This Row],[סטטוס]]="פנויה",IF(N564="גמר מלא סטנדרט",".GMS",IF(N564="גמר מלא טיוב חומרים",".GMC",IF(N564="גמר מינימלי",".GM",IF(N564="דירת שיווק",".DS","")))),""),".",VLOOKUP(Check[[#This Row],[טיפוס]],Tipus[],5,FALSE),".",VLOOKUP(Check[[#This Row],[מגדל]],Tower,2,FALSE),".Ap.",Check[[#This Row],[מספר דירה]])</f>
        <v>V.GMC.S.5B.TN.Ap.225</v>
      </c>
      <c r="B564" s="13" t="str">
        <f>_xlfn.CONCAT(VLOOKUP(Check[[#This Row],[סטטוס]],Sold,2,FALSE),IF(Check[[#This Row],[סטטוס]]="פנויה",IF(N564="גמר מלא סטנדרט",".GMS",IF(N564="גמר מלא טיוב חומרים",".GMC",IF(N564="גמר מינימלי",".GM",IF(N564="דירת שיווק",".DS","")))),""),IF(M564="זומן לטרום",".ZLT",IF(M564="טרום מסירה",".TM",IF(M564="טרום מסירה מהנדס",".TMM",IF(M564="מסירת חזקה",".MH",IF(M564="מסירת חזקה מהנדס",".MHM",""))))),".",VLOOKUP(Check[[#This Row],[טיפוס]],Tipus[],5,FALSE),".",VLOOKUP(Check[[#This Row],[מגדל]],Tower,2,FALSE),".Ap.",Check[[#This Row],[מספר דירה]])</f>
        <v>V.GMC.S.5B.TN.Ap.225</v>
      </c>
      <c r="C564" s="3" t="s">
        <v>56</v>
      </c>
      <c r="D564" s="3">
        <v>29</v>
      </c>
      <c r="E564" s="4">
        <v>225</v>
      </c>
      <c r="F564" s="3">
        <v>2902</v>
      </c>
      <c r="G564" s="5" t="s">
        <v>24</v>
      </c>
      <c r="H564" s="5">
        <f>VLOOKUP(Check[[#This Row],[טיפוס]],Tipus[],2,FALSE)</f>
        <v>5</v>
      </c>
      <c r="I564" s="5" t="str">
        <f>VLOOKUP(Check[[#This Row],[טיפוס]],Tipus[],3,FALSE)</f>
        <v>סטנדרט</v>
      </c>
      <c r="J564" s="5" t="str">
        <f>VLOOKUP(Check[[#This Row],[טיפוס]],Tipus[],4,FALSE)</f>
        <v>H</v>
      </c>
      <c r="K564" s="3" t="str">
        <f>IF(Check[[#This Row],[סטטוס2]]="הולד","פנויה",Check[[#This Row],[סטטוס2]])</f>
        <v>פנויה</v>
      </c>
      <c r="L564" s="382" t="s">
        <v>108</v>
      </c>
      <c r="M564" s="382"/>
      <c r="N564" t="s">
        <v>1417</v>
      </c>
      <c r="O564" s="404" t="s">
        <v>1398</v>
      </c>
      <c r="P564" s="415" t="s">
        <v>1386</v>
      </c>
      <c r="Q564" s="423" t="s">
        <v>1397</v>
      </c>
      <c r="R564" s="399"/>
      <c r="S564" s="390"/>
      <c r="T564" s="390" t="s">
        <v>214</v>
      </c>
      <c r="U564" s="387"/>
      <c r="V564" s="387"/>
      <c r="W564" s="387"/>
    </row>
    <row r="565" spans="1:23" x14ac:dyDescent="0.2">
      <c r="A565" s="13" t="str">
        <f>_xlfn.CONCAT(VLOOKUP(Check[[#This Row],[סטטוס]],Sold,2,FALSE),IF(Check[[#This Row],[סטטוס]]="פנויה",IF(N565="גמר מלא סטנדרט",".GMS",IF(N565="גמר מלא טיוב חומרים",".GMC",IF(N565="גמר מינימלי",".GM",IF(N565="דירת שיווק",".DS","")))),""),".",VLOOKUP(Check[[#This Row],[טיפוס]],Tipus[],5,FALSE),".",VLOOKUP(Check[[#This Row],[מגדל]],Tower,2,FALSE),".Ap.",Check[[#This Row],[מספר דירה]])</f>
        <v>S.S.5A.TN.Ap.226</v>
      </c>
      <c r="B565" s="13" t="str">
        <f>_xlfn.CONCAT(VLOOKUP(Check[[#This Row],[סטטוס]],Sold,2,FALSE),IF(Check[[#This Row],[סטטוס]]="פנויה",IF(N565="גמר מלא סטנדרט",".GMS",IF(N565="גמר מלא טיוב חומרים",".GMC",IF(N565="גמר מינימלי",".GM",IF(N565="דירת שיווק",".DS","")))),""),IF(M565="זומן לטרום",".ZLT",IF(M565="טרום מסירה",".TM",IF(M565="טרום מסירה מהנדס",".TMM",IF(M565="מסירת חזקה",".MH",IF(M565="מסירת חזקה מהנדס",".MHM",""))))),".",VLOOKUP(Check[[#This Row],[טיפוס]],Tipus[],5,FALSE),".",VLOOKUP(Check[[#This Row],[מגדל]],Tower,2,FALSE),".Ap.",Check[[#This Row],[מספר דירה]])</f>
        <v>S.S.5A.TN.Ap.226</v>
      </c>
      <c r="C565" s="3" t="s">
        <v>56</v>
      </c>
      <c r="D565" s="3">
        <v>29</v>
      </c>
      <c r="E565" s="4">
        <v>226</v>
      </c>
      <c r="F565" s="3">
        <v>2903</v>
      </c>
      <c r="G565" s="5" t="s">
        <v>25</v>
      </c>
      <c r="H565" s="5">
        <f>VLOOKUP(Check[[#This Row],[טיפוס]],Tipus[],2,FALSE)</f>
        <v>5</v>
      </c>
      <c r="I565" s="5" t="str">
        <f>VLOOKUP(Check[[#This Row],[טיפוס]],Tipus[],3,FALSE)</f>
        <v>סטנדרט</v>
      </c>
      <c r="J565" s="5" t="str">
        <f>VLOOKUP(Check[[#This Row],[טיפוס]],Tipus[],4,FALSE)</f>
        <v>J</v>
      </c>
      <c r="K565" s="3" t="str">
        <f>IF(Check[[#This Row],[סטטוס2]]="הולד","פנויה",Check[[#This Row],[סטטוס2]])</f>
        <v>מכורה</v>
      </c>
      <c r="L565" s="382" t="s">
        <v>130</v>
      </c>
      <c r="M565" s="382"/>
      <c r="N565" s="383"/>
      <c r="O565" s="383"/>
      <c r="P565" s="411"/>
      <c r="Q565" s="411"/>
      <c r="R565" s="400"/>
      <c r="S565" s="390">
        <v>44220</v>
      </c>
      <c r="T565" s="390" t="s">
        <v>815</v>
      </c>
      <c r="U565" s="387" t="s">
        <v>816</v>
      </c>
      <c r="V565" s="387" t="s">
        <v>817</v>
      </c>
      <c r="W565" s="387"/>
    </row>
    <row r="566" spans="1:23" x14ac:dyDescent="0.2">
      <c r="A566" s="13" t="str">
        <f>_xlfn.CONCAT(VLOOKUP(Check[[#This Row],[סטטוס]],Sold,2,FALSE),IF(Check[[#This Row],[סטטוס]]="פנויה",IF(N566="גמר מלא סטנדרט",".GMS",IF(N566="גמר מלא טיוב חומרים",".GMC",IF(N566="גמר מינימלי",".GM",IF(N566="דירת שיווק",".DS","")))),""),".",VLOOKUP(Check[[#This Row],[טיפוס]],Tipus[],5,FALSE),".",VLOOKUP(Check[[#This Row],[מגדל]],Tower,2,FALSE),".Ap.",Check[[#This Row],[מספר דירה]])</f>
        <v>S.S.4C.TN.Ap.227</v>
      </c>
      <c r="B566" s="13" t="str">
        <f>_xlfn.CONCAT(VLOOKUP(Check[[#This Row],[סטטוס]],Sold,2,FALSE),IF(Check[[#This Row],[סטטוס]]="פנויה",IF(N566="גמר מלא סטנדרט",".GMS",IF(N566="גמר מלא טיוב חומרים",".GMC",IF(N566="גמר מינימלי",".GM",IF(N566="דירת שיווק",".DS","")))),""),IF(M566="זומן לטרום",".ZLT",IF(M566="טרום מסירה",".TM",IF(M566="טרום מסירה מהנדס",".TMM",IF(M566="מסירת חזקה",".MH",IF(M566="מסירת חזקה מהנדס",".MHM",""))))),".",VLOOKUP(Check[[#This Row],[טיפוס]],Tipus[],5,FALSE),".",VLOOKUP(Check[[#This Row],[מגדל]],Tower,2,FALSE),".Ap.",Check[[#This Row],[מספר דירה]])</f>
        <v>S.S.4C.TN.Ap.227</v>
      </c>
      <c r="C566" s="3" t="s">
        <v>56</v>
      </c>
      <c r="D566" s="3">
        <v>29</v>
      </c>
      <c r="E566" s="4">
        <v>227</v>
      </c>
      <c r="F566" s="3">
        <v>2904</v>
      </c>
      <c r="G566" s="3" t="s">
        <v>26</v>
      </c>
      <c r="H566" s="5">
        <f>VLOOKUP(Check[[#This Row],[טיפוס]],Tipus[],2,FALSE)</f>
        <v>4</v>
      </c>
      <c r="I566" s="5" t="str">
        <f>VLOOKUP(Check[[#This Row],[טיפוס]],Tipus[],3,FALSE)</f>
        <v>סטנדרט</v>
      </c>
      <c r="J566" s="5" t="str">
        <f>VLOOKUP(Check[[#This Row],[טיפוס]],Tipus[],4,FALSE)</f>
        <v>A</v>
      </c>
      <c r="K566" s="3" t="str">
        <f>IF(Check[[#This Row],[סטטוס2]]="הולד","פנויה",Check[[#This Row],[סטטוס2]])</f>
        <v>מכורה</v>
      </c>
      <c r="L566" s="382" t="s">
        <v>130</v>
      </c>
      <c r="M566" s="382"/>
      <c r="N566" s="400"/>
      <c r="O566" s="383"/>
      <c r="P566" s="411"/>
      <c r="Q566" s="411"/>
      <c r="R566" s="400"/>
      <c r="S566" s="390">
        <v>44404</v>
      </c>
      <c r="T566" s="390" t="s">
        <v>662</v>
      </c>
      <c r="U566" s="387" t="s">
        <v>818</v>
      </c>
      <c r="V566" s="387" t="s">
        <v>819</v>
      </c>
      <c r="W566" s="387" t="s">
        <v>820</v>
      </c>
    </row>
    <row r="567" spans="1:23" x14ac:dyDescent="0.2">
      <c r="A567" s="13" t="str">
        <f>_xlfn.CONCAT(VLOOKUP(Check[[#This Row],[סטטוס]],Sold,2,FALSE),IF(Check[[#This Row],[סטטוס]]="פנויה",IF(N567="גמר מלא סטנדרט",".GMS",IF(N567="גמר מלא טיוב חומרים",".GMC",IF(N567="גמר מינימלי",".GM",IF(N567="דירת שיווק",".DS","")))),""),".",VLOOKUP(Check[[#This Row],[טיפוס]],Tipus[],5,FALSE),".",VLOOKUP(Check[[#This Row],[מגדל]],Tower,2,FALSE),".Ap.",Check[[#This Row],[מספר דירה]])</f>
        <v>S.S.2D.TN.Ap.228</v>
      </c>
      <c r="B567" s="13" t="str">
        <f>_xlfn.CONCAT(VLOOKUP(Check[[#This Row],[סטטוס]],Sold,2,FALSE),IF(Check[[#This Row],[סטטוס]]="פנויה",IF(N567="גמר מלא סטנדרט",".GMS",IF(N567="גמר מלא טיוב חומרים",".GMC",IF(N567="גמר מינימלי",".GM",IF(N567="דירת שיווק",".DS","")))),""),IF(M567="זומן לטרום",".ZLT",IF(M567="טרום מסירה",".TM",IF(M567="טרום מסירה מהנדס",".TMM",IF(M567="מסירת חזקה",".MH",IF(M567="מסירת חזקה מהנדס",".MHM",""))))),".",VLOOKUP(Check[[#This Row],[טיפוס]],Tipus[],5,FALSE),".",VLOOKUP(Check[[#This Row],[מגדל]],Tower,2,FALSE),".Ap.",Check[[#This Row],[מספר דירה]])</f>
        <v>S.S.2D.TN.Ap.228</v>
      </c>
      <c r="C567" s="3" t="s">
        <v>56</v>
      </c>
      <c r="D567" s="3">
        <v>29</v>
      </c>
      <c r="E567" s="4">
        <v>228</v>
      </c>
      <c r="F567" s="3">
        <v>2905</v>
      </c>
      <c r="G567" s="6" t="s">
        <v>10</v>
      </c>
      <c r="H567" s="5">
        <f>VLOOKUP(Check[[#This Row],[טיפוס]],Tipus[],2,FALSE)</f>
        <v>2</v>
      </c>
      <c r="I567" s="6" t="str">
        <f>VLOOKUP(Check[[#This Row],[טיפוס]],Tipus[],3,FALSE)</f>
        <v>סטנדרט</v>
      </c>
      <c r="J567" s="6" t="str">
        <f>VLOOKUP(Check[[#This Row],[טיפוס]],Tipus[],4,FALSE)</f>
        <v>C</v>
      </c>
      <c r="K567" s="3" t="str">
        <f>IF(Check[[#This Row],[סטטוס2]]="הולד","פנויה",Check[[#This Row],[סטטוס2]])</f>
        <v>מכורה</v>
      </c>
      <c r="L567" s="382" t="s">
        <v>130</v>
      </c>
      <c r="M567" s="382"/>
      <c r="N567" t="s">
        <v>1367</v>
      </c>
      <c r="O567" s="402" t="s">
        <v>1391</v>
      </c>
      <c r="P567" s="410" t="s">
        <v>1389</v>
      </c>
      <c r="Q567" s="410"/>
      <c r="R567" s="403"/>
      <c r="S567" s="390">
        <v>45971</v>
      </c>
      <c r="T567" s="390" t="s">
        <v>1285</v>
      </c>
      <c r="U567" s="387">
        <v>4186</v>
      </c>
      <c r="V567" s="387"/>
      <c r="W567" s="387"/>
    </row>
    <row r="568" spans="1:23" x14ac:dyDescent="0.2">
      <c r="A568" s="13" t="str">
        <f>_xlfn.CONCAT(VLOOKUP(Check[[#This Row],[סטטוס]],Sold,2,FALSE),IF(Check[[#This Row],[סטטוס]]="פנויה",IF(N568="גמר מלא סטנדרט",".GMS",IF(N568="גמר מלא טיוב חומרים",".GMC",IF(N568="גמר מינימלי",".GM",IF(N568="דירת שיווק",".DS","")))),""),".",VLOOKUP(Check[[#This Row],[טיפוס]],Tipus[],5,FALSE),".",VLOOKUP(Check[[#This Row],[מגדל]],Tower,2,FALSE),".Ap.",Check[[#This Row],[מספר דירה]])</f>
        <v>S.S.3A.TN.Ap.229</v>
      </c>
      <c r="B568" s="13" t="str">
        <f>_xlfn.CONCAT(VLOOKUP(Check[[#This Row],[סטטוס]],Sold,2,FALSE),IF(Check[[#This Row],[סטטוס]]="פנויה",IF(N568="גמר מלא סטנדרט",".GMS",IF(N568="גמר מלא טיוב חומרים",".GMC",IF(N568="גמר מינימלי",".GM",IF(N568="דירת שיווק",".DS","")))),""),IF(M568="זומן לטרום",".ZLT",IF(M568="טרום מסירה",".TM",IF(M568="טרום מסירה מהנדס",".TMM",IF(M568="מסירת חזקה",".MH",IF(M568="מסירת חזקה מהנדס",".MHM",""))))),".",VLOOKUP(Check[[#This Row],[טיפוס]],Tipus[],5,FALSE),".",VLOOKUP(Check[[#This Row],[מגדל]],Tower,2,FALSE),".Ap.",Check[[#This Row],[מספר דירה]])</f>
        <v>S.S.3A.TN.Ap.229</v>
      </c>
      <c r="C568" s="3" t="s">
        <v>56</v>
      </c>
      <c r="D568" s="3">
        <v>30</v>
      </c>
      <c r="E568" s="4">
        <v>229</v>
      </c>
      <c r="F568" s="3">
        <v>3006</v>
      </c>
      <c r="G568" s="3" t="s">
        <v>9</v>
      </c>
      <c r="H568" s="5">
        <f>VLOOKUP(Check[[#This Row],[טיפוס]],Tipus[],2,FALSE)</f>
        <v>3</v>
      </c>
      <c r="I568" s="5" t="str">
        <f>VLOOKUP(Check[[#This Row],[טיפוס]],Tipus[],3,FALSE)</f>
        <v>סטנדרט</v>
      </c>
      <c r="J568" s="5" t="str">
        <f>VLOOKUP(Check[[#This Row],[טיפוס]],Tipus[],4,FALSE)</f>
        <v>D</v>
      </c>
      <c r="K568" s="3" t="str">
        <f>IF(Check[[#This Row],[סטטוס2]]="הולד","פנויה",Check[[#This Row],[סטטוס2]])</f>
        <v>מכורה</v>
      </c>
      <c r="L568" s="382" t="s">
        <v>130</v>
      </c>
      <c r="M568" s="382"/>
      <c r="N568" s="400"/>
      <c r="O568" s="383"/>
      <c r="P568" s="411"/>
      <c r="Q568" s="411"/>
      <c r="R568" s="400"/>
      <c r="S568" s="390">
        <v>44249</v>
      </c>
      <c r="T568" s="390" t="s">
        <v>821</v>
      </c>
      <c r="U568" s="387" t="s">
        <v>822</v>
      </c>
      <c r="V568" s="387"/>
      <c r="W568" s="387"/>
    </row>
    <row r="569" spans="1:23" x14ac:dyDescent="0.2">
      <c r="A569" s="13" t="str">
        <f>_xlfn.CONCAT(VLOOKUP(Check[[#This Row],[סטטוס]],Sold,2,FALSE),IF(Check[[#This Row],[סטטוס]]="פנויה",IF(N569="גמר מלא סטנדרט",".GMS",IF(N569="גמר מלא טיוב חומרים",".GMC",IF(N569="גמר מינימלי",".GM",IF(N569="דירת שיווק",".DS","")))),""),".",VLOOKUP(Check[[#This Row],[טיפוס]],Tipus[],5,FALSE),".",VLOOKUP(Check[[#This Row],[מגדל]],Tower,2,FALSE),".Ap.",Check[[#This Row],[מספר דירה]])</f>
        <v>S.S.3G.TN.Ap.230</v>
      </c>
      <c r="B569" s="13" t="str">
        <f>_xlfn.CONCAT(VLOOKUP(Check[[#This Row],[סטטוס]],Sold,2,FALSE),IF(Check[[#This Row],[סטטוס]]="פנויה",IF(N569="גמר מלא סטנדרט",".GMS",IF(N569="גמר מלא טיוב חומרים",".GMC",IF(N569="גמר מינימלי",".GM",IF(N569="דירת שיווק",".DS","")))),""),IF(M569="זומן לטרום",".ZLT",IF(M569="טרום מסירה",".TM",IF(M569="טרום מסירה מהנדס",".TMM",IF(M569="מסירת חזקה",".MH",IF(M569="מסירת חזקה מהנדס",".MHM",""))))),".",VLOOKUP(Check[[#This Row],[טיפוס]],Tipus[],5,FALSE),".",VLOOKUP(Check[[#This Row],[מגדל]],Tower,2,FALSE),".Ap.",Check[[#This Row],[מספר דירה]])</f>
        <v>S.S.3G.TN.Ap.230</v>
      </c>
      <c r="C569" s="3" t="s">
        <v>56</v>
      </c>
      <c r="D569" s="3">
        <v>30</v>
      </c>
      <c r="E569" s="4">
        <v>230</v>
      </c>
      <c r="F569" s="3">
        <v>3007</v>
      </c>
      <c r="G569" s="3" t="s">
        <v>22</v>
      </c>
      <c r="H569" s="5">
        <f>VLOOKUP(Check[[#This Row],[טיפוס]],Tipus[],2,FALSE)</f>
        <v>3</v>
      </c>
      <c r="I569" s="5" t="str">
        <f>VLOOKUP(Check[[#This Row],[טיפוס]],Tipus[],3,FALSE)</f>
        <v>סטנדרט</v>
      </c>
      <c r="J569" s="5" t="str">
        <f>VLOOKUP(Check[[#This Row],[טיפוס]],Tipus[],4,FALSE)</f>
        <v>E</v>
      </c>
      <c r="K569" s="3" t="str">
        <f>IF(Check[[#This Row],[סטטוס2]]="הולד","פנויה",Check[[#This Row],[סטטוס2]])</f>
        <v>מכורה</v>
      </c>
      <c r="L569" s="382" t="s">
        <v>130</v>
      </c>
      <c r="M569" s="382"/>
      <c r="N569" s="383"/>
      <c r="O569" s="383"/>
      <c r="P569" s="411"/>
      <c r="Q569" s="411"/>
      <c r="R569" s="400"/>
      <c r="S569" s="390">
        <v>44496</v>
      </c>
      <c r="T569" s="390" t="s">
        <v>823</v>
      </c>
      <c r="U569" s="387" t="s">
        <v>824</v>
      </c>
      <c r="V569" s="387"/>
      <c r="W569" s="387"/>
    </row>
    <row r="570" spans="1:23" x14ac:dyDescent="0.2">
      <c r="A570" s="13" t="str">
        <f>_xlfn.CONCAT(VLOOKUP(Check[[#This Row],[סטטוס]],Sold,2,FALSE),IF(Check[[#This Row],[סטטוס]]="פנויה",IF(N570="גמר מלא סטנדרט",".GMS",IF(N570="גמר מלא טיוב חומרים",".GMC",IF(N570="גמר מינימלי",".GM",IF(N570="דירת שיווק",".DS","")))),""),".",VLOOKUP(Check[[#This Row],[טיפוס]],Tipus[],5,FALSE),".",VLOOKUP(Check[[#This Row],[מגדל]],Tower,2,FALSE),".Ap.",Check[[#This Row],[מספר דירה]])</f>
        <v>V.GMS.S.3F.TN.Ap.231</v>
      </c>
      <c r="B570" s="13" t="str">
        <f>_xlfn.CONCAT(VLOOKUP(Check[[#This Row],[סטטוס]],Sold,2,FALSE),IF(Check[[#This Row],[סטטוס]]="פנויה",IF(N570="גמר מלא סטנדרט",".GMS",IF(N570="גמר מלא טיוב חומרים",".GMC",IF(N570="גמר מינימלי",".GM",IF(N570="דירת שיווק",".DS","")))),""),IF(M570="זומן לטרום",".ZLT",IF(M570="טרום מסירה",".TM",IF(M570="טרום מסירה מהנדס",".TMM",IF(M570="מסירת חזקה",".MH",IF(M570="מסירת חזקה מהנדס",".MHM",""))))),".",VLOOKUP(Check[[#This Row],[טיפוס]],Tipus[],5,FALSE),".",VLOOKUP(Check[[#This Row],[מגדל]],Tower,2,FALSE),".Ap.",Check[[#This Row],[מספר דירה]])</f>
        <v>V.GMS.S.3F.TN.Ap.231</v>
      </c>
      <c r="C570" s="3" t="s">
        <v>56</v>
      </c>
      <c r="D570" s="3">
        <v>30</v>
      </c>
      <c r="E570" s="4">
        <v>231</v>
      </c>
      <c r="F570" s="3">
        <v>3001</v>
      </c>
      <c r="G570" s="5" t="s">
        <v>23</v>
      </c>
      <c r="H570" s="5">
        <f>VLOOKUP(Check[[#This Row],[טיפוס]],Tipus[],2,FALSE)</f>
        <v>3</v>
      </c>
      <c r="I570" s="5" t="str">
        <f>VLOOKUP(Check[[#This Row],[טיפוס]],Tipus[],3,FALSE)</f>
        <v>סטנדרט</v>
      </c>
      <c r="J570" s="5" t="str">
        <f>VLOOKUP(Check[[#This Row],[טיפוס]],Tipus[],4,FALSE)</f>
        <v>G</v>
      </c>
      <c r="K570" s="3" t="str">
        <f>IF(Check[[#This Row],[סטטוס2]]="הולד","פנויה",Check[[#This Row],[סטטוס2]])</f>
        <v>פנויה</v>
      </c>
      <c r="L570" s="382" t="s">
        <v>108</v>
      </c>
      <c r="M570" s="382"/>
      <c r="N570" t="s">
        <v>1367</v>
      </c>
      <c r="O570" s="383" t="s">
        <v>1390</v>
      </c>
      <c r="P570" s="410" t="s">
        <v>1389</v>
      </c>
      <c r="Q570" s="410"/>
      <c r="R570" s="400"/>
      <c r="S570" s="390"/>
      <c r="T570" s="390" t="s">
        <v>214</v>
      </c>
      <c r="U570" s="387"/>
      <c r="V570" s="387"/>
      <c r="W570" s="387"/>
    </row>
    <row r="571" spans="1:23" ht="141.75" x14ac:dyDescent="0.2">
      <c r="A571" s="13" t="str">
        <f>_xlfn.CONCAT(VLOOKUP(Check[[#This Row],[סטטוס]],Sold,2,FALSE),IF(Check[[#This Row],[סטטוס]]="פנויה",IF(N571="גמר מלא סטנדרט",".GMS",IF(N571="גמר מלא טיוב חומרים",".GMC",IF(N571="גמר מינימלי",".GM",IF(N571="דירת שיווק",".DS","")))),""),".",VLOOKUP(Check[[#This Row],[טיפוס]],Tipus[],5,FALSE),".",VLOOKUP(Check[[#This Row],[מגדל]],Tower,2,FALSE),".Ap.",Check[[#This Row],[מספר דירה]])</f>
        <v>V.GMS.S.5B.TN.Ap.232</v>
      </c>
      <c r="B571" s="13" t="str">
        <f>_xlfn.CONCAT(VLOOKUP(Check[[#This Row],[סטטוס]],Sold,2,FALSE),IF(Check[[#This Row],[סטטוס]]="פנויה",IF(N571="גמר מלא סטנדרט",".GMS",IF(N571="גמר מלא טיוב חומרים",".GMC",IF(N571="גמר מינימלי",".GM",IF(N571="דירת שיווק",".DS","")))),""),IF(M571="זומן לטרום",".ZLT",IF(M571="טרום מסירה",".TM",IF(M571="טרום מסירה מהנדס",".TMM",IF(M571="מסירת חזקה",".MH",IF(M571="מסירת חזקה מהנדס",".MHM",""))))),".",VLOOKUP(Check[[#This Row],[טיפוס]],Tipus[],5,FALSE),".",VLOOKUP(Check[[#This Row],[מגדל]],Tower,2,FALSE),".Ap.",Check[[#This Row],[מספר דירה]])</f>
        <v>V.GMS.S.5B.TN.Ap.232</v>
      </c>
      <c r="C571" s="3" t="s">
        <v>56</v>
      </c>
      <c r="D571" s="3">
        <v>30</v>
      </c>
      <c r="E571" s="4">
        <v>232</v>
      </c>
      <c r="F571" s="3">
        <v>3002</v>
      </c>
      <c r="G571" s="5" t="s">
        <v>24</v>
      </c>
      <c r="H571" s="5">
        <f>VLOOKUP(Check[[#This Row],[טיפוס]],Tipus[],2,FALSE)</f>
        <v>5</v>
      </c>
      <c r="I571" s="5" t="str">
        <f>VLOOKUP(Check[[#This Row],[טיפוס]],Tipus[],3,FALSE)</f>
        <v>סטנדרט</v>
      </c>
      <c r="J571" s="5" t="str">
        <f>VLOOKUP(Check[[#This Row],[טיפוס]],Tipus[],4,FALSE)</f>
        <v>H</v>
      </c>
      <c r="K571" s="3" t="str">
        <f>IF(Check[[#This Row],[סטטוס2]]="הולד","פנויה",Check[[#This Row],[סטטוס2]])</f>
        <v>פנויה</v>
      </c>
      <c r="L571" s="382" t="s">
        <v>108</v>
      </c>
      <c r="M571" s="382"/>
      <c r="N571" t="s">
        <v>1367</v>
      </c>
      <c r="O571" s="404" t="s">
        <v>1398</v>
      </c>
      <c r="P571" s="415" t="s">
        <v>1386</v>
      </c>
      <c r="Q571" s="423" t="s">
        <v>1397</v>
      </c>
      <c r="R571" s="399"/>
      <c r="S571" s="390"/>
      <c r="T571" s="390" t="s">
        <v>214</v>
      </c>
      <c r="U571" s="387"/>
      <c r="V571" s="387"/>
      <c r="W571" s="387"/>
    </row>
    <row r="572" spans="1:23" x14ac:dyDescent="0.2">
      <c r="A572" s="13" t="str">
        <f>_xlfn.CONCAT(VLOOKUP(Check[[#This Row],[סטטוס]],Sold,2,FALSE),IF(Check[[#This Row],[סטטוס]]="פנויה",IF(N572="גמר מלא סטנדרט",".GMS",IF(N572="גמר מלא טיוב חומרים",".GMC",IF(N572="גמר מינימלי",".GM",IF(N572="דירת שיווק",".DS","")))),""),".",VLOOKUP(Check[[#This Row],[טיפוס]],Tipus[],5,FALSE),".",VLOOKUP(Check[[#This Row],[מגדל]],Tower,2,FALSE),".Ap.",Check[[#This Row],[מספר דירה]])</f>
        <v>O.S.5A.TN.Ap.233</v>
      </c>
      <c r="B572" s="13" t="str">
        <f>_xlfn.CONCAT(VLOOKUP(Check[[#This Row],[סטטוס]],Sold,2,FALSE),IF(Check[[#This Row],[סטטוס]]="פנויה",IF(N572="גמר מלא סטנדרט",".GMS",IF(N572="גמר מלא טיוב חומרים",".GMC",IF(N572="גמר מינימלי",".GM",IF(N572="דירת שיווק",".DS","")))),""),IF(M572="זומן לטרום",".ZLT",IF(M572="טרום מסירה",".TM",IF(M572="טרום מסירה מהנדס",".TMM",IF(M572="מסירת חזקה",".MH",IF(M572="מסירת חזקה מהנדס",".MHM",""))))),".",VLOOKUP(Check[[#This Row],[טיפוס]],Tipus[],5,FALSE),".",VLOOKUP(Check[[#This Row],[מגדל]],Tower,2,FALSE),".Ap.",Check[[#This Row],[מספר דירה]])</f>
        <v>O.S.5A.TN.Ap.233</v>
      </c>
      <c r="C572" s="3" t="s">
        <v>56</v>
      </c>
      <c r="D572" s="3">
        <v>30</v>
      </c>
      <c r="E572" s="4">
        <v>233</v>
      </c>
      <c r="F572" s="3">
        <v>3003</v>
      </c>
      <c r="G572" s="5" t="s">
        <v>25</v>
      </c>
      <c r="H572" s="5">
        <f>VLOOKUP(Check[[#This Row],[טיפוס]],Tipus[],2,FALSE)</f>
        <v>5</v>
      </c>
      <c r="I572" s="5" t="str">
        <f>VLOOKUP(Check[[#This Row],[טיפוס]],Tipus[],3,FALSE)</f>
        <v>סטנדרט</v>
      </c>
      <c r="J572" s="5" t="str">
        <f>VLOOKUP(Check[[#This Row],[טיפוס]],Tipus[],4,FALSE)</f>
        <v>J</v>
      </c>
      <c r="K572" s="3" t="str">
        <f>IF(Check[[#This Row],[סטטוס2]]="הולד","פנויה",Check[[#This Row],[סטטוס2]])</f>
        <v>בעלים</v>
      </c>
      <c r="L572" s="382" t="s">
        <v>91</v>
      </c>
      <c r="M572" s="382"/>
      <c r="N572" s="383"/>
      <c r="O572" s="383"/>
      <c r="P572" s="411"/>
      <c r="Q572" s="411"/>
      <c r="R572" s="400"/>
      <c r="S572" s="390">
        <v>44040</v>
      </c>
      <c r="T572" s="390" t="s">
        <v>285</v>
      </c>
      <c r="U572" s="387" t="s">
        <v>286</v>
      </c>
      <c r="V572" s="387" t="s">
        <v>287</v>
      </c>
      <c r="W572" s="387" t="s">
        <v>221</v>
      </c>
    </row>
    <row r="573" spans="1:23" x14ac:dyDescent="0.2">
      <c r="A573" s="13" t="str">
        <f>_xlfn.CONCAT(VLOOKUP(Check[[#This Row],[סטטוס]],Sold,2,FALSE),IF(Check[[#This Row],[סטטוס]]="פנויה",IF(N573="גמר מלא סטנדרט",".GMS",IF(N573="גמר מלא טיוב חומרים",".GMC",IF(N573="גמר מינימלי",".GM",IF(N573="דירת שיווק",".DS","")))),""),".",VLOOKUP(Check[[#This Row],[טיפוס]],Tipus[],5,FALSE),".",VLOOKUP(Check[[#This Row],[מגדל]],Tower,2,FALSE),".Ap.",Check[[#This Row],[מספר דירה]])</f>
        <v>O.S.4C.TN.Ap.234</v>
      </c>
      <c r="B573" s="13" t="str">
        <f>_xlfn.CONCAT(VLOOKUP(Check[[#This Row],[סטטוס]],Sold,2,FALSE),IF(Check[[#This Row],[סטטוס]]="פנויה",IF(N573="גמר מלא סטנדרט",".GMS",IF(N573="גמר מלא טיוב חומרים",".GMC",IF(N573="גמר מינימלי",".GM",IF(N573="דירת שיווק",".DS","")))),""),IF(M573="זומן לטרום",".ZLT",IF(M573="טרום מסירה",".TM",IF(M573="טרום מסירה מהנדס",".TMM",IF(M573="מסירת חזקה",".MH",IF(M573="מסירת חזקה מהנדס",".MHM",""))))),".",VLOOKUP(Check[[#This Row],[טיפוס]],Tipus[],5,FALSE),".",VLOOKUP(Check[[#This Row],[מגדל]],Tower,2,FALSE),".Ap.",Check[[#This Row],[מספר דירה]])</f>
        <v>O.S.4C.TN.Ap.234</v>
      </c>
      <c r="C573" s="3" t="s">
        <v>56</v>
      </c>
      <c r="D573" s="3">
        <v>30</v>
      </c>
      <c r="E573" s="4">
        <v>234</v>
      </c>
      <c r="F573" s="3">
        <v>3004</v>
      </c>
      <c r="G573" s="3" t="s">
        <v>26</v>
      </c>
      <c r="H573" s="5">
        <f>VLOOKUP(Check[[#This Row],[טיפוס]],Tipus[],2,FALSE)</f>
        <v>4</v>
      </c>
      <c r="I573" s="5" t="str">
        <f>VLOOKUP(Check[[#This Row],[טיפוס]],Tipus[],3,FALSE)</f>
        <v>סטנדרט</v>
      </c>
      <c r="J573" s="5" t="str">
        <f>VLOOKUP(Check[[#This Row],[טיפוס]],Tipus[],4,FALSE)</f>
        <v>A</v>
      </c>
      <c r="K573" s="3" t="str">
        <f>IF(Check[[#This Row],[סטטוס2]]="הולד","פנויה",Check[[#This Row],[סטטוס2]])</f>
        <v>בעלים</v>
      </c>
      <c r="L573" s="382" t="s">
        <v>91</v>
      </c>
      <c r="M573" s="382"/>
      <c r="N573" s="383"/>
      <c r="O573" s="383"/>
      <c r="P573" s="411"/>
      <c r="Q573" s="411"/>
      <c r="R573" s="400"/>
      <c r="S573" s="390">
        <v>44040</v>
      </c>
      <c r="T573" s="390" t="s">
        <v>1224</v>
      </c>
      <c r="U573" s="387" t="s">
        <v>288</v>
      </c>
      <c r="V573" s="387" t="s">
        <v>289</v>
      </c>
      <c r="W573" s="387" t="s">
        <v>214</v>
      </c>
    </row>
    <row r="574" spans="1:23" x14ac:dyDescent="0.2">
      <c r="A574" s="13" t="str">
        <f>_xlfn.CONCAT(VLOOKUP(Check[[#This Row],[סטטוס]],Sold,2,FALSE),IF(Check[[#This Row],[סטטוס]]="פנויה",IF(N574="גמר מלא סטנדרט",".GMS",IF(N574="גמר מלא טיוב חומרים",".GMC",IF(N574="גמר מינימלי",".GM",IF(N574="דירת שיווק",".DS","")))),""),".",VLOOKUP(Check[[#This Row],[טיפוס]],Tipus[],5,FALSE),".",VLOOKUP(Check[[#This Row],[מגדל]],Tower,2,FALSE),".Ap.",Check[[#This Row],[מספר דירה]])</f>
        <v>S.S.2D.TN.Ap.235</v>
      </c>
      <c r="B574" s="13" t="str">
        <f>_xlfn.CONCAT(VLOOKUP(Check[[#This Row],[סטטוס]],Sold,2,FALSE),IF(Check[[#This Row],[סטטוס]]="פנויה",IF(N574="גמר מלא סטנדרט",".GMS",IF(N574="גמר מלא טיוב חומרים",".GMC",IF(N574="גמר מינימלי",".GM",IF(N574="דירת שיווק",".DS","")))),""),IF(M574="זומן לטרום",".ZLT",IF(M574="טרום מסירה",".TM",IF(M574="טרום מסירה מהנדס",".TMM",IF(M574="מסירת חזקה",".MH",IF(M574="מסירת חזקה מהנדס",".MHM",""))))),".",VLOOKUP(Check[[#This Row],[טיפוס]],Tipus[],5,FALSE),".",VLOOKUP(Check[[#This Row],[מגדל]],Tower,2,FALSE),".Ap.",Check[[#This Row],[מספר דירה]])</f>
        <v>S.S.2D.TN.Ap.235</v>
      </c>
      <c r="C574" s="3" t="s">
        <v>56</v>
      </c>
      <c r="D574" s="3">
        <v>30</v>
      </c>
      <c r="E574" s="4">
        <v>235</v>
      </c>
      <c r="F574" s="3">
        <v>3005</v>
      </c>
      <c r="G574" s="6" t="s">
        <v>10</v>
      </c>
      <c r="H574" s="5">
        <f>VLOOKUP(Check[[#This Row],[טיפוס]],Tipus[],2,FALSE)</f>
        <v>2</v>
      </c>
      <c r="I574" s="6" t="str">
        <f>VLOOKUP(Check[[#This Row],[טיפוס]],Tipus[],3,FALSE)</f>
        <v>סטנדרט</v>
      </c>
      <c r="J574" s="6" t="str">
        <f>VLOOKUP(Check[[#This Row],[טיפוס]],Tipus[],4,FALSE)</f>
        <v>C</v>
      </c>
      <c r="K574" s="3" t="str">
        <f>IF(Check[[#This Row],[סטטוס2]]="הולד","פנויה",Check[[#This Row],[סטטוס2]])</f>
        <v>מכורה</v>
      </c>
      <c r="L574" s="382" t="s">
        <v>130</v>
      </c>
      <c r="M574" s="382"/>
      <c r="N574" s="383"/>
      <c r="O574" s="383"/>
      <c r="P574" s="411"/>
      <c r="Q574" s="411"/>
      <c r="R574" s="400"/>
      <c r="S574" s="390">
        <v>45854</v>
      </c>
      <c r="T574" s="390" t="s">
        <v>1359</v>
      </c>
      <c r="U574" s="387" t="s">
        <v>1255</v>
      </c>
      <c r="V574" s="387" t="s">
        <v>1255</v>
      </c>
      <c r="W574" s="387" t="s">
        <v>1255</v>
      </c>
    </row>
    <row r="575" spans="1:23" x14ac:dyDescent="0.2">
      <c r="A575" s="13" t="str">
        <f>_xlfn.CONCAT(VLOOKUP(Check[[#This Row],[סטטוס]],Sold,2,FALSE),IF(Check[[#This Row],[סטטוס]]="פנויה",IF(N575="גמר מלא סטנדרט",".GMS",IF(N575="גמר מלא טיוב חומרים",".GMC",IF(N575="גמר מינימלי",".GM",IF(N575="דירת שיווק",".DS","")))),""),".",VLOOKUP(Check[[#This Row],[טיפוס]],Tipus[],5,FALSE),".",VLOOKUP(Check[[#This Row],[מגדל]],Tower,2,FALSE),".Ap.",Check[[#This Row],[מספר דירה]])</f>
        <v>S.S.3A.TN.Ap.236</v>
      </c>
      <c r="B575" s="13" t="str">
        <f>_xlfn.CONCAT(VLOOKUP(Check[[#This Row],[סטטוס]],Sold,2,FALSE),IF(Check[[#This Row],[סטטוס]]="פנויה",IF(N575="גמר מלא סטנדרט",".GMS",IF(N575="גמר מלא טיוב חומרים",".GMC",IF(N575="גמר מינימלי",".GM",IF(N575="דירת שיווק",".DS","")))),""),IF(M575="זומן לטרום",".ZLT",IF(M575="טרום מסירה",".TM",IF(M575="טרום מסירה מהנדס",".TMM",IF(M575="מסירת חזקה",".MH",IF(M575="מסירת חזקה מהנדס",".MHM",""))))),".",VLOOKUP(Check[[#This Row],[טיפוס]],Tipus[],5,FALSE),".",VLOOKUP(Check[[#This Row],[מגדל]],Tower,2,FALSE),".Ap.",Check[[#This Row],[מספר דירה]])</f>
        <v>S.S.3A.TN.Ap.236</v>
      </c>
      <c r="C575" s="3" t="s">
        <v>56</v>
      </c>
      <c r="D575" s="3">
        <v>31</v>
      </c>
      <c r="E575" s="4">
        <v>236</v>
      </c>
      <c r="F575" s="3">
        <v>3106</v>
      </c>
      <c r="G575" s="3" t="s">
        <v>9</v>
      </c>
      <c r="H575" s="5">
        <f>VLOOKUP(Check[[#This Row],[טיפוס]],Tipus[],2,FALSE)</f>
        <v>3</v>
      </c>
      <c r="I575" s="5" t="str">
        <f>VLOOKUP(Check[[#This Row],[טיפוס]],Tipus[],3,FALSE)</f>
        <v>סטנדרט</v>
      </c>
      <c r="J575" s="5" t="str">
        <f>VLOOKUP(Check[[#This Row],[טיפוס]],Tipus[],4,FALSE)</f>
        <v>D</v>
      </c>
      <c r="K575" s="3" t="str">
        <f>IF(Check[[#This Row],[סטטוס2]]="הולד","פנויה",Check[[#This Row],[סטטוס2]])</f>
        <v>מכורה</v>
      </c>
      <c r="L575" s="382" t="s">
        <v>130</v>
      </c>
      <c r="M575" s="382"/>
      <c r="N575" s="383"/>
      <c r="O575" s="383"/>
      <c r="P575" s="411"/>
      <c r="Q575" s="411"/>
      <c r="R575" s="400"/>
      <c r="S575" s="390">
        <v>44290</v>
      </c>
      <c r="T575" s="390" t="s">
        <v>825</v>
      </c>
      <c r="U575" s="387" t="s">
        <v>826</v>
      </c>
      <c r="V575" s="387"/>
      <c r="W575" s="387"/>
    </row>
    <row r="576" spans="1:23" x14ac:dyDescent="0.2">
      <c r="A576" s="13" t="str">
        <f>_xlfn.CONCAT(VLOOKUP(Check[[#This Row],[סטטוס]],Sold,2,FALSE),IF(Check[[#This Row],[סטטוס]]="פנויה",IF(N576="גמר מלא סטנדרט",".GMS",IF(N576="גמר מלא טיוב חומרים",".GMC",IF(N576="גמר מינימלי",".GM",IF(N576="דירת שיווק",".DS","")))),""),".",VLOOKUP(Check[[#This Row],[טיפוס]],Tipus[],5,FALSE),".",VLOOKUP(Check[[#This Row],[מגדל]],Tower,2,FALSE),".Ap.",Check[[#This Row],[מספר דירה]])</f>
        <v>S.S.3G.TN.Ap.237</v>
      </c>
      <c r="B576" s="13" t="str">
        <f>_xlfn.CONCAT(VLOOKUP(Check[[#This Row],[סטטוס]],Sold,2,FALSE),IF(Check[[#This Row],[סטטוס]]="פנויה",IF(N576="גמר מלא סטנדרט",".GMS",IF(N576="גמר מלא טיוב חומרים",".GMC",IF(N576="גמר מינימלי",".GM",IF(N576="דירת שיווק",".DS","")))),""),IF(M576="זומן לטרום",".ZLT",IF(M576="טרום מסירה",".TM",IF(M576="טרום מסירה מהנדס",".TMM",IF(M576="מסירת חזקה",".MH",IF(M576="מסירת חזקה מהנדס",".MHM",""))))),".",VLOOKUP(Check[[#This Row],[טיפוס]],Tipus[],5,FALSE),".",VLOOKUP(Check[[#This Row],[מגדל]],Tower,2,FALSE),".Ap.",Check[[#This Row],[מספר דירה]])</f>
        <v>S.S.3G.TN.Ap.237</v>
      </c>
      <c r="C576" s="3" t="s">
        <v>56</v>
      </c>
      <c r="D576" s="3">
        <v>31</v>
      </c>
      <c r="E576" s="4">
        <v>237</v>
      </c>
      <c r="F576" s="3">
        <v>3107</v>
      </c>
      <c r="G576" s="3" t="s">
        <v>22</v>
      </c>
      <c r="H576" s="5">
        <f>VLOOKUP(Check[[#This Row],[טיפוס]],Tipus[],2,FALSE)</f>
        <v>3</v>
      </c>
      <c r="I576" s="5" t="str">
        <f>VLOOKUP(Check[[#This Row],[טיפוס]],Tipus[],3,FALSE)</f>
        <v>סטנדרט</v>
      </c>
      <c r="J576" s="5" t="str">
        <f>VLOOKUP(Check[[#This Row],[טיפוס]],Tipus[],4,FALSE)</f>
        <v>E</v>
      </c>
      <c r="K576" s="3" t="str">
        <f>IF(Check[[#This Row],[סטטוס2]]="הולד","פנויה",Check[[#This Row],[סטטוס2]])</f>
        <v>מכורה</v>
      </c>
      <c r="L576" s="382" t="s">
        <v>130</v>
      </c>
      <c r="M576" s="382"/>
      <c r="N576" s="383"/>
      <c r="O576" s="383"/>
      <c r="P576" s="411"/>
      <c r="Q576" s="411"/>
      <c r="R576" s="400"/>
      <c r="S576" s="390">
        <v>44500</v>
      </c>
      <c r="T576" s="390" t="s">
        <v>827</v>
      </c>
      <c r="U576" s="387" t="s">
        <v>828</v>
      </c>
      <c r="V576" s="387"/>
      <c r="W576" s="387"/>
    </row>
    <row r="577" spans="1:23" x14ac:dyDescent="0.2">
      <c r="A577" s="13" t="str">
        <f>_xlfn.CONCAT(VLOOKUP(Check[[#This Row],[סטטוס]],Sold,2,FALSE),IF(Check[[#This Row],[סטטוס]]="פנויה",IF(N577="גמר מלא סטנדרט",".GMS",IF(N577="גמר מלא טיוב חומרים",".GMC",IF(N577="גמר מינימלי",".GM",IF(N577="דירת שיווק",".DS","")))),""),".",VLOOKUP(Check[[#This Row],[טיפוס]],Tipus[],5,FALSE),".",VLOOKUP(Check[[#This Row],[מגדל]],Tower,2,FALSE),".Ap.",Check[[#This Row],[מספר דירה]])</f>
        <v>V.GMS.S.3F.TN.Ap.238</v>
      </c>
      <c r="B577" s="13" t="str">
        <f>_xlfn.CONCAT(VLOOKUP(Check[[#This Row],[סטטוס]],Sold,2,FALSE),IF(Check[[#This Row],[סטטוס]]="פנויה",IF(N577="גמר מלא סטנדרט",".GMS",IF(N577="גמר מלא טיוב חומרים",".GMC",IF(N577="גמר מינימלי",".GM",IF(N577="דירת שיווק",".DS","")))),""),IF(M577="זומן לטרום",".ZLT",IF(M577="טרום מסירה",".TM",IF(M577="טרום מסירה מהנדס",".TMM",IF(M577="מסירת חזקה",".MH",IF(M577="מסירת חזקה מהנדס",".MHM",""))))),".",VLOOKUP(Check[[#This Row],[טיפוס]],Tipus[],5,FALSE),".",VLOOKUP(Check[[#This Row],[מגדל]],Tower,2,FALSE),".Ap.",Check[[#This Row],[מספר דירה]])</f>
        <v>V.GMS.S.3F.TN.Ap.238</v>
      </c>
      <c r="C577" s="3" t="s">
        <v>56</v>
      </c>
      <c r="D577" s="3">
        <v>31</v>
      </c>
      <c r="E577" s="4">
        <v>238</v>
      </c>
      <c r="F577" s="3">
        <v>3101</v>
      </c>
      <c r="G577" s="5" t="s">
        <v>23</v>
      </c>
      <c r="H577" s="5">
        <f>VLOOKUP(Check[[#This Row],[טיפוס]],Tipus[],2,FALSE)</f>
        <v>3</v>
      </c>
      <c r="I577" s="5" t="str">
        <f>VLOOKUP(Check[[#This Row],[טיפוס]],Tipus[],3,FALSE)</f>
        <v>סטנדרט</v>
      </c>
      <c r="J577" s="5" t="str">
        <f>VLOOKUP(Check[[#This Row],[טיפוס]],Tipus[],4,FALSE)</f>
        <v>G</v>
      </c>
      <c r="K577" s="3" t="str">
        <f>IF(Check[[#This Row],[סטטוס2]]="הולד","פנויה",Check[[#This Row],[סטטוס2]])</f>
        <v>פנויה</v>
      </c>
      <c r="L577" s="382" t="s">
        <v>108</v>
      </c>
      <c r="M577" s="382"/>
      <c r="N577" t="s">
        <v>1367</v>
      </c>
      <c r="O577" s="383" t="s">
        <v>1390</v>
      </c>
      <c r="P577" s="410" t="s">
        <v>1389</v>
      </c>
      <c r="Q577" s="410"/>
      <c r="R577" s="400"/>
      <c r="S577" s="390"/>
      <c r="T577" s="390" t="s">
        <v>214</v>
      </c>
      <c r="U577" s="387"/>
      <c r="V577" s="387"/>
      <c r="W577" s="387"/>
    </row>
    <row r="578" spans="1:23" ht="141.75" x14ac:dyDescent="0.2">
      <c r="A578" s="13" t="str">
        <f>_xlfn.CONCAT(VLOOKUP(Check[[#This Row],[סטטוס]],Sold,2,FALSE),IF(Check[[#This Row],[סטטוס]]="פנויה",IF(N578="גמר מלא סטנדרט",".GMS",IF(N578="גמר מלא טיוב חומרים",".GMC",IF(N578="גמר מינימלי",".GM",IF(N578="דירת שיווק",".DS","")))),""),".",VLOOKUP(Check[[#This Row],[טיפוס]],Tipus[],5,FALSE),".",VLOOKUP(Check[[#This Row],[מגדל]],Tower,2,FALSE),".Ap.",Check[[#This Row],[מספר דירה]])</f>
        <v>V.GMC.S.5B.TN.Ap.239</v>
      </c>
      <c r="B578" s="13" t="str">
        <f>_xlfn.CONCAT(VLOOKUP(Check[[#This Row],[סטטוס]],Sold,2,FALSE),IF(Check[[#This Row],[סטטוס]]="פנויה",IF(N578="גמר מלא סטנדרט",".GMS",IF(N578="גמר מלא טיוב חומרים",".GMC",IF(N578="גמר מינימלי",".GM",IF(N578="דירת שיווק",".DS","")))),""),IF(M578="זומן לטרום",".ZLT",IF(M578="טרום מסירה",".TM",IF(M578="טרום מסירה מהנדס",".TMM",IF(M578="מסירת חזקה",".MH",IF(M578="מסירת חזקה מהנדס",".MHM",""))))),".",VLOOKUP(Check[[#This Row],[טיפוס]],Tipus[],5,FALSE),".",VLOOKUP(Check[[#This Row],[מגדל]],Tower,2,FALSE),".Ap.",Check[[#This Row],[מספר דירה]])</f>
        <v>V.GMC.S.5B.TN.Ap.239</v>
      </c>
      <c r="C578" s="3" t="s">
        <v>56</v>
      </c>
      <c r="D578" s="3">
        <v>31</v>
      </c>
      <c r="E578" s="4">
        <v>239</v>
      </c>
      <c r="F578" s="3">
        <v>3102</v>
      </c>
      <c r="G578" s="5" t="s">
        <v>24</v>
      </c>
      <c r="H578" s="5">
        <f>VLOOKUP(Check[[#This Row],[טיפוס]],Tipus[],2,FALSE)</f>
        <v>5</v>
      </c>
      <c r="I578" s="5" t="str">
        <f>VLOOKUP(Check[[#This Row],[טיפוס]],Tipus[],3,FALSE)</f>
        <v>סטנדרט</v>
      </c>
      <c r="J578" s="5" t="str">
        <f>VLOOKUP(Check[[#This Row],[טיפוס]],Tipus[],4,FALSE)</f>
        <v>H</v>
      </c>
      <c r="K578" s="3" t="str">
        <f>IF(Check[[#This Row],[סטטוס2]]="הולד","פנויה",Check[[#This Row],[סטטוס2]])</f>
        <v>פנויה</v>
      </c>
      <c r="L578" s="382" t="s">
        <v>108</v>
      </c>
      <c r="M578" s="382"/>
      <c r="N578" t="s">
        <v>1417</v>
      </c>
      <c r="O578" s="404" t="s">
        <v>1398</v>
      </c>
      <c r="P578" s="415" t="s">
        <v>1386</v>
      </c>
      <c r="Q578" s="423" t="s">
        <v>1397</v>
      </c>
      <c r="R578" s="399"/>
      <c r="S578" s="390"/>
      <c r="T578" s="390" t="s">
        <v>214</v>
      </c>
      <c r="U578" s="387"/>
      <c r="V578" s="387"/>
      <c r="W578" s="387"/>
    </row>
    <row r="579" spans="1:23" x14ac:dyDescent="0.2">
      <c r="A579" s="13" t="str">
        <f>_xlfn.CONCAT(VLOOKUP(Check[[#This Row],[סטטוס]],Sold,2,FALSE),IF(Check[[#This Row],[סטטוס]]="פנויה",IF(N579="גמר מלא סטנדרט",".GMS",IF(N579="גמר מלא טיוב חומרים",".GMC",IF(N579="גמר מינימלי",".GM",IF(N579="דירת שיווק",".DS","")))),""),".",VLOOKUP(Check[[#This Row],[טיפוס]],Tipus[],5,FALSE),".",VLOOKUP(Check[[#This Row],[מגדל]],Tower,2,FALSE),".Ap.",Check[[#This Row],[מספר דירה]])</f>
        <v>S.S.5A.TN.Ap.240</v>
      </c>
      <c r="B579" s="13" t="str">
        <f>_xlfn.CONCAT(VLOOKUP(Check[[#This Row],[סטטוס]],Sold,2,FALSE),IF(Check[[#This Row],[סטטוס]]="פנויה",IF(N579="גמר מלא סטנדרט",".GMS",IF(N579="גמר מלא טיוב חומרים",".GMC",IF(N579="גמר מינימלי",".GM",IF(N579="דירת שיווק",".DS","")))),""),IF(M579="זומן לטרום",".ZLT",IF(M579="טרום מסירה",".TM",IF(M579="טרום מסירה מהנדס",".TMM",IF(M579="מסירת חזקה",".MH",IF(M579="מסירת חזקה מהנדס",".MHM",""))))),".",VLOOKUP(Check[[#This Row],[טיפוס]],Tipus[],5,FALSE),".",VLOOKUP(Check[[#This Row],[מגדל]],Tower,2,FALSE),".Ap.",Check[[#This Row],[מספר דירה]])</f>
        <v>S.S.5A.TN.Ap.240</v>
      </c>
      <c r="C579" s="3" t="s">
        <v>56</v>
      </c>
      <c r="D579" s="3">
        <v>31</v>
      </c>
      <c r="E579" s="4">
        <v>240</v>
      </c>
      <c r="F579" s="3">
        <v>3103</v>
      </c>
      <c r="G579" s="5" t="s">
        <v>25</v>
      </c>
      <c r="H579" s="5">
        <f>VLOOKUP(Check[[#This Row],[טיפוס]],Tipus[],2,FALSE)</f>
        <v>5</v>
      </c>
      <c r="I579" s="5" t="str">
        <f>VLOOKUP(Check[[#This Row],[טיפוס]],Tipus[],3,FALSE)</f>
        <v>סטנדרט</v>
      </c>
      <c r="J579" s="5" t="str">
        <f>VLOOKUP(Check[[#This Row],[טיפוס]],Tipus[],4,FALSE)</f>
        <v>J</v>
      </c>
      <c r="K579" s="3" t="str">
        <f>IF(Check[[#This Row],[סטטוס2]]="הולד","פנויה",Check[[#This Row],[סטטוס2]])</f>
        <v>מכורה</v>
      </c>
      <c r="L579" s="382" t="s">
        <v>130</v>
      </c>
      <c r="M579" s="382"/>
      <c r="N579" s="383"/>
      <c r="O579" s="383"/>
      <c r="P579" s="411"/>
      <c r="Q579" s="411"/>
      <c r="R579" s="400"/>
      <c r="S579" s="390">
        <v>44257</v>
      </c>
      <c r="T579" s="390" t="s">
        <v>829</v>
      </c>
      <c r="U579" s="387" t="s">
        <v>830</v>
      </c>
      <c r="V579" s="387" t="s">
        <v>831</v>
      </c>
      <c r="W579" s="387"/>
    </row>
    <row r="580" spans="1:23" x14ac:dyDescent="0.2">
      <c r="A580" s="13" t="str">
        <f>_xlfn.CONCAT(VLOOKUP(Check[[#This Row],[סטטוס]],Sold,2,FALSE),IF(Check[[#This Row],[סטטוס]]="פנויה",IF(N580="גמר מלא סטנדרט",".GMS",IF(N580="גמר מלא טיוב חומרים",".GMC",IF(N580="גמר מינימלי",".GM",IF(N580="דירת שיווק",".DS","")))),""),".",VLOOKUP(Check[[#This Row],[טיפוס]],Tipus[],5,FALSE),".",VLOOKUP(Check[[#This Row],[מגדל]],Tower,2,FALSE),".Ap.",Check[[#This Row],[מספר דירה]])</f>
        <v>S.S.4C.TN.Ap.241</v>
      </c>
      <c r="B580" s="13" t="str">
        <f>_xlfn.CONCAT(VLOOKUP(Check[[#This Row],[סטטוס]],Sold,2,FALSE),IF(Check[[#This Row],[סטטוס]]="פנויה",IF(N580="גמר מלא סטנדרט",".GMS",IF(N580="גמר מלא טיוב חומרים",".GMC",IF(N580="גמר מינימלי",".GM",IF(N580="דירת שיווק",".DS","")))),""),IF(M580="זומן לטרום",".ZLT",IF(M580="טרום מסירה",".TM",IF(M580="טרום מסירה מהנדס",".TMM",IF(M580="מסירת חזקה",".MH",IF(M580="מסירת חזקה מהנדס",".MHM",""))))),".",VLOOKUP(Check[[#This Row],[טיפוס]],Tipus[],5,FALSE),".",VLOOKUP(Check[[#This Row],[מגדל]],Tower,2,FALSE),".Ap.",Check[[#This Row],[מספר דירה]])</f>
        <v>S.S.4C.TN.Ap.241</v>
      </c>
      <c r="C580" s="3" t="s">
        <v>56</v>
      </c>
      <c r="D580" s="3">
        <v>31</v>
      </c>
      <c r="E580" s="4">
        <v>241</v>
      </c>
      <c r="F580" s="3">
        <v>3104</v>
      </c>
      <c r="G580" s="3" t="s">
        <v>26</v>
      </c>
      <c r="H580" s="5">
        <f>VLOOKUP(Check[[#This Row],[טיפוס]],Tipus[],2,FALSE)</f>
        <v>4</v>
      </c>
      <c r="I580" s="5" t="str">
        <f>VLOOKUP(Check[[#This Row],[טיפוס]],Tipus[],3,FALSE)</f>
        <v>סטנדרט</v>
      </c>
      <c r="J580" s="5" t="str">
        <f>VLOOKUP(Check[[#This Row],[טיפוס]],Tipus[],4,FALSE)</f>
        <v>A</v>
      </c>
      <c r="K580" s="3" t="str">
        <f>IF(Check[[#This Row],[סטטוס2]]="הולד","פנויה",Check[[#This Row],[סטטוס2]])</f>
        <v>מכורה</v>
      </c>
      <c r="L580" s="382" t="s">
        <v>130</v>
      </c>
      <c r="M580" s="382"/>
      <c r="N580" s="383"/>
      <c r="O580" s="383"/>
      <c r="P580" s="411"/>
      <c r="Q580" s="411"/>
      <c r="R580" s="400"/>
      <c r="S580" s="390">
        <v>44405</v>
      </c>
      <c r="T580" s="390" t="s">
        <v>832</v>
      </c>
      <c r="U580" s="387" t="s">
        <v>833</v>
      </c>
      <c r="V580" s="387" t="s">
        <v>834</v>
      </c>
      <c r="W580" s="387"/>
    </row>
    <row r="581" spans="1:23" x14ac:dyDescent="0.2">
      <c r="A581" s="13" t="str">
        <f>_xlfn.CONCAT(VLOOKUP(Check[[#This Row],[סטטוס]],Sold,2,FALSE),IF(Check[[#This Row],[סטטוס]]="פנויה",IF(N581="גמר מלא סטנדרט",".GMS",IF(N581="גמר מלא טיוב חומרים",".GMC",IF(N581="גמר מינימלי",".GM",IF(N581="דירת שיווק",".DS","")))),""),".",VLOOKUP(Check[[#This Row],[טיפוס]],Tipus[],5,FALSE),".",VLOOKUP(Check[[#This Row],[מגדל]],Tower,2,FALSE),".Ap.",Check[[#This Row],[מספר דירה]])</f>
        <v>S.S.2D.TN.Ap.242</v>
      </c>
      <c r="B581" s="13" t="str">
        <f>_xlfn.CONCAT(VLOOKUP(Check[[#This Row],[סטטוס]],Sold,2,FALSE),IF(Check[[#This Row],[סטטוס]]="פנויה",IF(N581="גמר מלא סטנדרט",".GMS",IF(N581="גמר מלא טיוב חומרים",".GMC",IF(N581="גמר מינימלי",".GM",IF(N581="דירת שיווק",".DS","")))),""),IF(M581="זומן לטרום",".ZLT",IF(M581="טרום מסירה",".TM",IF(M581="טרום מסירה מהנדס",".TMM",IF(M581="מסירת חזקה",".MH",IF(M581="מסירת חזקה מהנדס",".MHM",""))))),".",VLOOKUP(Check[[#This Row],[טיפוס]],Tipus[],5,FALSE),".",VLOOKUP(Check[[#This Row],[מגדל]],Tower,2,FALSE),".Ap.",Check[[#This Row],[מספר דירה]])</f>
        <v>S.S.2D.TN.Ap.242</v>
      </c>
      <c r="C581" s="3" t="s">
        <v>56</v>
      </c>
      <c r="D581" s="3">
        <v>31</v>
      </c>
      <c r="E581" s="4">
        <v>242</v>
      </c>
      <c r="F581" s="3">
        <v>3105</v>
      </c>
      <c r="G581" s="6" t="s">
        <v>10</v>
      </c>
      <c r="H581" s="5">
        <f>VLOOKUP(Check[[#This Row],[טיפוס]],Tipus[],2,FALSE)</f>
        <v>2</v>
      </c>
      <c r="I581" s="6" t="str">
        <f>VLOOKUP(Check[[#This Row],[טיפוס]],Tipus[],3,FALSE)</f>
        <v>סטנדרט</v>
      </c>
      <c r="J581" s="6" t="str">
        <f>VLOOKUP(Check[[#This Row],[טיפוס]],Tipus[],4,FALSE)</f>
        <v>C</v>
      </c>
      <c r="K581" s="3" t="str">
        <f>IF(Check[[#This Row],[סטטוס2]]="הולד","פנויה",Check[[#This Row],[סטטוס2]])</f>
        <v>מכורה</v>
      </c>
      <c r="L581" s="382" t="s">
        <v>130</v>
      </c>
      <c r="M581" s="382"/>
      <c r="N581" s="383"/>
      <c r="O581" s="383"/>
      <c r="P581" s="411"/>
      <c r="Q581" s="411"/>
      <c r="R581" s="400"/>
      <c r="S581" s="390">
        <v>44922</v>
      </c>
      <c r="T581" s="390" t="s">
        <v>835</v>
      </c>
      <c r="U581" s="387"/>
      <c r="V581" s="387"/>
      <c r="W581" s="387"/>
    </row>
    <row r="582" spans="1:23" x14ac:dyDescent="0.2">
      <c r="A582" s="13" t="str">
        <f>_xlfn.CONCAT(VLOOKUP(Check[[#This Row],[סטטוס]],Sold,2,FALSE),IF(Check[[#This Row],[סטטוס]]="פנויה",IF(N582="גמר מלא סטנדרט",".GMS",IF(N582="גמר מלא טיוב חומרים",".GMC",IF(N582="גמר מינימלי",".GM",IF(N582="דירת שיווק",".DS","")))),""),".",VLOOKUP(Check[[#This Row],[טיפוס]],Tipus[],5,FALSE),".",VLOOKUP(Check[[#This Row],[מגדל]],Tower,2,FALSE),".Ap.",Check[[#This Row],[מספר דירה]])</f>
        <v>S.S.3A.TN.Ap.243</v>
      </c>
      <c r="B582" s="13" t="str">
        <f>_xlfn.CONCAT(VLOOKUP(Check[[#This Row],[סטטוס]],Sold,2,FALSE),IF(Check[[#This Row],[סטטוס]]="פנויה",IF(N582="גמר מלא סטנדרט",".GMS",IF(N582="גמר מלא טיוב חומרים",".GMC",IF(N582="גמר מינימלי",".GM",IF(N582="דירת שיווק",".DS","")))),""),IF(M582="זומן לטרום",".ZLT",IF(M582="טרום מסירה",".TM",IF(M582="טרום מסירה מהנדס",".TMM",IF(M582="מסירת חזקה",".MH",IF(M582="מסירת חזקה מהנדס",".MHM",""))))),".",VLOOKUP(Check[[#This Row],[טיפוס]],Tipus[],5,FALSE),".",VLOOKUP(Check[[#This Row],[מגדל]],Tower,2,FALSE),".Ap.",Check[[#This Row],[מספר דירה]])</f>
        <v>S.S.3A.TN.Ap.243</v>
      </c>
      <c r="C582" s="3" t="s">
        <v>56</v>
      </c>
      <c r="D582" s="3">
        <v>32</v>
      </c>
      <c r="E582" s="4">
        <v>243</v>
      </c>
      <c r="F582" s="3">
        <v>3206</v>
      </c>
      <c r="G582" s="3" t="s">
        <v>9</v>
      </c>
      <c r="H582" s="5">
        <f>VLOOKUP(Check[[#This Row],[טיפוס]],Tipus[],2,FALSE)</f>
        <v>3</v>
      </c>
      <c r="I582" s="5" t="str">
        <f>VLOOKUP(Check[[#This Row],[טיפוס]],Tipus[],3,FALSE)</f>
        <v>סטנדרט</v>
      </c>
      <c r="J582" s="5" t="str">
        <f>VLOOKUP(Check[[#This Row],[טיפוס]],Tipus[],4,FALSE)</f>
        <v>D</v>
      </c>
      <c r="K582" s="3" t="str">
        <f>IF(Check[[#This Row],[סטטוס2]]="הולד","פנויה",Check[[#This Row],[סטטוס2]])</f>
        <v>מכורה</v>
      </c>
      <c r="L582" s="382" t="s">
        <v>130</v>
      </c>
      <c r="M582" s="382"/>
      <c r="N582" s="383"/>
      <c r="O582" s="383"/>
      <c r="P582" s="411"/>
      <c r="Q582" s="411"/>
      <c r="R582" s="400"/>
      <c r="S582" s="390">
        <v>44257</v>
      </c>
      <c r="T582" s="390" t="s">
        <v>836</v>
      </c>
      <c r="U582" s="387" t="s">
        <v>837</v>
      </c>
      <c r="V582" s="387"/>
      <c r="W582" s="387"/>
    </row>
    <row r="583" spans="1:23" x14ac:dyDescent="0.2">
      <c r="A583" s="13" t="str">
        <f>_xlfn.CONCAT(VLOOKUP(Check[[#This Row],[סטטוס]],Sold,2,FALSE),IF(Check[[#This Row],[סטטוס]]="פנויה",IF(N583="גמר מלא סטנדרט",".GMS",IF(N583="גמר מלא טיוב חומרים",".GMC",IF(N583="גמר מינימלי",".GM",IF(N583="דירת שיווק",".DS","")))),""),".",VLOOKUP(Check[[#This Row],[טיפוס]],Tipus[],5,FALSE),".",VLOOKUP(Check[[#This Row],[מגדל]],Tower,2,FALSE),".Ap.",Check[[#This Row],[מספר דירה]])</f>
        <v>S.S.3G.TN.Ap.244</v>
      </c>
      <c r="B583" s="13" t="str">
        <f>_xlfn.CONCAT(VLOOKUP(Check[[#This Row],[סטטוס]],Sold,2,FALSE),IF(Check[[#This Row],[סטטוס]]="פנויה",IF(N583="גמר מלא סטנדרט",".GMS",IF(N583="גמר מלא טיוב חומרים",".GMC",IF(N583="גמר מינימלי",".GM",IF(N583="דירת שיווק",".DS","")))),""),IF(M583="זומן לטרום",".ZLT",IF(M583="טרום מסירה",".TM",IF(M583="טרום מסירה מהנדס",".TMM",IF(M583="מסירת חזקה",".MH",IF(M583="מסירת חזקה מהנדס",".MHM",""))))),".",VLOOKUP(Check[[#This Row],[טיפוס]],Tipus[],5,FALSE),".",VLOOKUP(Check[[#This Row],[מגדל]],Tower,2,FALSE),".Ap.",Check[[#This Row],[מספר דירה]])</f>
        <v>S.S.3G.TN.Ap.244</v>
      </c>
      <c r="C583" s="3" t="s">
        <v>56</v>
      </c>
      <c r="D583" s="3">
        <v>32</v>
      </c>
      <c r="E583" s="4">
        <v>244</v>
      </c>
      <c r="F583" s="3">
        <v>3207</v>
      </c>
      <c r="G583" s="3" t="s">
        <v>22</v>
      </c>
      <c r="H583" s="5">
        <f>VLOOKUP(Check[[#This Row],[טיפוס]],Tipus[],2,FALSE)</f>
        <v>3</v>
      </c>
      <c r="I583" s="5" t="str">
        <f>VLOOKUP(Check[[#This Row],[טיפוס]],Tipus[],3,FALSE)</f>
        <v>סטנדרט</v>
      </c>
      <c r="J583" s="5" t="str">
        <f>VLOOKUP(Check[[#This Row],[טיפוס]],Tipus[],4,FALSE)</f>
        <v>E</v>
      </c>
      <c r="K583" s="3" t="str">
        <f>IF(Check[[#This Row],[סטטוס2]]="הולד","פנויה",Check[[#This Row],[סטטוס2]])</f>
        <v>מכורה</v>
      </c>
      <c r="L583" s="382" t="s">
        <v>130</v>
      </c>
      <c r="M583" s="382"/>
      <c r="N583" s="383"/>
      <c r="O583" s="383"/>
      <c r="P583" s="411"/>
      <c r="Q583" s="411"/>
      <c r="R583" s="400"/>
      <c r="S583" s="390">
        <v>44500</v>
      </c>
      <c r="T583" s="390" t="s">
        <v>838</v>
      </c>
      <c r="U583" s="387" t="s">
        <v>839</v>
      </c>
      <c r="V583" s="387"/>
      <c r="W583" s="387"/>
    </row>
    <row r="584" spans="1:23" x14ac:dyDescent="0.2">
      <c r="A584" s="13" t="str">
        <f>_xlfn.CONCAT(VLOOKUP(Check[[#This Row],[סטטוס]],Sold,2,FALSE),IF(Check[[#This Row],[סטטוס]]="פנויה",IF(N584="גמר מלא סטנדרט",".GMS",IF(N584="גמר מלא טיוב חומרים",".GMC",IF(N584="גמר מינימלי",".GM",IF(N584="דירת שיווק",".DS","")))),""),".",VLOOKUP(Check[[#This Row],[טיפוס]],Tipus[],5,FALSE),".",VLOOKUP(Check[[#This Row],[מגדל]],Tower,2,FALSE),".Ap.",Check[[#This Row],[מספר דירה]])</f>
        <v>S.S.3F.TN.Ap.245</v>
      </c>
      <c r="B584" s="13" t="str">
        <f>_xlfn.CONCAT(VLOOKUP(Check[[#This Row],[סטטוס]],Sold,2,FALSE),IF(Check[[#This Row],[סטטוס]]="פנויה",IF(N584="גמר מלא סטנדרט",".GMS",IF(N584="גמר מלא טיוב חומרים",".GMC",IF(N584="גמר מינימלי",".GM",IF(N584="דירת שיווק",".DS","")))),""),IF(M584="זומן לטרום",".ZLT",IF(M584="טרום מסירה",".TM",IF(M584="טרום מסירה מהנדס",".TMM",IF(M584="מסירת חזקה",".MH",IF(M584="מסירת חזקה מהנדס",".MHM",""))))),".",VLOOKUP(Check[[#This Row],[טיפוס]],Tipus[],5,FALSE),".",VLOOKUP(Check[[#This Row],[מגדל]],Tower,2,FALSE),".Ap.",Check[[#This Row],[מספר דירה]])</f>
        <v>S.S.3F.TN.Ap.245</v>
      </c>
      <c r="C584" s="3" t="s">
        <v>56</v>
      </c>
      <c r="D584" s="3">
        <v>32</v>
      </c>
      <c r="E584" s="4">
        <v>245</v>
      </c>
      <c r="F584" s="3">
        <v>3201</v>
      </c>
      <c r="G584" s="5" t="s">
        <v>23</v>
      </c>
      <c r="H584" s="5">
        <f>VLOOKUP(Check[[#This Row],[טיפוס]],Tipus[],2,FALSE)</f>
        <v>3</v>
      </c>
      <c r="I584" s="5" t="str">
        <f>VLOOKUP(Check[[#This Row],[טיפוס]],Tipus[],3,FALSE)</f>
        <v>סטנדרט</v>
      </c>
      <c r="J584" s="5" t="str">
        <f>VLOOKUP(Check[[#This Row],[טיפוס]],Tipus[],4,FALSE)</f>
        <v>G</v>
      </c>
      <c r="K584" s="3" t="str">
        <f>IF(Check[[#This Row],[סטטוס2]]="הולד","פנויה",Check[[#This Row],[סטטוס2]])</f>
        <v>מכורה</v>
      </c>
      <c r="L584" s="382" t="s">
        <v>130</v>
      </c>
      <c r="M584" s="382"/>
      <c r="N584" s="383"/>
      <c r="O584" s="383"/>
      <c r="P584" s="411"/>
      <c r="Q584" s="411"/>
      <c r="R584" s="400"/>
      <c r="S584" s="390">
        <v>44439</v>
      </c>
      <c r="T584" s="390" t="s">
        <v>840</v>
      </c>
      <c r="U584" s="387" t="s">
        <v>841</v>
      </c>
      <c r="V584" s="387" t="s">
        <v>214</v>
      </c>
      <c r="W584" s="387" t="s">
        <v>842</v>
      </c>
    </row>
    <row r="585" spans="1:23" x14ac:dyDescent="0.2">
      <c r="A585" s="13" t="str">
        <f>_xlfn.CONCAT(VLOOKUP(Check[[#This Row],[סטטוס]],Sold,2,FALSE),IF(Check[[#This Row],[סטטוס]]="פנויה",IF(N585="גמר מלא סטנדרט",".GMS",IF(N585="גמר מלא טיוב חומרים",".GMC",IF(N585="גמר מינימלי",".GM",IF(N585="דירת שיווק",".DS","")))),""),".",VLOOKUP(Check[[#This Row],[טיפוס]],Tipus[],5,FALSE),".",VLOOKUP(Check[[#This Row],[מגדל]],Tower,2,FALSE),".Ap.",Check[[#This Row],[מספר דירה]])</f>
        <v>O.S.5B.TN.Ap.246</v>
      </c>
      <c r="B585" s="13" t="str">
        <f>_xlfn.CONCAT(VLOOKUP(Check[[#This Row],[סטטוס]],Sold,2,FALSE),IF(Check[[#This Row],[סטטוס]]="פנויה",IF(N585="גמר מלא סטנדרט",".GMS",IF(N585="גמר מלא טיוב חומרים",".GMC",IF(N585="גמר מינימלי",".GM",IF(N585="דירת שיווק",".DS","")))),""),IF(M585="זומן לטרום",".ZLT",IF(M585="טרום מסירה",".TM",IF(M585="טרום מסירה מהנדס",".TMM",IF(M585="מסירת חזקה",".MH",IF(M585="מסירת חזקה מהנדס",".MHM",""))))),".",VLOOKUP(Check[[#This Row],[טיפוס]],Tipus[],5,FALSE),".",VLOOKUP(Check[[#This Row],[מגדל]],Tower,2,FALSE),".Ap.",Check[[#This Row],[מספר דירה]])</f>
        <v>O.S.5B.TN.Ap.246</v>
      </c>
      <c r="C585" s="3" t="s">
        <v>56</v>
      </c>
      <c r="D585" s="3">
        <v>32</v>
      </c>
      <c r="E585" s="4">
        <v>246</v>
      </c>
      <c r="F585" s="3">
        <v>3202</v>
      </c>
      <c r="G585" s="5" t="s">
        <v>24</v>
      </c>
      <c r="H585" s="5">
        <f>VLOOKUP(Check[[#This Row],[טיפוס]],Tipus[],2,FALSE)</f>
        <v>5</v>
      </c>
      <c r="I585" s="5" t="str">
        <f>VLOOKUP(Check[[#This Row],[טיפוס]],Tipus[],3,FALSE)</f>
        <v>סטנדרט</v>
      </c>
      <c r="J585" s="5" t="str">
        <f>VLOOKUP(Check[[#This Row],[טיפוס]],Tipus[],4,FALSE)</f>
        <v>H</v>
      </c>
      <c r="K585" s="3" t="str">
        <f>IF(Check[[#This Row],[סטטוס2]]="הולד","פנויה",Check[[#This Row],[סטטוס2]])</f>
        <v>בעלים</v>
      </c>
      <c r="L585" s="382" t="s">
        <v>91</v>
      </c>
      <c r="M585" s="382"/>
      <c r="N585" s="383"/>
      <c r="O585" s="383"/>
      <c r="P585" s="411"/>
      <c r="Q585" s="411"/>
      <c r="R585" s="400"/>
      <c r="S585" s="390">
        <v>44040</v>
      </c>
      <c r="T585" s="390" t="s">
        <v>290</v>
      </c>
      <c r="U585" s="387" t="s">
        <v>291</v>
      </c>
      <c r="V585" s="387" t="s">
        <v>292</v>
      </c>
      <c r="W585" s="387" t="s">
        <v>293</v>
      </c>
    </row>
    <row r="586" spans="1:23" x14ac:dyDescent="0.2">
      <c r="A586" s="13" t="str">
        <f>_xlfn.CONCAT(VLOOKUP(Check[[#This Row],[סטטוס]],Sold,2,FALSE),IF(Check[[#This Row],[סטטוס]]="פנויה",IF(N586="גמר מלא סטנדרט",".GMS",IF(N586="גמר מלא טיוב חומרים",".GMC",IF(N586="גמר מינימלי",".GM",IF(N586="דירת שיווק",".DS","")))),""),".",VLOOKUP(Check[[#This Row],[טיפוס]],Tipus[],5,FALSE),".",VLOOKUP(Check[[#This Row],[מגדל]],Tower,2,FALSE),".Ap.",Check[[#This Row],[מספר דירה]])</f>
        <v>O.S.5A.TN.Ap.247</v>
      </c>
      <c r="B586" s="13" t="str">
        <f>_xlfn.CONCAT(VLOOKUP(Check[[#This Row],[סטטוס]],Sold,2,FALSE),IF(Check[[#This Row],[סטטוס]]="פנויה",IF(N586="גמר מלא סטנדרט",".GMS",IF(N586="גמר מלא טיוב חומרים",".GMC",IF(N586="גמר מינימלי",".GM",IF(N586="דירת שיווק",".DS","")))),""),IF(M586="זומן לטרום",".ZLT",IF(M586="טרום מסירה",".TM",IF(M586="טרום מסירה מהנדס",".TMM",IF(M586="מסירת חזקה",".MH",IF(M586="מסירת חזקה מהנדס",".MHM",""))))),".",VLOOKUP(Check[[#This Row],[טיפוס]],Tipus[],5,FALSE),".",VLOOKUP(Check[[#This Row],[מגדל]],Tower,2,FALSE),".Ap.",Check[[#This Row],[מספר דירה]])</f>
        <v>O.S.5A.TN.Ap.247</v>
      </c>
      <c r="C586" s="3" t="s">
        <v>56</v>
      </c>
      <c r="D586" s="3">
        <v>32</v>
      </c>
      <c r="E586" s="4">
        <v>247</v>
      </c>
      <c r="F586" s="3">
        <v>3203</v>
      </c>
      <c r="G586" s="5" t="s">
        <v>25</v>
      </c>
      <c r="H586" s="5">
        <f>VLOOKUP(Check[[#This Row],[טיפוס]],Tipus[],2,FALSE)</f>
        <v>5</v>
      </c>
      <c r="I586" s="5" t="str">
        <f>VLOOKUP(Check[[#This Row],[טיפוס]],Tipus[],3,FALSE)</f>
        <v>סטנדרט</v>
      </c>
      <c r="J586" s="5" t="str">
        <f>VLOOKUP(Check[[#This Row],[טיפוס]],Tipus[],4,FALSE)</f>
        <v>J</v>
      </c>
      <c r="K586" s="3" t="str">
        <f>IF(Check[[#This Row],[סטטוס2]]="הולד","פנויה",Check[[#This Row],[סטטוס2]])</f>
        <v>בעלים</v>
      </c>
      <c r="L586" s="382" t="s">
        <v>91</v>
      </c>
      <c r="M586" s="382"/>
      <c r="N586" s="383"/>
      <c r="O586" s="383"/>
      <c r="P586" s="411"/>
      <c r="Q586" s="411"/>
      <c r="R586" s="400"/>
      <c r="S586" s="390">
        <v>44040</v>
      </c>
      <c r="T586" s="390" t="s">
        <v>294</v>
      </c>
      <c r="U586" s="387" t="s">
        <v>295</v>
      </c>
      <c r="V586" s="387" t="s">
        <v>296</v>
      </c>
      <c r="W586" s="387" t="s">
        <v>297</v>
      </c>
    </row>
    <row r="587" spans="1:23" x14ac:dyDescent="0.2">
      <c r="A587" s="13" t="str">
        <f>_xlfn.CONCAT(VLOOKUP(Check[[#This Row],[סטטוס]],Sold,2,FALSE),IF(Check[[#This Row],[סטטוס]]="פנויה",IF(N587="גמר מלא סטנדרט",".GMS",IF(N587="גמר מלא טיוב חומרים",".GMC",IF(N587="גמר מינימלי",".GM",IF(N587="דירת שיווק",".DS","")))),""),".",VLOOKUP(Check[[#This Row],[טיפוס]],Tipus[],5,FALSE),".",VLOOKUP(Check[[#This Row],[מגדל]],Tower,2,FALSE),".Ap.",Check[[#This Row],[מספר דירה]])</f>
        <v>S.S.4C.TN.Ap.248</v>
      </c>
      <c r="B587" s="13" t="str">
        <f>_xlfn.CONCAT(VLOOKUP(Check[[#This Row],[סטטוס]],Sold,2,FALSE),IF(Check[[#This Row],[סטטוס]]="פנויה",IF(N587="גמר מלא סטנדרט",".GMS",IF(N587="גמר מלא טיוב חומרים",".GMC",IF(N587="גמר מינימלי",".GM",IF(N587="דירת שיווק",".DS","")))),""),IF(M587="זומן לטרום",".ZLT",IF(M587="טרום מסירה",".TM",IF(M587="טרום מסירה מהנדס",".TMM",IF(M587="מסירת חזקה",".MH",IF(M587="מסירת חזקה מהנדס",".MHM",""))))),".",VLOOKUP(Check[[#This Row],[טיפוס]],Tipus[],5,FALSE),".",VLOOKUP(Check[[#This Row],[מגדל]],Tower,2,FALSE),".Ap.",Check[[#This Row],[מספר דירה]])</f>
        <v>S.S.4C.TN.Ap.248</v>
      </c>
      <c r="C587" s="3" t="s">
        <v>56</v>
      </c>
      <c r="D587" s="3">
        <v>32</v>
      </c>
      <c r="E587" s="4">
        <v>248</v>
      </c>
      <c r="F587" s="3">
        <v>3204</v>
      </c>
      <c r="G587" s="3" t="s">
        <v>26</v>
      </c>
      <c r="H587" s="5">
        <f>VLOOKUP(Check[[#This Row],[טיפוס]],Tipus[],2,FALSE)</f>
        <v>4</v>
      </c>
      <c r="I587" s="5" t="str">
        <f>VLOOKUP(Check[[#This Row],[טיפוס]],Tipus[],3,FALSE)</f>
        <v>סטנדרט</v>
      </c>
      <c r="J587" s="5" t="str">
        <f>VLOOKUP(Check[[#This Row],[טיפוס]],Tipus[],4,FALSE)</f>
        <v>A</v>
      </c>
      <c r="K587" s="3" t="str">
        <f>IF(Check[[#This Row],[סטטוס2]]="הולד","פנויה",Check[[#This Row],[סטטוס2]])</f>
        <v>מכורה</v>
      </c>
      <c r="L587" s="382" t="s">
        <v>130</v>
      </c>
      <c r="M587" s="382"/>
      <c r="N587" s="383"/>
      <c r="O587" s="383"/>
      <c r="P587" s="411"/>
      <c r="Q587" s="411"/>
      <c r="R587" s="400"/>
      <c r="S587" s="390">
        <v>44308</v>
      </c>
      <c r="T587" s="390" t="s">
        <v>843</v>
      </c>
      <c r="U587" s="387" t="s">
        <v>844</v>
      </c>
      <c r="V587" s="387" t="s">
        <v>845</v>
      </c>
      <c r="W587" s="387"/>
    </row>
    <row r="588" spans="1:23" x14ac:dyDescent="0.2">
      <c r="A588" s="13" t="str">
        <f>_xlfn.CONCAT(VLOOKUP(Check[[#This Row],[סטטוס]],Sold,2,FALSE),IF(Check[[#This Row],[סטטוס]]="פנויה",IF(N588="גמר מלא סטנדרט",".GMS",IF(N588="גמר מלא טיוב חומרים",".GMC",IF(N588="גמר מינימלי",".GM",IF(N588="דירת שיווק",".DS","")))),""),".",VLOOKUP(Check[[#This Row],[טיפוס]],Tipus[],5,FALSE),".",VLOOKUP(Check[[#This Row],[מגדל]],Tower,2,FALSE),".Ap.",Check[[#This Row],[מספר דירה]])</f>
        <v>S.S.2D.TN.Ap.249</v>
      </c>
      <c r="B588" s="13" t="str">
        <f>_xlfn.CONCAT(VLOOKUP(Check[[#This Row],[סטטוס]],Sold,2,FALSE),IF(Check[[#This Row],[סטטוס]]="פנויה",IF(N588="גמר מלא סטנדרט",".GMS",IF(N588="גמר מלא טיוב חומרים",".GMC",IF(N588="גמר מינימלי",".GM",IF(N588="דירת שיווק",".DS","")))),""),IF(M588="זומן לטרום",".ZLT",IF(M588="טרום מסירה",".TM",IF(M588="טרום מסירה מהנדס",".TMM",IF(M588="מסירת חזקה",".MH",IF(M588="מסירת חזקה מהנדס",".MHM",""))))),".",VLOOKUP(Check[[#This Row],[טיפוס]],Tipus[],5,FALSE),".",VLOOKUP(Check[[#This Row],[מגדל]],Tower,2,FALSE),".Ap.",Check[[#This Row],[מספר דירה]])</f>
        <v>S.S.2D.TN.Ap.249</v>
      </c>
      <c r="C588" s="3" t="s">
        <v>56</v>
      </c>
      <c r="D588" s="3">
        <v>32</v>
      </c>
      <c r="E588" s="4">
        <v>249</v>
      </c>
      <c r="F588" s="3">
        <v>3205</v>
      </c>
      <c r="G588" s="6" t="s">
        <v>10</v>
      </c>
      <c r="H588" s="5">
        <f>VLOOKUP(Check[[#This Row],[טיפוס]],Tipus[],2,FALSE)</f>
        <v>2</v>
      </c>
      <c r="I588" s="6" t="str">
        <f>VLOOKUP(Check[[#This Row],[טיפוס]],Tipus[],3,FALSE)</f>
        <v>סטנדרט</v>
      </c>
      <c r="J588" s="6" t="str">
        <f>VLOOKUP(Check[[#This Row],[טיפוס]],Tipus[],4,FALSE)</f>
        <v>C</v>
      </c>
      <c r="K588" s="3" t="str">
        <f>IF(Check[[#This Row],[סטטוס2]]="הולד","פנויה",Check[[#This Row],[סטטוס2]])</f>
        <v>מכורה</v>
      </c>
      <c r="L588" s="382" t="s">
        <v>130</v>
      </c>
      <c r="M588" s="382"/>
      <c r="N588" s="383"/>
      <c r="O588" s="383"/>
      <c r="P588" s="411"/>
      <c r="Q588" s="411"/>
      <c r="R588" s="400"/>
      <c r="S588" s="390">
        <v>44853</v>
      </c>
      <c r="T588" s="390" t="s">
        <v>846</v>
      </c>
      <c r="U588" s="387" t="s">
        <v>847</v>
      </c>
      <c r="V588" s="387"/>
      <c r="W588" s="387"/>
    </row>
    <row r="589" spans="1:23" x14ac:dyDescent="0.2">
      <c r="A589" s="13" t="str">
        <f>_xlfn.CONCAT(VLOOKUP(Check[[#This Row],[סטטוס]],Sold,2,FALSE),IF(Check[[#This Row],[סטטוס]]="פנויה",IF(N589="גמר מלא סטנדרט",".GMS",IF(N589="גמר מלא טיוב חומרים",".GMC",IF(N589="גמר מינימלי",".GM",IF(N589="דירת שיווק",".DS","")))),""),".",VLOOKUP(Check[[#This Row],[טיפוס]],Tipus[],5,FALSE),".",VLOOKUP(Check[[#This Row],[מגדל]],Tower,2,FALSE),".Ap.",Check[[#This Row],[מספר דירה]])</f>
        <v>S.S.3A.TN.Ap.250</v>
      </c>
      <c r="B589" s="13" t="str">
        <f>_xlfn.CONCAT(VLOOKUP(Check[[#This Row],[סטטוס]],Sold,2,FALSE),IF(Check[[#This Row],[סטטוס]]="פנויה",IF(N589="גמר מלא סטנדרט",".GMS",IF(N589="גמר מלא טיוב חומרים",".GMC",IF(N589="גמר מינימלי",".GM",IF(N589="דירת שיווק",".DS","")))),""),IF(M589="זומן לטרום",".ZLT",IF(M589="טרום מסירה",".TM",IF(M589="טרום מסירה מהנדס",".TMM",IF(M589="מסירת חזקה",".MH",IF(M589="מסירת חזקה מהנדס",".MHM",""))))),".",VLOOKUP(Check[[#This Row],[טיפוס]],Tipus[],5,FALSE),".",VLOOKUP(Check[[#This Row],[מגדל]],Tower,2,FALSE),".Ap.",Check[[#This Row],[מספר דירה]])</f>
        <v>S.S.3A.TN.Ap.250</v>
      </c>
      <c r="C589" s="3" t="s">
        <v>56</v>
      </c>
      <c r="D589" s="3">
        <v>33</v>
      </c>
      <c r="E589" s="4">
        <v>250</v>
      </c>
      <c r="F589" s="3">
        <v>3306</v>
      </c>
      <c r="G589" s="3" t="s">
        <v>9</v>
      </c>
      <c r="H589" s="5">
        <f>VLOOKUP(Check[[#This Row],[טיפוס]],Tipus[],2,FALSE)</f>
        <v>3</v>
      </c>
      <c r="I589" s="5" t="str">
        <f>VLOOKUP(Check[[#This Row],[טיפוס]],Tipus[],3,FALSE)</f>
        <v>סטנדרט</v>
      </c>
      <c r="J589" s="5" t="str">
        <f>VLOOKUP(Check[[#This Row],[טיפוס]],Tipus[],4,FALSE)</f>
        <v>D</v>
      </c>
      <c r="K589" s="3" t="str">
        <f>IF(Check[[#This Row],[סטטוס2]]="הולד","פנויה",Check[[#This Row],[סטטוס2]])</f>
        <v>מכורה</v>
      </c>
      <c r="L589" s="382" t="s">
        <v>130</v>
      </c>
      <c r="M589" s="382"/>
      <c r="N589" s="383"/>
      <c r="O589" s="383"/>
      <c r="P589" s="411"/>
      <c r="Q589" s="411"/>
      <c r="R589" s="400"/>
      <c r="S589" s="390">
        <v>44242</v>
      </c>
      <c r="T589" s="390" t="s">
        <v>848</v>
      </c>
      <c r="U589" s="387" t="s">
        <v>849</v>
      </c>
      <c r="V589" s="387"/>
      <c r="W589" s="387"/>
    </row>
    <row r="590" spans="1:23" x14ac:dyDescent="0.2">
      <c r="A590" s="13" t="str">
        <f>_xlfn.CONCAT(VLOOKUP(Check[[#This Row],[סטטוס]],Sold,2,FALSE),IF(Check[[#This Row],[סטטוס]]="פנויה",IF(N590="גמר מלא סטנדרט",".GMS",IF(N590="גמר מלא טיוב חומרים",".GMC",IF(N590="גמר מינימלי",".GM",IF(N590="דירת שיווק",".DS","")))),""),".",VLOOKUP(Check[[#This Row],[טיפוס]],Tipus[],5,FALSE),".",VLOOKUP(Check[[#This Row],[מגדל]],Tower,2,FALSE),".Ap.",Check[[#This Row],[מספר דירה]])</f>
        <v>S.S.3G.TN.Ap.251</v>
      </c>
      <c r="B590" s="13" t="str">
        <f>_xlfn.CONCAT(VLOOKUP(Check[[#This Row],[סטטוס]],Sold,2,FALSE),IF(Check[[#This Row],[סטטוס]]="פנויה",IF(N590="גמר מלא סטנדרט",".GMS",IF(N590="גמר מלא טיוב חומרים",".GMC",IF(N590="גמר מינימלי",".GM",IF(N590="דירת שיווק",".DS","")))),""),IF(M590="זומן לטרום",".ZLT",IF(M590="טרום מסירה",".TM",IF(M590="טרום מסירה מהנדס",".TMM",IF(M590="מסירת חזקה",".MH",IF(M590="מסירת חזקה מהנדס",".MHM",""))))),".",VLOOKUP(Check[[#This Row],[טיפוס]],Tipus[],5,FALSE),".",VLOOKUP(Check[[#This Row],[מגדל]],Tower,2,FALSE),".Ap.",Check[[#This Row],[מספר דירה]])</f>
        <v>S.S.3G.TN.Ap.251</v>
      </c>
      <c r="C590" s="3" t="s">
        <v>56</v>
      </c>
      <c r="D590" s="3">
        <v>33</v>
      </c>
      <c r="E590" s="4">
        <v>251</v>
      </c>
      <c r="F590" s="3">
        <v>3307</v>
      </c>
      <c r="G590" s="3" t="s">
        <v>22</v>
      </c>
      <c r="H590" s="5">
        <f>VLOOKUP(Check[[#This Row],[טיפוס]],Tipus[],2,FALSE)</f>
        <v>3</v>
      </c>
      <c r="I590" s="5" t="str">
        <f>VLOOKUP(Check[[#This Row],[טיפוס]],Tipus[],3,FALSE)</f>
        <v>סטנדרט</v>
      </c>
      <c r="J590" s="5" t="str">
        <f>VLOOKUP(Check[[#This Row],[טיפוס]],Tipus[],4,FALSE)</f>
        <v>E</v>
      </c>
      <c r="K590" s="3" t="str">
        <f>IF(Check[[#This Row],[סטטוס2]]="הולד","פנויה",Check[[#This Row],[סטטוס2]])</f>
        <v>מכורה</v>
      </c>
      <c r="L590" s="382" t="s">
        <v>130</v>
      </c>
      <c r="M590" s="382"/>
      <c r="N590" s="383"/>
      <c r="O590" s="383"/>
      <c r="P590" s="411"/>
      <c r="Q590" s="411"/>
      <c r="R590" s="400"/>
      <c r="S590" s="390">
        <v>44311</v>
      </c>
      <c r="T590" s="390" t="s">
        <v>656</v>
      </c>
      <c r="U590" s="387" t="s">
        <v>850</v>
      </c>
      <c r="V590" s="387" t="s">
        <v>214</v>
      </c>
      <c r="W590" s="387" t="s">
        <v>851</v>
      </c>
    </row>
    <row r="591" spans="1:23" x14ac:dyDescent="0.2">
      <c r="A591" s="13" t="str">
        <f>_xlfn.CONCAT(VLOOKUP(Check[[#This Row],[סטטוס]],Sold,2,FALSE),IF(Check[[#This Row],[סטטוס]]="פנויה",IF(N591="גמר מלא סטנדרט",".GMS",IF(N591="גמר מלא טיוב חומרים",".GMC",IF(N591="גמר מינימלי",".GM",IF(N591="דירת שיווק",".DS","")))),""),".",VLOOKUP(Check[[#This Row],[טיפוס]],Tipus[],5,FALSE),".",VLOOKUP(Check[[#This Row],[מגדל]],Tower,2,FALSE),".Ap.",Check[[#This Row],[מספר דירה]])</f>
        <v>S.S.3F.TN.Ap.252</v>
      </c>
      <c r="B591" s="13" t="str">
        <f>_xlfn.CONCAT(VLOOKUP(Check[[#This Row],[סטטוס]],Sold,2,FALSE),IF(Check[[#This Row],[סטטוס]]="פנויה",IF(N591="גמר מלא סטנדרט",".GMS",IF(N591="גמר מלא טיוב חומרים",".GMC",IF(N591="גמר מינימלי",".GM",IF(N591="דירת שיווק",".DS","")))),""),IF(M591="זומן לטרום",".ZLT",IF(M591="טרום מסירה",".TM",IF(M591="טרום מסירה מהנדס",".TMM",IF(M591="מסירת חזקה",".MH",IF(M591="מסירת חזקה מהנדס",".MHM",""))))),".",VLOOKUP(Check[[#This Row],[טיפוס]],Tipus[],5,FALSE),".",VLOOKUP(Check[[#This Row],[מגדל]],Tower,2,FALSE),".Ap.",Check[[#This Row],[מספר דירה]])</f>
        <v>S.S.3F.TN.Ap.252</v>
      </c>
      <c r="C591" s="3" t="s">
        <v>56</v>
      </c>
      <c r="D591" s="3">
        <v>33</v>
      </c>
      <c r="E591" s="4">
        <v>252</v>
      </c>
      <c r="F591" s="3">
        <v>3301</v>
      </c>
      <c r="G591" s="5" t="s">
        <v>23</v>
      </c>
      <c r="H591" s="5">
        <f>VLOOKUP(Check[[#This Row],[טיפוס]],Tipus[],2,FALSE)</f>
        <v>3</v>
      </c>
      <c r="I591" s="5" t="str">
        <f>VLOOKUP(Check[[#This Row],[טיפוס]],Tipus[],3,FALSE)</f>
        <v>סטנדרט</v>
      </c>
      <c r="J591" s="5" t="str">
        <f>VLOOKUP(Check[[#This Row],[טיפוס]],Tipus[],4,FALSE)</f>
        <v>G</v>
      </c>
      <c r="K591" s="3" t="str">
        <f>IF(Check[[#This Row],[סטטוס2]]="הולד","פנויה",Check[[#This Row],[סטטוס2]])</f>
        <v>מכורה</v>
      </c>
      <c r="L591" s="382" t="s">
        <v>130</v>
      </c>
      <c r="M591" s="382"/>
      <c r="N591" s="383"/>
      <c r="O591" s="383"/>
      <c r="P591" s="411"/>
      <c r="Q591" s="411"/>
      <c r="R591" s="400"/>
      <c r="S591" s="390">
        <v>44292</v>
      </c>
      <c r="T591" s="390" t="s">
        <v>852</v>
      </c>
      <c r="U591" s="387" t="s">
        <v>853</v>
      </c>
      <c r="V591" s="387"/>
      <c r="W591" s="387"/>
    </row>
    <row r="592" spans="1:23" ht="141.75" x14ac:dyDescent="0.2">
      <c r="A592" s="13" t="str">
        <f>_xlfn.CONCAT(VLOOKUP(Check[[#This Row],[סטטוס]],Sold,2,FALSE),IF(Check[[#This Row],[סטטוס]]="פנויה",IF(N592="גמר מלא סטנדרט",".GMS",IF(N592="גמר מלא טיוב חומרים",".GMC",IF(N592="גמר מינימלי",".GM",IF(N592="דירת שיווק",".DS","")))),""),".",VLOOKUP(Check[[#This Row],[טיפוס]],Tipus[],5,FALSE),".",VLOOKUP(Check[[#This Row],[מגדל]],Tower,2,FALSE),".Ap.",Check[[#This Row],[מספר דירה]])</f>
        <v>V.GMC.S.5B.TN.Ap.253</v>
      </c>
      <c r="B592" s="13" t="str">
        <f>_xlfn.CONCAT(VLOOKUP(Check[[#This Row],[סטטוס]],Sold,2,FALSE),IF(Check[[#This Row],[סטטוס]]="פנויה",IF(N592="גמר מלא סטנדרט",".GMS",IF(N592="גמר מלא טיוב חומרים",".GMC",IF(N592="גמר מינימלי",".GM",IF(N592="דירת שיווק",".DS","")))),""),IF(M592="זומן לטרום",".ZLT",IF(M592="טרום מסירה",".TM",IF(M592="טרום מסירה מהנדס",".TMM",IF(M592="מסירת חזקה",".MH",IF(M592="מסירת חזקה מהנדס",".MHM",""))))),".",VLOOKUP(Check[[#This Row],[טיפוס]],Tipus[],5,FALSE),".",VLOOKUP(Check[[#This Row],[מגדל]],Tower,2,FALSE),".Ap.",Check[[#This Row],[מספר דירה]])</f>
        <v>V.GMC.S.5B.TN.Ap.253</v>
      </c>
      <c r="C592" s="3" t="s">
        <v>56</v>
      </c>
      <c r="D592" s="3">
        <v>33</v>
      </c>
      <c r="E592" s="4">
        <v>253</v>
      </c>
      <c r="F592" s="3">
        <v>3302</v>
      </c>
      <c r="G592" s="5" t="s">
        <v>24</v>
      </c>
      <c r="H592" s="5">
        <f>VLOOKUP(Check[[#This Row],[טיפוס]],Tipus[],2,FALSE)</f>
        <v>5</v>
      </c>
      <c r="I592" s="5" t="str">
        <f>VLOOKUP(Check[[#This Row],[טיפוס]],Tipus[],3,FALSE)</f>
        <v>סטנדרט</v>
      </c>
      <c r="J592" s="5" t="str">
        <f>VLOOKUP(Check[[#This Row],[טיפוס]],Tipus[],4,FALSE)</f>
        <v>H</v>
      </c>
      <c r="K592" s="3" t="str">
        <f>IF(Check[[#This Row],[סטטוס2]]="הולד","פנויה",Check[[#This Row],[סטטוס2]])</f>
        <v>פנויה</v>
      </c>
      <c r="L592" s="382" t="s">
        <v>108</v>
      </c>
      <c r="M592" s="382"/>
      <c r="N592" t="s">
        <v>1417</v>
      </c>
      <c r="O592" s="404" t="s">
        <v>1398</v>
      </c>
      <c r="P592" s="415" t="s">
        <v>1386</v>
      </c>
      <c r="Q592" s="423" t="s">
        <v>1397</v>
      </c>
      <c r="R592" s="399"/>
      <c r="S592" s="390"/>
      <c r="T592" s="390" t="s">
        <v>214</v>
      </c>
      <c r="U592" s="387"/>
      <c r="V592" s="387"/>
      <c r="W592" s="387"/>
    </row>
    <row r="593" spans="1:23" x14ac:dyDescent="0.2">
      <c r="A593" s="13" t="str">
        <f>_xlfn.CONCAT(VLOOKUP(Check[[#This Row],[סטטוס]],Sold,2,FALSE),IF(Check[[#This Row],[סטטוס]]="פנויה",IF(N593="גמר מלא סטנדרט",".GMS",IF(N593="גמר מלא טיוב חומרים",".GMC",IF(N593="גמר מינימלי",".GM",IF(N593="דירת שיווק",".DS","")))),""),".",VLOOKUP(Check[[#This Row],[טיפוס]],Tipus[],5,FALSE),".",VLOOKUP(Check[[#This Row],[מגדל]],Tower,2,FALSE),".Ap.",Check[[#This Row],[מספר דירה]])</f>
        <v>S.S.5A.TN.Ap.254</v>
      </c>
      <c r="B593" s="13" t="str">
        <f>_xlfn.CONCAT(VLOOKUP(Check[[#This Row],[סטטוס]],Sold,2,FALSE),IF(Check[[#This Row],[סטטוס]]="פנויה",IF(N593="גמר מלא סטנדרט",".GMS",IF(N593="גמר מלא טיוב חומרים",".GMC",IF(N593="גמר מינימלי",".GM",IF(N593="דירת שיווק",".DS","")))),""),IF(M593="זומן לטרום",".ZLT",IF(M593="טרום מסירה",".TM",IF(M593="טרום מסירה מהנדס",".TMM",IF(M593="מסירת חזקה",".MH",IF(M593="מסירת חזקה מהנדס",".MHM",""))))),".",VLOOKUP(Check[[#This Row],[טיפוס]],Tipus[],5,FALSE),".",VLOOKUP(Check[[#This Row],[מגדל]],Tower,2,FALSE),".Ap.",Check[[#This Row],[מספר דירה]])</f>
        <v>S.S.5A.TN.Ap.254</v>
      </c>
      <c r="C593" s="3" t="s">
        <v>56</v>
      </c>
      <c r="D593" s="3">
        <v>33</v>
      </c>
      <c r="E593" s="4">
        <v>254</v>
      </c>
      <c r="F593" s="3">
        <v>3303</v>
      </c>
      <c r="G593" s="5" t="s">
        <v>25</v>
      </c>
      <c r="H593" s="5">
        <f>VLOOKUP(Check[[#This Row],[טיפוס]],Tipus[],2,FALSE)</f>
        <v>5</v>
      </c>
      <c r="I593" s="5" t="str">
        <f>VLOOKUP(Check[[#This Row],[טיפוס]],Tipus[],3,FALSE)</f>
        <v>סטנדרט</v>
      </c>
      <c r="J593" s="5" t="str">
        <f>VLOOKUP(Check[[#This Row],[טיפוס]],Tipus[],4,FALSE)</f>
        <v>J</v>
      </c>
      <c r="K593" s="3" t="str">
        <f>IF(Check[[#This Row],[סטטוס2]]="הולד","פנויה",Check[[#This Row],[סטטוס2]])</f>
        <v>מכורה</v>
      </c>
      <c r="L593" s="382" t="s">
        <v>130</v>
      </c>
      <c r="M593" s="382"/>
      <c r="N593" s="383"/>
      <c r="O593" s="383"/>
      <c r="P593" s="411"/>
      <c r="Q593" s="411"/>
      <c r="R593" s="400"/>
      <c r="S593" s="390">
        <v>44256</v>
      </c>
      <c r="T593" s="390" t="s">
        <v>854</v>
      </c>
      <c r="U593" s="387" t="s">
        <v>855</v>
      </c>
      <c r="V593" s="387" t="s">
        <v>856</v>
      </c>
      <c r="W593" s="387"/>
    </row>
    <row r="594" spans="1:23" x14ac:dyDescent="0.2">
      <c r="A594" s="13" t="str">
        <f>_xlfn.CONCAT(VLOOKUP(Check[[#This Row],[סטטוס]],Sold,2,FALSE),IF(Check[[#This Row],[סטטוס]]="פנויה",IF(N594="גמר מלא סטנדרט",".GMS",IF(N594="גמר מלא טיוב חומרים",".GMC",IF(N594="גמר מינימלי",".GM",IF(N594="דירת שיווק",".DS","")))),""),".",VLOOKUP(Check[[#This Row],[טיפוס]],Tipus[],5,FALSE),".",VLOOKUP(Check[[#This Row],[מגדל]],Tower,2,FALSE),".Ap.",Check[[#This Row],[מספר דירה]])</f>
        <v>S.S.4C.TN.Ap.255</v>
      </c>
      <c r="B594" s="13" t="str">
        <f>_xlfn.CONCAT(VLOOKUP(Check[[#This Row],[סטטוס]],Sold,2,FALSE),IF(Check[[#This Row],[סטטוס]]="פנויה",IF(N594="גמר מלא סטנדרט",".GMS",IF(N594="גמר מלא טיוב חומרים",".GMC",IF(N594="גמר מינימלי",".GM",IF(N594="דירת שיווק",".DS","")))),""),IF(M594="זומן לטרום",".ZLT",IF(M594="טרום מסירה",".TM",IF(M594="טרום מסירה מהנדס",".TMM",IF(M594="מסירת חזקה",".MH",IF(M594="מסירת חזקה מהנדס",".MHM",""))))),".",VLOOKUP(Check[[#This Row],[טיפוס]],Tipus[],5,FALSE),".",VLOOKUP(Check[[#This Row],[מגדל]],Tower,2,FALSE),".Ap.",Check[[#This Row],[מספר דירה]])</f>
        <v>S.S.4C.TN.Ap.255</v>
      </c>
      <c r="C594" s="3" t="s">
        <v>56</v>
      </c>
      <c r="D594" s="3">
        <v>33</v>
      </c>
      <c r="E594" s="4">
        <v>255</v>
      </c>
      <c r="F594" s="3">
        <v>3304</v>
      </c>
      <c r="G594" s="3" t="s">
        <v>26</v>
      </c>
      <c r="H594" s="5">
        <f>VLOOKUP(Check[[#This Row],[טיפוס]],Tipus[],2,FALSE)</f>
        <v>4</v>
      </c>
      <c r="I594" s="5" t="str">
        <f>VLOOKUP(Check[[#This Row],[טיפוס]],Tipus[],3,FALSE)</f>
        <v>סטנדרט</v>
      </c>
      <c r="J594" s="5" t="str">
        <f>VLOOKUP(Check[[#This Row],[טיפוס]],Tipus[],4,FALSE)</f>
        <v>A</v>
      </c>
      <c r="K594" s="3" t="str">
        <f>IF(Check[[#This Row],[סטטוס2]]="הולד","פנויה",Check[[#This Row],[סטטוס2]])</f>
        <v>מכורה</v>
      </c>
      <c r="L594" s="382" t="s">
        <v>130</v>
      </c>
      <c r="M594" s="382"/>
      <c r="N594" s="383"/>
      <c r="O594" s="383"/>
      <c r="P594" s="411"/>
      <c r="Q594" s="411"/>
      <c r="R594" s="400"/>
      <c r="S594" s="390">
        <v>44341</v>
      </c>
      <c r="T594" s="390" t="s">
        <v>857</v>
      </c>
      <c r="U594" s="387" t="s">
        <v>858</v>
      </c>
      <c r="V594" s="387" t="s">
        <v>859</v>
      </c>
      <c r="W594" s="387" t="s">
        <v>860</v>
      </c>
    </row>
    <row r="595" spans="1:23" x14ac:dyDescent="0.2">
      <c r="A595" s="13" t="str">
        <f>_xlfn.CONCAT(VLOOKUP(Check[[#This Row],[סטטוס]],Sold,2,FALSE),IF(Check[[#This Row],[סטטוס]]="פנויה",IF(N595="גמר מלא סטנדרט",".GMS",IF(N595="גמר מלא טיוב חומרים",".GMC",IF(N595="גמר מינימלי",".GM",IF(N595="דירת שיווק",".DS","")))),""),".",VLOOKUP(Check[[#This Row],[טיפוס]],Tipus[],5,FALSE),".",VLOOKUP(Check[[#This Row],[מגדל]],Tower,2,FALSE),".Ap.",Check[[#This Row],[מספר דירה]])</f>
        <v>S.S.2D.TN.Ap.256</v>
      </c>
      <c r="B595" s="13" t="str">
        <f>_xlfn.CONCAT(VLOOKUP(Check[[#This Row],[סטטוס]],Sold,2,FALSE),IF(Check[[#This Row],[סטטוס]]="פנויה",IF(N595="גמר מלא סטנדרט",".GMS",IF(N595="גמר מלא טיוב חומרים",".GMC",IF(N595="גמר מינימלי",".GM",IF(N595="דירת שיווק",".DS","")))),""),IF(M595="זומן לטרום",".ZLT",IF(M595="טרום מסירה",".TM",IF(M595="טרום מסירה מהנדס",".TMM",IF(M595="מסירת חזקה",".MH",IF(M595="מסירת חזקה מהנדס",".MHM",""))))),".",VLOOKUP(Check[[#This Row],[טיפוס]],Tipus[],5,FALSE),".",VLOOKUP(Check[[#This Row],[מגדל]],Tower,2,FALSE),".Ap.",Check[[#This Row],[מספר דירה]])</f>
        <v>S.S.2D.TN.Ap.256</v>
      </c>
      <c r="C595" s="3" t="s">
        <v>56</v>
      </c>
      <c r="D595" s="3">
        <v>33</v>
      </c>
      <c r="E595" s="4">
        <v>256</v>
      </c>
      <c r="F595" s="3">
        <v>3305</v>
      </c>
      <c r="G595" s="6" t="s">
        <v>10</v>
      </c>
      <c r="H595" s="5">
        <f>VLOOKUP(Check[[#This Row],[טיפוס]],Tipus[],2,FALSE)</f>
        <v>2</v>
      </c>
      <c r="I595" s="6" t="str">
        <f>VLOOKUP(Check[[#This Row],[טיפוס]],Tipus[],3,FALSE)</f>
        <v>סטנדרט</v>
      </c>
      <c r="J595" s="6" t="str">
        <f>VLOOKUP(Check[[#This Row],[טיפוס]],Tipus[],4,FALSE)</f>
        <v>C</v>
      </c>
      <c r="K595" s="3" t="str">
        <f>IF(Check[[#This Row],[סטטוס2]]="הולד","פנויה",Check[[#This Row],[סטטוס2]])</f>
        <v>מכורה</v>
      </c>
      <c r="L595" s="382" t="s">
        <v>130</v>
      </c>
      <c r="M595" s="382"/>
      <c r="N595" s="383"/>
      <c r="O595" s="383"/>
      <c r="P595" s="411"/>
      <c r="Q595" s="411"/>
      <c r="R595" s="400"/>
      <c r="S595" s="390">
        <v>44903</v>
      </c>
      <c r="T595" s="390" t="s">
        <v>861</v>
      </c>
      <c r="U595" s="387"/>
      <c r="V595" s="387"/>
      <c r="W595" s="387"/>
    </row>
    <row r="596" spans="1:23" x14ac:dyDescent="0.2">
      <c r="A596" s="13" t="str">
        <f>_xlfn.CONCAT(VLOOKUP(Check[[#This Row],[סטטוס]],Sold,2,FALSE),IF(Check[[#This Row],[סטטוס]]="פנויה",IF(N596="גמר מלא סטנדרט",".GMS",IF(N596="גמר מלא טיוב חומרים",".GMC",IF(N596="גמר מינימלי",".GM",IF(N596="דירת שיווק",".DS","")))),""),".",VLOOKUP(Check[[#This Row],[טיפוס]],Tipus[],5,FALSE),".",VLOOKUP(Check[[#This Row],[מגדל]],Tower,2,FALSE),".Ap.",Check[[#This Row],[מספר דירה]])</f>
        <v>V.GMS.P.4D.TN.Ap.257</v>
      </c>
      <c r="B596" s="13" t="str">
        <f>_xlfn.CONCAT(VLOOKUP(Check[[#This Row],[סטטוס]],Sold,2,FALSE),IF(Check[[#This Row],[סטטוס]]="פנויה",IF(N596="גמר מלא סטנדרט",".GMS",IF(N596="גמר מלא טיוב חומרים",".GMC",IF(N596="גמר מינימלי",".GM",IF(N596="דירת שיווק",".DS","")))),""),IF(M596="זומן לטרום",".ZLT",IF(M596="טרום מסירה",".TM",IF(M596="טרום מסירה מהנדס",".TMM",IF(M596="מסירת חזקה",".MH",IF(M596="מסירת חזקה מהנדס",".MHM",""))))),".",VLOOKUP(Check[[#This Row],[טיפוס]],Tipus[],5,FALSE),".",VLOOKUP(Check[[#This Row],[מגדל]],Tower,2,FALSE),".Ap.",Check[[#This Row],[מספר דירה]])</f>
        <v>V.GMS.P.4D.TN.Ap.257</v>
      </c>
      <c r="C596" s="3" t="s">
        <v>56</v>
      </c>
      <c r="D596" s="3">
        <v>34</v>
      </c>
      <c r="E596" s="4">
        <v>257</v>
      </c>
      <c r="F596" s="3">
        <v>3401</v>
      </c>
      <c r="G596" s="5" t="s">
        <v>27</v>
      </c>
      <c r="H596" s="5">
        <f>VLOOKUP(Check[[#This Row],[טיפוס]],Tipus[],2,FALSE)</f>
        <v>4</v>
      </c>
      <c r="I596" s="5" t="str">
        <f>VLOOKUP(Check[[#This Row],[טיפוס]],Tipus[],3,FALSE)</f>
        <v>פרימיום</v>
      </c>
      <c r="J596" s="5" t="str">
        <f>VLOOKUP(Check[[#This Row],[טיפוס]],Tipus[],4,FALSE)</f>
        <v>G (P)</v>
      </c>
      <c r="K596" s="3" t="str">
        <f>IF(Check[[#This Row],[סטטוס2]]="הולד","פנויה",Check[[#This Row],[סטטוס2]])</f>
        <v>פנויה</v>
      </c>
      <c r="L596" s="382" t="s">
        <v>108</v>
      </c>
      <c r="M596" s="382"/>
      <c r="N596" t="s">
        <v>1367</v>
      </c>
      <c r="O596" s="383" t="s">
        <v>1390</v>
      </c>
      <c r="P596" s="410" t="s">
        <v>1389</v>
      </c>
      <c r="Q596" s="410"/>
      <c r="R596" s="383"/>
      <c r="S596" s="390"/>
      <c r="T596" s="390" t="s">
        <v>214</v>
      </c>
      <c r="U596" s="387"/>
      <c r="V596" s="387"/>
      <c r="W596" s="387"/>
    </row>
    <row r="597" spans="1:23" x14ac:dyDescent="0.2">
      <c r="A597" s="13" t="str">
        <f>_xlfn.CONCAT(VLOOKUP(Check[[#This Row],[סטטוס]],Sold,2,FALSE),IF(Check[[#This Row],[סטטוס]]="פנויה",IF(N597="גמר מלא סטנדרט",".GMS",IF(N597="גמר מלא טיוב חומרים",".GMC",IF(N597="גמר מינימלי",".GM",IF(N597="דירת שיווק",".DS","")))),""),".",VLOOKUP(Check[[#This Row],[טיפוס]],Tipus[],5,FALSE),".",VLOOKUP(Check[[#This Row],[מגדל]],Tower,2,FALSE),".Ap.",Check[[#This Row],[מספר דירה]])</f>
        <v>S.P.4E.TN.Ap.258</v>
      </c>
      <c r="B597" s="13" t="str">
        <f>_xlfn.CONCAT(VLOOKUP(Check[[#This Row],[סטטוס]],Sold,2,FALSE),IF(Check[[#This Row],[סטטוס]]="פנויה",IF(N597="גמר מלא סטנדרט",".GMS",IF(N597="גמר מלא טיוב חומרים",".GMC",IF(N597="גמר מינימלי",".GM",IF(N597="דירת שיווק",".DS","")))),""),IF(M597="זומן לטרום",".ZLT",IF(M597="טרום מסירה",".TM",IF(M597="טרום מסירה מהנדס",".TMM",IF(M597="מסירת חזקה",".MH",IF(M597="מסירת חזקה מהנדס",".MHM",""))))),".",VLOOKUP(Check[[#This Row],[טיפוס]],Tipus[],5,FALSE),".",VLOOKUP(Check[[#This Row],[מגדל]],Tower,2,FALSE),".Ap.",Check[[#This Row],[מספר דירה]])</f>
        <v>S.P.4E.TN.Ap.258</v>
      </c>
      <c r="C597" s="3" t="s">
        <v>56</v>
      </c>
      <c r="D597" s="3">
        <v>34</v>
      </c>
      <c r="E597" s="4">
        <v>258</v>
      </c>
      <c r="F597" s="3">
        <v>3405</v>
      </c>
      <c r="G597" s="5" t="s">
        <v>28</v>
      </c>
      <c r="H597" s="5">
        <f>VLOOKUP(Check[[#This Row],[טיפוס]],Tipus[],2,FALSE)</f>
        <v>4</v>
      </c>
      <c r="I597" s="5" t="str">
        <f>VLOOKUP(Check[[#This Row],[טיפוס]],Tipus[],3,FALSE)</f>
        <v>פרימיום</v>
      </c>
      <c r="J597" s="5" t="str">
        <f>VLOOKUP(Check[[#This Row],[טיפוס]],Tipus[],4,FALSE)</f>
        <v>C+D</v>
      </c>
      <c r="K597" s="3" t="str">
        <f>IF(Check[[#This Row],[סטטוס2]]="הולד","פנויה",Check[[#This Row],[סטטוס2]])</f>
        <v>מכורה</v>
      </c>
      <c r="L597" s="382" t="s">
        <v>130</v>
      </c>
      <c r="M597" s="382"/>
      <c r="N597" s="383"/>
      <c r="O597" s="383"/>
      <c r="P597" s="411"/>
      <c r="Q597" s="411"/>
      <c r="R597" s="383"/>
      <c r="S597" s="390">
        <v>44504</v>
      </c>
      <c r="T597" s="390" t="s">
        <v>862</v>
      </c>
      <c r="U597" s="387" t="s">
        <v>863</v>
      </c>
      <c r="V597" s="387" t="s">
        <v>864</v>
      </c>
      <c r="W597" s="387"/>
    </row>
    <row r="598" spans="1:23" x14ac:dyDescent="0.2">
      <c r="A598" s="13" t="str">
        <f>_xlfn.CONCAT(VLOOKUP(Check[[#This Row],[סטטוס]],Sold,2,FALSE),IF(Check[[#This Row],[סטטוס]]="פנויה",IF(N598="גמר מלא סטנדרט",".GMS",IF(N598="גמר מלא טיוב חומרים",".GMC",IF(N598="גמר מינימלי",".GM",IF(N598="דירת שיווק",".DS","")))),""),".",VLOOKUP(Check[[#This Row],[טיפוס]],Tipus[],5,FALSE),".",VLOOKUP(Check[[#This Row],[מגדל]],Tower,2,FALSE),".Ap.",Check[[#This Row],[מספר דירה]])</f>
        <v>O.P.4F.TN.Ap.259</v>
      </c>
      <c r="B598" s="13" t="str">
        <f>_xlfn.CONCAT(VLOOKUP(Check[[#This Row],[סטטוס]],Sold,2,FALSE),IF(Check[[#This Row],[סטטוס]]="פנויה",IF(N598="גמר מלא סטנדרט",".GMS",IF(N598="גמר מלא טיוב חומרים",".GMC",IF(N598="גמר מינימלי",".GM",IF(N598="דירת שיווק",".DS","")))),""),IF(M598="זומן לטרום",".ZLT",IF(M598="טרום מסירה",".TM",IF(M598="טרום מסירה מהנדס",".TMM",IF(M598="מסירת חזקה",".MH",IF(M598="מסירת חזקה מהנדס",".MHM",""))))),".",VLOOKUP(Check[[#This Row],[טיפוס]],Tipus[],5,FALSE),".",VLOOKUP(Check[[#This Row],[מגדל]],Tower,2,FALSE),".Ap.",Check[[#This Row],[מספר דירה]])</f>
        <v>O.P.4F.TN.Ap.259</v>
      </c>
      <c r="C598" s="3" t="s">
        <v>56</v>
      </c>
      <c r="D598" s="3">
        <v>34</v>
      </c>
      <c r="E598" s="4">
        <v>259</v>
      </c>
      <c r="F598" s="3">
        <v>3404</v>
      </c>
      <c r="G598" s="5" t="s">
        <v>29</v>
      </c>
      <c r="H598" s="5">
        <f>VLOOKUP(Check[[#This Row],[טיפוס]],Tipus[],2,FALSE)</f>
        <v>4</v>
      </c>
      <c r="I598" s="5" t="str">
        <f>VLOOKUP(Check[[#This Row],[טיפוס]],Tipus[],3,FALSE)</f>
        <v>פרימיום</v>
      </c>
      <c r="J598" s="5" t="str">
        <f>VLOOKUP(Check[[#This Row],[טיפוס]],Tipus[],4,FALSE)</f>
        <v>A (P)</v>
      </c>
      <c r="K598" s="3" t="str">
        <f>IF(Check[[#This Row],[סטטוס2]]="הולד","פנויה",Check[[#This Row],[סטטוס2]])</f>
        <v>בעלים</v>
      </c>
      <c r="L598" s="382" t="s">
        <v>91</v>
      </c>
      <c r="M598" s="382"/>
      <c r="N598" s="383"/>
      <c r="O598" s="383"/>
      <c r="P598" s="411"/>
      <c r="Q598" s="411"/>
      <c r="R598" s="400"/>
      <c r="S598" s="390">
        <v>44040</v>
      </c>
      <c r="T598" s="390" t="s">
        <v>298</v>
      </c>
      <c r="U598" s="387" t="s">
        <v>299</v>
      </c>
      <c r="V598" s="387" t="s">
        <v>300</v>
      </c>
      <c r="W598" s="387" t="s">
        <v>284</v>
      </c>
    </row>
    <row r="599" spans="1:23" x14ac:dyDescent="0.2">
      <c r="A599" s="13" t="str">
        <f>_xlfn.CONCAT(VLOOKUP(Check[[#This Row],[סטטוס]],Sold,2,FALSE),IF(Check[[#This Row],[סטטוס]]="פנויה",IF(N599="גמר מלא סטנדרט",".GMS",IF(N599="גמר מלא טיוב חומרים",".GMC",IF(N599="גמר מינימלי",".GM",IF(N599="דירת שיווק",".DS","")))),""),".",VLOOKUP(Check[[#This Row],[טיפוס]],Tipus[],5,FALSE),".",VLOOKUP(Check[[#This Row],[מגדל]],Tower,2,FALSE),".Ap.",Check[[#This Row],[מספר דירה]])</f>
        <v>O.P.5CP.TN.Ap.260</v>
      </c>
      <c r="B599" s="13" t="str">
        <f>_xlfn.CONCAT(VLOOKUP(Check[[#This Row],[סטטוס]],Sold,2,FALSE),IF(Check[[#This Row],[סטטוס]]="פנויה",IF(N599="גמר מלא סטנדרט",".GMS",IF(N599="גמר מלא טיוב חומרים",".GMC",IF(N599="גמר מינימלי",".GM",IF(N599="דירת שיווק",".DS","")))),""),IF(M599="זומן לטרום",".ZLT",IF(M599="טרום מסירה",".TM",IF(M599="טרום מסירה מהנדס",".TMM",IF(M599="מסירת חזקה",".MH",IF(M599="מסירת חזקה מהנדס",".MHM",""))))),".",VLOOKUP(Check[[#This Row],[טיפוס]],Tipus[],5,FALSE),".",VLOOKUP(Check[[#This Row],[מגדל]],Tower,2,FALSE),".Ap.",Check[[#This Row],[מספר דירה]])</f>
        <v>O.P.5CP.TN.Ap.260</v>
      </c>
      <c r="C599" s="3" t="s">
        <v>56</v>
      </c>
      <c r="D599" s="3">
        <v>34</v>
      </c>
      <c r="E599" s="4">
        <v>260</v>
      </c>
      <c r="F599" s="3">
        <v>3403</v>
      </c>
      <c r="G599" s="5" t="s">
        <v>1269</v>
      </c>
      <c r="H599" s="5">
        <f>VLOOKUP(Check[[#This Row],[טיפוס]],Tipus[],2,FALSE)</f>
        <v>5</v>
      </c>
      <c r="I599" s="5" t="str">
        <f>VLOOKUP(Check[[#This Row],[טיפוס]],Tipus[],3,FALSE)</f>
        <v>פרימיום</v>
      </c>
      <c r="J599" s="5" t="str">
        <f>VLOOKUP(Check[[#This Row],[טיפוס]],Tipus[],4,FALSE)</f>
        <v>J</v>
      </c>
      <c r="K599" s="3" t="str">
        <f>IF(Check[[#This Row],[סטטוס2]]="הולד","פנויה",Check[[#This Row],[סטטוס2]])</f>
        <v>בעלים</v>
      </c>
      <c r="L599" s="382" t="s">
        <v>91</v>
      </c>
      <c r="M599" s="382"/>
      <c r="N599" s="383" t="s">
        <v>1236</v>
      </c>
      <c r="O599" s="383"/>
      <c r="P599" s="411"/>
      <c r="Q599" s="411"/>
      <c r="R599" s="400"/>
      <c r="S599" s="390">
        <v>44040</v>
      </c>
      <c r="T599" s="390" t="s">
        <v>1360</v>
      </c>
      <c r="U599" s="387" t="s">
        <v>301</v>
      </c>
      <c r="V599" s="387" t="s">
        <v>302</v>
      </c>
      <c r="W599" s="387" t="s">
        <v>303</v>
      </c>
    </row>
    <row r="600" spans="1:23" x14ac:dyDescent="0.2">
      <c r="A600" s="13" t="str">
        <f>_xlfn.CONCAT(VLOOKUP(Check[[#This Row],[סטטוס]],Sold,2,FALSE),IF(Check[[#This Row],[סטטוס]]="פנויה",IF(N600="גמר מלא סטנדרט",".GMS",IF(N600="גמר מלא טיוב חומרים",".GMC",IF(N600="גמר מינימלי",".GM",IF(N600="דירת שיווק",".DS","")))),""),".",VLOOKUP(Check[[#This Row],[טיפוס]],Tipus[],5,FALSE),".",VLOOKUP(Check[[#This Row],[מגדל]],Tower,2,FALSE),".Ap.",Check[[#This Row],[מספר דירה]])</f>
        <v>O.P.4BP.TN.Ap.261</v>
      </c>
      <c r="B600" s="13" t="str">
        <f>_xlfn.CONCAT(VLOOKUP(Check[[#This Row],[סטטוס]],Sold,2,FALSE),IF(Check[[#This Row],[סטטוס]]="פנויה",IF(N600="גמר מלא סטנדרט",".GMS",IF(N600="גמר מלא טיוב חומרים",".GMC",IF(N600="גמר מינימלי",".GM",IF(N600="דירת שיווק",".DS","")))),""),IF(M600="זומן לטרום",".ZLT",IF(M600="טרום מסירה",".TM",IF(M600="טרום מסירה מהנדס",".TMM",IF(M600="מסירת חזקה",".MH",IF(M600="מסירת חזקה מהנדס",".MHM",""))))),".",VLOOKUP(Check[[#This Row],[טיפוס]],Tipus[],5,FALSE),".",VLOOKUP(Check[[#This Row],[מגדל]],Tower,2,FALSE),".Ap.",Check[[#This Row],[מספר דירה]])</f>
        <v>O.P.4BP.TN.Ap.261</v>
      </c>
      <c r="C600" s="3" t="s">
        <v>56</v>
      </c>
      <c r="D600" s="3">
        <v>34</v>
      </c>
      <c r="E600" s="4">
        <v>261</v>
      </c>
      <c r="F600" s="3">
        <v>3402</v>
      </c>
      <c r="G600" s="5" t="s">
        <v>1271</v>
      </c>
      <c r="H600" s="5">
        <f>VLOOKUP(Check[[#This Row],[טיפוס]],Tipus[],2,FALSE)</f>
        <v>4</v>
      </c>
      <c r="I600" s="5" t="str">
        <f>VLOOKUP(Check[[#This Row],[טיפוס]],Tipus[],3,FALSE)</f>
        <v>פרימיום</v>
      </c>
      <c r="J600" s="5" t="str">
        <f>VLOOKUP(Check[[#This Row],[טיפוס]],Tipus[],4,FALSE)</f>
        <v>H</v>
      </c>
      <c r="K600" s="3" t="str">
        <f>IF(Check[[#This Row],[סטטוס2]]="הולד","פנויה",Check[[#This Row],[סטטוס2]])</f>
        <v>בעלים</v>
      </c>
      <c r="L600" s="382" t="s">
        <v>91</v>
      </c>
      <c r="M600" s="382"/>
      <c r="N600" s="383" t="s">
        <v>1236</v>
      </c>
      <c r="O600" s="383"/>
      <c r="P600" s="411"/>
      <c r="Q600" s="411"/>
      <c r="R600" s="400"/>
      <c r="S600" s="390">
        <v>44040</v>
      </c>
      <c r="T600" s="390" t="s">
        <v>1360</v>
      </c>
      <c r="U600" s="387" t="s">
        <v>304</v>
      </c>
      <c r="V600" s="387" t="s">
        <v>305</v>
      </c>
      <c r="W600" s="387" t="s">
        <v>214</v>
      </c>
    </row>
    <row r="601" spans="1:23" ht="78.75" x14ac:dyDescent="0.2">
      <c r="A601" s="13" t="str">
        <f>_xlfn.CONCAT(VLOOKUP(Check[[#This Row],[סטטוס]],Sold,2,FALSE),IF(Check[[#This Row],[סטטוס]]="פנויה",IF(N601="גמר מלא סטנדרט",".GMS",IF(N601="גמר מלא טיוב חומרים",".GMC",IF(N601="גמר מינימלי",".GM",IF(N601="דירת שיווק",".DS","")))),""),".",VLOOKUP(Check[[#This Row],[טיפוס]],Tipus[],5,FALSE),".",VLOOKUP(Check[[#This Row],[מגדל]],Tower,2,FALSE),".Ap.",Check[[#This Row],[מספר דירה]])</f>
        <v>V.GMS.P.4D.TN.Ap.262</v>
      </c>
      <c r="B601" s="13" t="str">
        <f>_xlfn.CONCAT(VLOOKUP(Check[[#This Row],[סטטוס]],Sold,2,FALSE),IF(Check[[#This Row],[סטטוס]]="פנויה",IF(N601="גמר מלא סטנדרט",".GMS",IF(N601="גמר מלא טיוב חומרים",".GMC",IF(N601="גמר מינימלי",".GM",IF(N601="דירת שיווק",".DS","")))),""),IF(M601="זומן לטרום",".ZLT",IF(M601="טרום מסירה",".TM",IF(M601="טרום מסירה מהנדס",".TMM",IF(M601="מסירת חזקה",".MH",IF(M601="מסירת חזקה מהנדס",".MHM",""))))),".",VLOOKUP(Check[[#This Row],[טיפוס]],Tipus[],5,FALSE),".",VLOOKUP(Check[[#This Row],[מגדל]],Tower,2,FALSE),".Ap.",Check[[#This Row],[מספר דירה]])</f>
        <v>V.GMS.P.4D.TN.Ap.262</v>
      </c>
      <c r="C601" s="3" t="s">
        <v>56</v>
      </c>
      <c r="D601" s="3">
        <v>35</v>
      </c>
      <c r="E601" s="4">
        <v>262</v>
      </c>
      <c r="F601" s="3">
        <v>3501</v>
      </c>
      <c r="G601" s="5" t="s">
        <v>27</v>
      </c>
      <c r="H601" s="5">
        <f>VLOOKUP(Check[[#This Row],[טיפוס]],Tipus[],2,FALSE)</f>
        <v>4</v>
      </c>
      <c r="I601" s="5" t="str">
        <f>VLOOKUP(Check[[#This Row],[טיפוס]],Tipus[],3,FALSE)</f>
        <v>פרימיום</v>
      </c>
      <c r="J601" s="5" t="str">
        <f>VLOOKUP(Check[[#This Row],[טיפוס]],Tipus[],4,FALSE)</f>
        <v>G (P)</v>
      </c>
      <c r="K601" s="3" t="str">
        <f>IF(Check[[#This Row],[סטטוס2]]="הולד","פנויה",Check[[#This Row],[סטטוס2]])</f>
        <v>פנויה</v>
      </c>
      <c r="L601" s="382" t="s">
        <v>108</v>
      </c>
      <c r="M601" s="382"/>
      <c r="N601" t="s">
        <v>1367</v>
      </c>
      <c r="O601" s="404" t="s">
        <v>1411</v>
      </c>
      <c r="P601" s="410" t="s">
        <v>1385</v>
      </c>
      <c r="Q601" s="410" t="s">
        <v>1412</v>
      </c>
      <c r="R601" s="399"/>
      <c r="S601" s="390"/>
      <c r="T601" s="390" t="s">
        <v>214</v>
      </c>
      <c r="U601" s="387"/>
      <c r="V601" s="387"/>
      <c r="W601" s="387"/>
    </row>
    <row r="602" spans="1:23" x14ac:dyDescent="0.2">
      <c r="A602" s="13" t="str">
        <f>_xlfn.CONCAT(VLOOKUP(Check[[#This Row],[סטטוס]],Sold,2,FALSE),IF(Check[[#This Row],[סטטוס]]="פנויה",IF(N602="גמר מלא סטנדרט",".GMS",IF(N602="גמר מלא טיוב חומרים",".GMC",IF(N602="גמר מינימלי",".GM",IF(N602="דירת שיווק",".DS","")))),""),".",VLOOKUP(Check[[#This Row],[טיפוס]],Tipus[],5,FALSE),".",VLOOKUP(Check[[#This Row],[מגדל]],Tower,2,FALSE),".Ap.",Check[[#This Row],[מספר דירה]])</f>
        <v>S.P.4E.TN.Ap.263</v>
      </c>
      <c r="B602" s="13" t="str">
        <f>_xlfn.CONCAT(VLOOKUP(Check[[#This Row],[סטטוס]],Sold,2,FALSE),IF(Check[[#This Row],[סטטוס]]="פנויה",IF(N602="גמר מלא סטנדרט",".GMS",IF(N602="גמר מלא טיוב חומרים",".GMC",IF(N602="גמר מינימלי",".GM",IF(N602="דירת שיווק",".DS","")))),""),IF(M602="זומן לטרום",".ZLT",IF(M602="טרום מסירה",".TM",IF(M602="טרום מסירה מהנדס",".TMM",IF(M602="מסירת חזקה",".MH",IF(M602="מסירת חזקה מהנדס",".MHM",""))))),".",VLOOKUP(Check[[#This Row],[טיפוס]],Tipus[],5,FALSE),".",VLOOKUP(Check[[#This Row],[מגדל]],Tower,2,FALSE),".Ap.",Check[[#This Row],[מספר דירה]])</f>
        <v>S.P.4E.TN.Ap.263</v>
      </c>
      <c r="C602" s="3" t="s">
        <v>56</v>
      </c>
      <c r="D602" s="3">
        <v>35</v>
      </c>
      <c r="E602" s="4">
        <v>263</v>
      </c>
      <c r="F602" s="3">
        <v>3505</v>
      </c>
      <c r="G602" s="5" t="s">
        <v>28</v>
      </c>
      <c r="H602" s="5">
        <f>VLOOKUP(Check[[#This Row],[טיפוס]],Tipus[],2,FALSE)</f>
        <v>4</v>
      </c>
      <c r="I602" s="5" t="str">
        <f>VLOOKUP(Check[[#This Row],[טיפוס]],Tipus[],3,FALSE)</f>
        <v>פרימיום</v>
      </c>
      <c r="J602" s="5" t="str">
        <f>VLOOKUP(Check[[#This Row],[טיפוס]],Tipus[],4,FALSE)</f>
        <v>C+D</v>
      </c>
      <c r="K602" s="3" t="str">
        <f>IF(Check[[#This Row],[סטטוס2]]="הולד","פנויה",Check[[#This Row],[סטטוס2]])</f>
        <v>מכורה</v>
      </c>
      <c r="L602" s="382" t="s">
        <v>130</v>
      </c>
      <c r="M602" s="382"/>
      <c r="N602" t="s">
        <v>1367</v>
      </c>
      <c r="O602" s="383" t="s">
        <v>1390</v>
      </c>
      <c r="P602" s="410" t="s">
        <v>1389</v>
      </c>
      <c r="Q602" s="410"/>
      <c r="R602" s="400"/>
      <c r="S602" s="390">
        <v>46005</v>
      </c>
      <c r="T602" s="390" t="s">
        <v>1282</v>
      </c>
      <c r="U602" s="387">
        <v>4076</v>
      </c>
      <c r="V602" s="387" t="s">
        <v>1283</v>
      </c>
      <c r="W602" s="389" t="s">
        <v>1284</v>
      </c>
    </row>
    <row r="603" spans="1:23" x14ac:dyDescent="0.2">
      <c r="A603" s="13" t="str">
        <f>_xlfn.CONCAT(VLOOKUP(Check[[#This Row],[סטטוס]],Sold,2,FALSE),IF(Check[[#This Row],[סטטוס]]="פנויה",IF(N603="גמר מלא סטנדרט",".GMS",IF(N603="גמר מלא טיוב חומרים",".GMC",IF(N603="גמר מינימלי",".GM",IF(N603="דירת שיווק",".DS","")))),""),".",VLOOKUP(Check[[#This Row],[טיפוס]],Tipus[],5,FALSE),".",VLOOKUP(Check[[#This Row],[מגדל]],Tower,2,FALSE),".Ap.",Check[[#This Row],[מספר דירה]])</f>
        <v>O.P.4F.TN.Ap.264</v>
      </c>
      <c r="B603" s="13" t="str">
        <f>_xlfn.CONCAT(VLOOKUP(Check[[#This Row],[סטטוס]],Sold,2,FALSE),IF(Check[[#This Row],[סטטוס]]="פנויה",IF(N603="גמר מלא סטנדרט",".GMS",IF(N603="גמר מלא טיוב חומרים",".GMC",IF(N603="גמר מינימלי",".GM",IF(N603="דירת שיווק",".DS","")))),""),IF(M603="זומן לטרום",".ZLT",IF(M603="טרום מסירה",".TM",IF(M603="טרום מסירה מהנדס",".TMM",IF(M603="מסירת חזקה",".MH",IF(M603="מסירת חזקה מהנדס",".MHM",""))))),".",VLOOKUP(Check[[#This Row],[טיפוס]],Tipus[],5,FALSE),".",VLOOKUP(Check[[#This Row],[מגדל]],Tower,2,FALSE),".Ap.",Check[[#This Row],[מספר דירה]])</f>
        <v>O.P.4F.TN.Ap.264</v>
      </c>
      <c r="C603" s="3" t="s">
        <v>56</v>
      </c>
      <c r="D603" s="3">
        <v>35</v>
      </c>
      <c r="E603" s="4">
        <v>264</v>
      </c>
      <c r="F603" s="3">
        <v>3504</v>
      </c>
      <c r="G603" s="5" t="s">
        <v>29</v>
      </c>
      <c r="H603" s="5">
        <f>VLOOKUP(Check[[#This Row],[טיפוס]],Tipus[],2,FALSE)</f>
        <v>4</v>
      </c>
      <c r="I603" s="5" t="str">
        <f>VLOOKUP(Check[[#This Row],[טיפוס]],Tipus[],3,FALSE)</f>
        <v>פרימיום</v>
      </c>
      <c r="J603" s="5" t="str">
        <f>VLOOKUP(Check[[#This Row],[טיפוס]],Tipus[],4,FALSE)</f>
        <v>A (P)</v>
      </c>
      <c r="K603" s="3" t="str">
        <f>IF(Check[[#This Row],[סטטוס2]]="הולד","פנויה",Check[[#This Row],[סטטוס2]])</f>
        <v>בעלים</v>
      </c>
      <c r="L603" s="382" t="s">
        <v>91</v>
      </c>
      <c r="M603" s="382"/>
      <c r="N603" s="383"/>
      <c r="O603" s="383"/>
      <c r="P603" s="411"/>
      <c r="Q603" s="411"/>
      <c r="R603" s="400"/>
      <c r="S603" s="390">
        <v>44040</v>
      </c>
      <c r="T603" s="390" t="s">
        <v>1152</v>
      </c>
      <c r="U603" s="387" t="s">
        <v>306</v>
      </c>
      <c r="V603" s="387" t="s">
        <v>307</v>
      </c>
      <c r="W603" s="387" t="s">
        <v>281</v>
      </c>
    </row>
    <row r="604" spans="1:23" x14ac:dyDescent="0.2">
      <c r="A604" s="13" t="str">
        <f>_xlfn.CONCAT(VLOOKUP(Check[[#This Row],[סטטוס]],Sold,2,FALSE),IF(Check[[#This Row],[סטטוס]]="פנויה",IF(N604="גמר מלא סטנדרט",".GMS",IF(N604="גמר מלא טיוב חומרים",".GMC",IF(N604="גמר מינימלי",".GM",IF(N604="דירת שיווק",".DS","")))),""),".",VLOOKUP(Check[[#This Row],[טיפוס]],Tipus[],5,FALSE),".",VLOOKUP(Check[[#This Row],[מגדל]],Tower,2,FALSE),".Ap.",Check[[#This Row],[מספר דירה]])</f>
        <v>S.P.5AP.TN.Ap.265</v>
      </c>
      <c r="B604" s="13" t="str">
        <f>_xlfn.CONCAT(VLOOKUP(Check[[#This Row],[סטטוס]],Sold,2,FALSE),IF(Check[[#This Row],[סטטוס]]="פנויה",IF(N604="גמר מלא סטנדרט",".GMS",IF(N604="גמר מלא טיוב חומרים",".GMC",IF(N604="גמר מינימלי",".GM",IF(N604="דירת שיווק",".DS","")))),""),IF(M604="זומן לטרום",".ZLT",IF(M604="טרום מסירה",".TM",IF(M604="טרום מסירה מהנדס",".TMM",IF(M604="מסירת חזקה",".MH",IF(M604="מסירת חזקה מהנדס",".MHM",""))))),".",VLOOKUP(Check[[#This Row],[טיפוס]],Tipus[],5,FALSE),".",VLOOKUP(Check[[#This Row],[מגדל]],Tower,2,FALSE),".Ap.",Check[[#This Row],[מספר דירה]])</f>
        <v>S.P.5AP.TN.Ap.265</v>
      </c>
      <c r="C604" s="3" t="s">
        <v>56</v>
      </c>
      <c r="D604" s="3">
        <v>35</v>
      </c>
      <c r="E604" s="4">
        <v>265</v>
      </c>
      <c r="F604" s="3">
        <v>3503</v>
      </c>
      <c r="G604" s="5" t="s">
        <v>30</v>
      </c>
      <c r="H604" s="5">
        <f>VLOOKUP(Check[[#This Row],[טיפוס]],Tipus[],2,FALSE)</f>
        <v>5</v>
      </c>
      <c r="I604" s="5" t="str">
        <f>VLOOKUP(Check[[#This Row],[טיפוס]],Tipus[],3,FALSE)</f>
        <v>פרימיום</v>
      </c>
      <c r="J604" s="5" t="str">
        <f>VLOOKUP(Check[[#This Row],[טיפוס]],Tipus[],4,FALSE)</f>
        <v>J</v>
      </c>
      <c r="K604" s="3" t="str">
        <f>IF(Check[[#This Row],[סטטוס2]]="הולד","פנויה",Check[[#This Row],[סטטוס2]])</f>
        <v>מכורה</v>
      </c>
      <c r="L604" s="382" t="s">
        <v>130</v>
      </c>
      <c r="M604" s="382"/>
      <c r="N604" s="383"/>
      <c r="O604" s="383"/>
      <c r="P604" s="411"/>
      <c r="Q604" s="411"/>
      <c r="R604" s="400"/>
      <c r="S604" s="390">
        <v>44244</v>
      </c>
      <c r="T604" s="390" t="s">
        <v>865</v>
      </c>
      <c r="U604" s="387" t="s">
        <v>866</v>
      </c>
      <c r="V604" s="387" t="s">
        <v>867</v>
      </c>
      <c r="W604" s="387" t="s">
        <v>868</v>
      </c>
    </row>
    <row r="605" spans="1:23" x14ac:dyDescent="0.2">
      <c r="A605" s="13" t="str">
        <f>_xlfn.CONCAT(VLOOKUP(Check[[#This Row],[סטטוס]],Sold,2,FALSE),IF(Check[[#This Row],[סטטוס]]="פנויה",IF(N605="גמר מלא סטנדרט",".GMS",IF(N605="גמר מלא טיוב חומרים",".GMC",IF(N605="גמר מינימלי",".GM",IF(N605="דירת שיווק",".DS","")))),""),".",VLOOKUP(Check[[#This Row],[טיפוס]],Tipus[],5,FALSE),".",VLOOKUP(Check[[#This Row],[מגדל]],Tower,2,FALSE),".Ap.",Check[[#This Row],[מספר דירה]])</f>
        <v>S.P.5BP.TN.Ap.266</v>
      </c>
      <c r="B605" s="13" t="str">
        <f>_xlfn.CONCAT(VLOOKUP(Check[[#This Row],[סטטוס]],Sold,2,FALSE),IF(Check[[#This Row],[סטטוס]]="פנויה",IF(N605="גמר מלא סטנדרט",".GMS",IF(N605="גמר מלא טיוב חומרים",".GMC",IF(N605="גמר מינימלי",".GM",IF(N605="דירת שיווק",".DS","")))),""),IF(M605="זומן לטרום",".ZLT",IF(M605="טרום מסירה",".TM",IF(M605="טרום מסירה מהנדס",".TMM",IF(M605="מסירת חזקה",".MH",IF(M605="מסירת חזקה מהנדס",".MHM",""))))),".",VLOOKUP(Check[[#This Row],[טיפוס]],Tipus[],5,FALSE),".",VLOOKUP(Check[[#This Row],[מגדל]],Tower,2,FALSE),".Ap.",Check[[#This Row],[מספר דירה]])</f>
        <v>S.P.5BP.TN.Ap.266</v>
      </c>
      <c r="C605" s="3" t="s">
        <v>56</v>
      </c>
      <c r="D605" s="3">
        <v>35</v>
      </c>
      <c r="E605" s="4">
        <v>266</v>
      </c>
      <c r="F605" s="3">
        <v>3502</v>
      </c>
      <c r="G605" s="5" t="s">
        <v>31</v>
      </c>
      <c r="H605" s="5">
        <f>VLOOKUP(Check[[#This Row],[טיפוס]],Tipus[],2,FALSE)</f>
        <v>5</v>
      </c>
      <c r="I605" s="5" t="str">
        <f>VLOOKUP(Check[[#This Row],[טיפוס]],Tipus[],3,FALSE)</f>
        <v>פרימיום</v>
      </c>
      <c r="J605" s="5" t="str">
        <f>VLOOKUP(Check[[#This Row],[טיפוס]],Tipus[],4,FALSE)</f>
        <v>H</v>
      </c>
      <c r="K605" s="3" t="str">
        <f>IF(Check[[#This Row],[סטטוס2]]="הולד","פנויה",Check[[#This Row],[סטטוס2]])</f>
        <v>מכורה</v>
      </c>
      <c r="L605" s="382" t="s">
        <v>130</v>
      </c>
      <c r="M605" s="382"/>
      <c r="N605" s="383"/>
      <c r="O605" s="383"/>
      <c r="P605" s="411"/>
      <c r="Q605" s="411"/>
      <c r="R605" s="400"/>
      <c r="S605" s="390">
        <v>44382</v>
      </c>
      <c r="T605" s="390" t="s">
        <v>869</v>
      </c>
      <c r="U605" s="387" t="s">
        <v>870</v>
      </c>
      <c r="V605" s="387" t="s">
        <v>871</v>
      </c>
      <c r="W605" s="387" t="s">
        <v>872</v>
      </c>
    </row>
    <row r="606" spans="1:23" x14ac:dyDescent="0.2">
      <c r="A606" s="13" t="str">
        <f>_xlfn.CONCAT(VLOOKUP(Check[[#This Row],[סטטוס]],Sold,2,FALSE),IF(Check[[#This Row],[סטטוס]]="פנויה",IF(N606="גמר מלא סטנדרט",".GMS",IF(N606="גמר מלא טיוב חומרים",".GMC",IF(N606="גמר מינימלי",".GM",IF(N606="דירת שיווק",".DS","")))),""),".",VLOOKUP(Check[[#This Row],[טיפוס]],Tipus[],5,FALSE),".",VLOOKUP(Check[[#This Row],[מגדל]],Tower,2,FALSE),".Ap.",Check[[#This Row],[מספר דירה]])</f>
        <v>V.GMS.P.4D.TN.Ap.267</v>
      </c>
      <c r="B606" s="13" t="str">
        <f>_xlfn.CONCAT(VLOOKUP(Check[[#This Row],[סטטוס]],Sold,2,FALSE),IF(Check[[#This Row],[סטטוס]]="פנויה",IF(N606="גמר מלא סטנדרט",".GMS",IF(N606="גמר מלא טיוב חומרים",".GMC",IF(N606="גמר מינימלי",".GM",IF(N606="דירת שיווק",".DS","")))),""),IF(M606="זומן לטרום",".ZLT",IF(M606="טרום מסירה",".TM",IF(M606="טרום מסירה מהנדס",".TMM",IF(M606="מסירת חזקה",".MH",IF(M606="מסירת חזקה מהנדס",".MHM",""))))),".",VLOOKUP(Check[[#This Row],[טיפוס]],Tipus[],5,FALSE),".",VLOOKUP(Check[[#This Row],[מגדל]],Tower,2,FALSE),".Ap.",Check[[#This Row],[מספר דירה]])</f>
        <v>V.GMS.P.4D.TN.Ap.267</v>
      </c>
      <c r="C606" s="3" t="s">
        <v>56</v>
      </c>
      <c r="D606" s="3">
        <v>36</v>
      </c>
      <c r="E606" s="4">
        <v>267</v>
      </c>
      <c r="F606" s="3">
        <v>3601</v>
      </c>
      <c r="G606" s="5" t="s">
        <v>27</v>
      </c>
      <c r="H606" s="5">
        <f>VLOOKUP(Check[[#This Row],[טיפוס]],Tipus[],2,FALSE)</f>
        <v>4</v>
      </c>
      <c r="I606" s="5" t="str">
        <f>VLOOKUP(Check[[#This Row],[טיפוס]],Tipus[],3,FALSE)</f>
        <v>פרימיום</v>
      </c>
      <c r="J606" s="5" t="str">
        <f>VLOOKUP(Check[[#This Row],[טיפוס]],Tipus[],4,FALSE)</f>
        <v>G (P)</v>
      </c>
      <c r="K606" s="3" t="str">
        <f>IF(Check[[#This Row],[סטטוס2]]="הולד","פנויה",Check[[#This Row],[סטטוס2]])</f>
        <v>פנויה</v>
      </c>
      <c r="L606" s="382" t="s">
        <v>108</v>
      </c>
      <c r="M606" s="382"/>
      <c r="N606" t="s">
        <v>1367</v>
      </c>
      <c r="O606" s="383" t="s">
        <v>1390</v>
      </c>
      <c r="P606" s="410" t="s">
        <v>1389</v>
      </c>
      <c r="Q606" s="410"/>
      <c r="R606" s="400"/>
      <c r="S606" s="390"/>
      <c r="T606" s="390" t="s">
        <v>214</v>
      </c>
      <c r="U606" s="387"/>
      <c r="V606" s="387"/>
      <c r="W606" s="387"/>
    </row>
    <row r="607" spans="1:23" x14ac:dyDescent="0.2">
      <c r="A607" s="13" t="str">
        <f>_xlfn.CONCAT(VLOOKUP(Check[[#This Row],[סטטוס]],Sold,2,FALSE),IF(Check[[#This Row],[סטטוס]]="פנויה",IF(N607="גמר מלא סטנדרט",".GMS",IF(N607="גמר מלא טיוב חומרים",".GMC",IF(N607="גמר מינימלי",".GM",IF(N607="דירת שיווק",".DS","")))),""),".",VLOOKUP(Check[[#This Row],[טיפוס]],Tipus[],5,FALSE),".",VLOOKUP(Check[[#This Row],[מגדל]],Tower,2,FALSE),".Ap.",Check[[#This Row],[מספר דירה]])</f>
        <v>S.P.4E.TN.Ap.268</v>
      </c>
      <c r="B607" s="13" t="str">
        <f>_xlfn.CONCAT(VLOOKUP(Check[[#This Row],[סטטוס]],Sold,2,FALSE),IF(Check[[#This Row],[סטטוס]]="פנויה",IF(N607="גמר מלא סטנדרט",".GMS",IF(N607="גמר מלא טיוב חומרים",".GMC",IF(N607="גמר מינימלי",".GM",IF(N607="דירת שיווק",".DS","")))),""),IF(M607="זומן לטרום",".ZLT",IF(M607="טרום מסירה",".TM",IF(M607="טרום מסירה מהנדס",".TMM",IF(M607="מסירת חזקה",".MH",IF(M607="מסירת חזקה מהנדס",".MHM",""))))),".",VLOOKUP(Check[[#This Row],[טיפוס]],Tipus[],5,FALSE),".",VLOOKUP(Check[[#This Row],[מגדל]],Tower,2,FALSE),".Ap.",Check[[#This Row],[מספר דירה]])</f>
        <v>S.P.4E.TN.Ap.268</v>
      </c>
      <c r="C607" s="3" t="s">
        <v>56</v>
      </c>
      <c r="D607" s="3">
        <v>36</v>
      </c>
      <c r="E607" s="4">
        <v>268</v>
      </c>
      <c r="F607" s="3">
        <v>3605</v>
      </c>
      <c r="G607" s="5" t="s">
        <v>28</v>
      </c>
      <c r="H607" s="5">
        <f>VLOOKUP(Check[[#This Row],[טיפוס]],Tipus[],2,FALSE)</f>
        <v>4</v>
      </c>
      <c r="I607" s="5" t="str">
        <f>VLOOKUP(Check[[#This Row],[טיפוס]],Tipus[],3,FALSE)</f>
        <v>פרימיום</v>
      </c>
      <c r="J607" s="5" t="str">
        <f>VLOOKUP(Check[[#This Row],[טיפוס]],Tipus[],4,FALSE)</f>
        <v>C+D</v>
      </c>
      <c r="K607" s="3" t="str">
        <f>IF(Check[[#This Row],[סטטוס2]]="הולד","פנויה",Check[[#This Row],[סטטוס2]])</f>
        <v>מכורה</v>
      </c>
      <c r="L607" s="382" t="s">
        <v>130</v>
      </c>
      <c r="M607" s="382"/>
      <c r="N607" s="383"/>
      <c r="O607" s="383"/>
      <c r="P607" s="411"/>
      <c r="Q607" s="411"/>
      <c r="R607" s="400"/>
      <c r="S607" s="390">
        <v>44216</v>
      </c>
      <c r="T607" s="390" t="s">
        <v>873</v>
      </c>
      <c r="U607" s="387" t="s">
        <v>874</v>
      </c>
      <c r="V607" s="387" t="s">
        <v>875</v>
      </c>
      <c r="W607" s="387"/>
    </row>
    <row r="608" spans="1:23" x14ac:dyDescent="0.2">
      <c r="A608" s="13" t="str">
        <f>_xlfn.CONCAT(VLOOKUP(Check[[#This Row],[סטטוס]],Sold,2,FALSE),IF(Check[[#This Row],[סטטוס]]="פנויה",IF(N608="גמר מלא סטנדרט",".GMS",IF(N608="גמר מלא טיוב חומרים",".GMC",IF(N608="גמר מינימלי",".GM",IF(N608="דירת שיווק",".DS","")))),""),".",VLOOKUP(Check[[#This Row],[טיפוס]],Tipus[],5,FALSE),".",VLOOKUP(Check[[#This Row],[מגדל]],Tower,2,FALSE),".Ap.",Check[[#This Row],[מספר דירה]])</f>
        <v>S.P.4F.TN.Ap.269</v>
      </c>
      <c r="B608" s="13" t="str">
        <f>_xlfn.CONCAT(VLOOKUP(Check[[#This Row],[סטטוס]],Sold,2,FALSE),IF(Check[[#This Row],[סטטוס]]="פנויה",IF(N608="גמר מלא סטנדרט",".GMS",IF(N608="גמר מלא טיוב חומרים",".GMC",IF(N608="גמר מינימלי",".GM",IF(N608="דירת שיווק",".DS","")))),""),IF(M608="זומן לטרום",".ZLT",IF(M608="טרום מסירה",".TM",IF(M608="טרום מסירה מהנדס",".TMM",IF(M608="מסירת חזקה",".MH",IF(M608="מסירת חזקה מהנדס",".MHM",""))))),".",VLOOKUP(Check[[#This Row],[טיפוס]],Tipus[],5,FALSE),".",VLOOKUP(Check[[#This Row],[מגדל]],Tower,2,FALSE),".Ap.",Check[[#This Row],[מספר דירה]])</f>
        <v>S.P.4F.TN.Ap.269</v>
      </c>
      <c r="C608" s="3" t="s">
        <v>56</v>
      </c>
      <c r="D608" s="3">
        <v>36</v>
      </c>
      <c r="E608" s="4">
        <v>269</v>
      </c>
      <c r="F608" s="3">
        <v>3604</v>
      </c>
      <c r="G608" s="5" t="s">
        <v>29</v>
      </c>
      <c r="H608" s="5">
        <f>VLOOKUP(Check[[#This Row],[טיפוס]],Tipus[],2,FALSE)</f>
        <v>4</v>
      </c>
      <c r="I608" s="5" t="str">
        <f>VLOOKUP(Check[[#This Row],[טיפוס]],Tipus[],3,FALSE)</f>
        <v>פרימיום</v>
      </c>
      <c r="J608" s="5" t="str">
        <f>VLOOKUP(Check[[#This Row],[טיפוס]],Tipus[],4,FALSE)</f>
        <v>A (P)</v>
      </c>
      <c r="K608" s="3" t="str">
        <f>IF(Check[[#This Row],[סטטוס2]]="הולד","פנויה",Check[[#This Row],[סטטוס2]])</f>
        <v>מכורה</v>
      </c>
      <c r="L608" s="382" t="s">
        <v>130</v>
      </c>
      <c r="M608" s="382"/>
      <c r="N608" s="383"/>
      <c r="O608" s="383"/>
      <c r="P608" s="411"/>
      <c r="Q608" s="411"/>
      <c r="R608" s="400"/>
      <c r="S608" s="390">
        <v>44404</v>
      </c>
      <c r="T608" s="390" t="s">
        <v>832</v>
      </c>
      <c r="U608" s="387" t="s">
        <v>876</v>
      </c>
      <c r="V608" s="387" t="s">
        <v>877</v>
      </c>
      <c r="W608" s="387" t="s">
        <v>878</v>
      </c>
    </row>
    <row r="609" spans="1:23" x14ac:dyDescent="0.2">
      <c r="A609" s="13" t="str">
        <f>_xlfn.CONCAT(VLOOKUP(Check[[#This Row],[סטטוס]],Sold,2,FALSE),IF(Check[[#This Row],[סטטוס]]="פנויה",IF(N609="גמר מלא סטנדרט",".GMS",IF(N609="גמר מלא טיוב חומרים",".GMC",IF(N609="גמר מינימלי",".GM",IF(N609="דירת שיווק",".DS","")))),""),".",VLOOKUP(Check[[#This Row],[טיפוס]],Tipus[],5,FALSE),".",VLOOKUP(Check[[#This Row],[מגדל]],Tower,2,FALSE),".Ap.",Check[[#This Row],[מספר דירה]])</f>
        <v>S.P.5AP.TN.Ap.270</v>
      </c>
      <c r="B609" s="13" t="str">
        <f>_xlfn.CONCAT(VLOOKUP(Check[[#This Row],[סטטוס]],Sold,2,FALSE),IF(Check[[#This Row],[סטטוס]]="פנויה",IF(N609="גמר מלא סטנדרט",".GMS",IF(N609="גמר מלא טיוב חומרים",".GMC",IF(N609="גמר מינימלי",".GM",IF(N609="דירת שיווק",".DS","")))),""),IF(M609="זומן לטרום",".ZLT",IF(M609="טרום מסירה",".TM",IF(M609="טרום מסירה מהנדס",".TMM",IF(M609="מסירת חזקה",".MH",IF(M609="מסירת חזקה מהנדס",".MHM",""))))),".",VLOOKUP(Check[[#This Row],[טיפוס]],Tipus[],5,FALSE),".",VLOOKUP(Check[[#This Row],[מגדל]],Tower,2,FALSE),".Ap.",Check[[#This Row],[מספר דירה]])</f>
        <v>S.P.5AP.TN.Ap.270</v>
      </c>
      <c r="C609" s="3" t="s">
        <v>56</v>
      </c>
      <c r="D609" s="3">
        <v>36</v>
      </c>
      <c r="E609" s="4">
        <v>270</v>
      </c>
      <c r="F609" s="3">
        <v>3603</v>
      </c>
      <c r="G609" s="5" t="s">
        <v>30</v>
      </c>
      <c r="H609" s="5">
        <f>VLOOKUP(Check[[#This Row],[טיפוס]],Tipus[],2,FALSE)</f>
        <v>5</v>
      </c>
      <c r="I609" s="5" t="str">
        <f>VLOOKUP(Check[[#This Row],[טיפוס]],Tipus[],3,FALSE)</f>
        <v>פרימיום</v>
      </c>
      <c r="J609" s="5" t="str">
        <f>VLOOKUP(Check[[#This Row],[טיפוס]],Tipus[],4,FALSE)</f>
        <v>J</v>
      </c>
      <c r="K609" s="3" t="str">
        <f>IF(Check[[#This Row],[סטטוס2]]="הולד","פנויה",Check[[#This Row],[סטטוס2]])</f>
        <v>מכורה</v>
      </c>
      <c r="L609" s="382" t="s">
        <v>130</v>
      </c>
      <c r="M609" s="382"/>
      <c r="N609" s="383"/>
      <c r="O609" s="383"/>
      <c r="P609" s="411"/>
      <c r="Q609" s="411"/>
      <c r="R609" s="400"/>
      <c r="S609" s="390">
        <v>44272</v>
      </c>
      <c r="T609" s="390" t="s">
        <v>879</v>
      </c>
      <c r="U609" s="387" t="s">
        <v>880</v>
      </c>
      <c r="V609" s="387" t="s">
        <v>881</v>
      </c>
      <c r="W609" s="387" t="s">
        <v>882</v>
      </c>
    </row>
    <row r="610" spans="1:23" x14ac:dyDescent="0.2">
      <c r="A610" s="13" t="str">
        <f>_xlfn.CONCAT(VLOOKUP(Check[[#This Row],[סטטוס]],Sold,2,FALSE),IF(Check[[#This Row],[סטטוס]]="פנויה",IF(N610="גמר מלא סטנדרט",".GMS",IF(N610="גמר מלא טיוב חומרים",".GMC",IF(N610="גמר מינימלי",".GM",IF(N610="דירת שיווק",".DS","")))),""),".",VLOOKUP(Check[[#This Row],[טיפוס]],Tipus[],5,FALSE),".",VLOOKUP(Check[[#This Row],[מגדל]],Tower,2,FALSE),".Ap.",Check[[#This Row],[מספר דירה]])</f>
        <v>S.P.5BP.TN.Ap.271</v>
      </c>
      <c r="B610" s="13" t="str">
        <f>_xlfn.CONCAT(VLOOKUP(Check[[#This Row],[סטטוס]],Sold,2,FALSE),IF(Check[[#This Row],[סטטוס]]="פנויה",IF(N610="גמר מלא סטנדרט",".GMS",IF(N610="גמר מלא טיוב חומרים",".GMC",IF(N610="גמר מינימלי",".GM",IF(N610="דירת שיווק",".DS","")))),""),IF(M610="זומן לטרום",".ZLT",IF(M610="טרום מסירה",".TM",IF(M610="טרום מסירה מהנדס",".TMM",IF(M610="מסירת חזקה",".MH",IF(M610="מסירת חזקה מהנדס",".MHM",""))))),".",VLOOKUP(Check[[#This Row],[טיפוס]],Tipus[],5,FALSE),".",VLOOKUP(Check[[#This Row],[מגדל]],Tower,2,FALSE),".Ap.",Check[[#This Row],[מספר דירה]])</f>
        <v>S.P.5BP.TN.Ap.271</v>
      </c>
      <c r="C610" s="3" t="s">
        <v>56</v>
      </c>
      <c r="D610" s="3">
        <v>36</v>
      </c>
      <c r="E610" s="4">
        <v>271</v>
      </c>
      <c r="F610" s="3">
        <v>3602</v>
      </c>
      <c r="G610" s="6" t="s">
        <v>31</v>
      </c>
      <c r="H610" s="6">
        <f>VLOOKUP(Check[[#This Row],[טיפוס]],Tipus[],2,FALSE)</f>
        <v>5</v>
      </c>
      <c r="I610" s="6" t="str">
        <f>VLOOKUP(Check[[#This Row],[טיפוס]],Tipus[],3,FALSE)</f>
        <v>פרימיום</v>
      </c>
      <c r="J610" s="6" t="str">
        <f>VLOOKUP(Check[[#This Row],[טיפוס]],Tipus[],4,FALSE)</f>
        <v>H</v>
      </c>
      <c r="K610" s="3" t="str">
        <f>IF(Check[[#This Row],[סטטוס2]]="הולד","פנויה",Check[[#This Row],[סטטוס2]])</f>
        <v>מכורה</v>
      </c>
      <c r="L610" s="382" t="s">
        <v>130</v>
      </c>
      <c r="M610" s="382"/>
      <c r="N610" s="383"/>
      <c r="O610" s="383"/>
      <c r="P610" s="411"/>
      <c r="Q610" s="411"/>
      <c r="R610" s="400"/>
      <c r="S610" s="390">
        <v>44500</v>
      </c>
      <c r="T610" s="390" t="s">
        <v>883</v>
      </c>
      <c r="U610" s="387" t="s">
        <v>884</v>
      </c>
      <c r="V610" s="387" t="s">
        <v>885</v>
      </c>
      <c r="W610" s="387"/>
    </row>
    <row r="611" spans="1:23" ht="78.75" x14ac:dyDescent="0.2">
      <c r="A611" s="13" t="str">
        <f>_xlfn.CONCAT(VLOOKUP(Check[[#This Row],[סטטוס]],Sold,2,FALSE),IF(Check[[#This Row],[סטטוס]]="פנויה",IF(N611="גמר מלא סטנדרט",".GMS",IF(N611="גמר מלא טיוב חומרים",".GMC",IF(N611="גמר מינימלי",".GM",IF(N611="דירת שיווק",".DS","")))),""),".",VLOOKUP(Check[[#This Row],[טיפוס]],Tipus[],5,FALSE),".",VLOOKUP(Check[[#This Row],[מגדל]],Tower,2,FALSE),".Ap.",Check[[#This Row],[מספר דירה]])</f>
        <v>V.GMS.P.4D.TN.Ap.272</v>
      </c>
      <c r="B611" s="13" t="str">
        <f>_xlfn.CONCAT(VLOOKUP(Check[[#This Row],[סטטוס]],Sold,2,FALSE),IF(Check[[#This Row],[סטטוס]]="פנויה",IF(N611="גמר מלא סטנדרט",".GMS",IF(N611="גמר מלא טיוב חומרים",".GMC",IF(N611="גמר מינימלי",".GM",IF(N611="דירת שיווק",".DS","")))),""),IF(M611="זומן לטרום",".ZLT",IF(M611="טרום מסירה",".TM",IF(M611="טרום מסירה מהנדס",".TMM",IF(M611="מסירת חזקה",".MH",IF(M611="מסירת חזקה מהנדס",".MHM",""))))),".",VLOOKUP(Check[[#This Row],[טיפוס]],Tipus[],5,FALSE),".",VLOOKUP(Check[[#This Row],[מגדל]],Tower,2,FALSE),".Ap.",Check[[#This Row],[מספר דירה]])</f>
        <v>V.GMS.P.4D.TN.Ap.272</v>
      </c>
      <c r="C611" s="3" t="s">
        <v>56</v>
      </c>
      <c r="D611" s="3">
        <v>37</v>
      </c>
      <c r="E611" s="4">
        <v>272</v>
      </c>
      <c r="F611" s="3">
        <v>3701</v>
      </c>
      <c r="G611" s="5" t="s">
        <v>27</v>
      </c>
      <c r="H611" s="5">
        <f>VLOOKUP(Check[[#This Row],[טיפוס]],Tipus[],2,FALSE)</f>
        <v>4</v>
      </c>
      <c r="I611" s="5" t="str">
        <f>VLOOKUP(Check[[#This Row],[טיפוס]],Tipus[],3,FALSE)</f>
        <v>פרימיום</v>
      </c>
      <c r="J611" s="5" t="str">
        <f>VLOOKUP(Check[[#This Row],[טיפוס]],Tipus[],4,FALSE)</f>
        <v>G (P)</v>
      </c>
      <c r="K611" s="3" t="str">
        <f>IF(Check[[#This Row],[סטטוס2]]="הולד","פנויה",Check[[#This Row],[סטטוס2]])</f>
        <v>פנויה</v>
      </c>
      <c r="L611" s="382" t="s">
        <v>108</v>
      </c>
      <c r="M611" s="382"/>
      <c r="N611" t="s">
        <v>1367</v>
      </c>
      <c r="O611" s="404" t="s">
        <v>1411</v>
      </c>
      <c r="P611" s="410" t="s">
        <v>1385</v>
      </c>
      <c r="Q611" s="410" t="s">
        <v>1412</v>
      </c>
      <c r="R611" s="399"/>
      <c r="S611" s="390"/>
      <c r="T611" s="390" t="s">
        <v>214</v>
      </c>
      <c r="U611" s="387"/>
      <c r="V611" s="387"/>
      <c r="W611" s="387"/>
    </row>
    <row r="612" spans="1:23" x14ac:dyDescent="0.2">
      <c r="A612" s="13" t="str">
        <f>_xlfn.CONCAT(VLOOKUP(Check[[#This Row],[סטטוס]],Sold,2,FALSE),IF(Check[[#This Row],[סטטוס]]="פנויה",IF(N612="גמר מלא סטנדרט",".GMS",IF(N612="גמר מלא טיוב חומרים",".GMC",IF(N612="גמר מינימלי",".GM",IF(N612="דירת שיווק",".DS","")))),""),".",VLOOKUP(Check[[#This Row],[טיפוס]],Tipus[],5,FALSE),".",VLOOKUP(Check[[#This Row],[מגדל]],Tower,2,FALSE),".Ap.",Check[[#This Row],[מספר דירה]])</f>
        <v>O.P.4E.TN.Ap.273</v>
      </c>
      <c r="B612" s="13" t="str">
        <f>_xlfn.CONCAT(VLOOKUP(Check[[#This Row],[סטטוס]],Sold,2,FALSE),IF(Check[[#This Row],[סטטוס]]="פנויה",IF(N612="גמר מלא סטנדרט",".GMS",IF(N612="גמר מלא טיוב חומרים",".GMC",IF(N612="גמר מינימלי",".GM",IF(N612="דירת שיווק",".DS","")))),""),IF(M612="זומן לטרום",".ZLT",IF(M612="טרום מסירה",".TM",IF(M612="טרום מסירה מהנדס",".TMM",IF(M612="מסירת חזקה",".MH",IF(M612="מסירת חזקה מהנדס",".MHM",""))))),".",VLOOKUP(Check[[#This Row],[טיפוס]],Tipus[],5,FALSE),".",VLOOKUP(Check[[#This Row],[מגדל]],Tower,2,FALSE),".Ap.",Check[[#This Row],[מספר דירה]])</f>
        <v>O.P.4E.TN.Ap.273</v>
      </c>
      <c r="C612" s="3" t="s">
        <v>56</v>
      </c>
      <c r="D612" s="3">
        <v>37</v>
      </c>
      <c r="E612" s="4">
        <v>273</v>
      </c>
      <c r="F612" s="3">
        <v>3705</v>
      </c>
      <c r="G612" s="5" t="s">
        <v>28</v>
      </c>
      <c r="H612" s="5">
        <f>VLOOKUP(Check[[#This Row],[טיפוס]],Tipus[],2,FALSE)</f>
        <v>4</v>
      </c>
      <c r="I612" s="5" t="str">
        <f>VLOOKUP(Check[[#This Row],[טיפוס]],Tipus[],3,FALSE)</f>
        <v>פרימיום</v>
      </c>
      <c r="J612" s="5" t="str">
        <f>VLOOKUP(Check[[#This Row],[טיפוס]],Tipus[],4,FALSE)</f>
        <v>C+D</v>
      </c>
      <c r="K612" s="3" t="str">
        <f>IF(Check[[#This Row],[סטטוס2]]="הולד","פנויה",Check[[#This Row],[סטטוס2]])</f>
        <v>בעלים</v>
      </c>
      <c r="L612" s="382" t="s">
        <v>91</v>
      </c>
      <c r="M612" s="382"/>
      <c r="N612" s="383"/>
      <c r="O612" s="383"/>
      <c r="P612" s="411"/>
      <c r="Q612" s="411"/>
      <c r="R612" s="400"/>
      <c r="S612" s="390">
        <v>44040</v>
      </c>
      <c r="T612" s="390" t="s">
        <v>308</v>
      </c>
      <c r="U612" s="387" t="s">
        <v>309</v>
      </c>
      <c r="V612" s="387" t="s">
        <v>310</v>
      </c>
      <c r="W612" s="387" t="s">
        <v>253</v>
      </c>
    </row>
    <row r="613" spans="1:23" x14ac:dyDescent="0.2">
      <c r="A613" s="13" t="str">
        <f>_xlfn.CONCAT(VLOOKUP(Check[[#This Row],[סטטוס]],Sold,2,FALSE),IF(Check[[#This Row],[סטטוס]]="פנויה",IF(N613="גמר מלא סטנדרט",".GMS",IF(N613="גמר מלא טיוב חומרים",".GMC",IF(N613="גמר מינימלי",".GM",IF(N613="דירת שיווק",".DS","")))),""),".",VLOOKUP(Check[[#This Row],[טיפוס]],Tipus[],5,FALSE),".",VLOOKUP(Check[[#This Row],[מגדל]],Tower,2,FALSE),".Ap.",Check[[#This Row],[מספר דירה]])</f>
        <v>S.P.4F.TN.Ap.274</v>
      </c>
      <c r="B613" s="13" t="str">
        <f>_xlfn.CONCAT(VLOOKUP(Check[[#This Row],[סטטוס]],Sold,2,FALSE),IF(Check[[#This Row],[סטטוס]]="פנויה",IF(N613="גמר מלא סטנדרט",".GMS",IF(N613="גמר מלא טיוב חומרים",".GMC",IF(N613="גמר מינימלי",".GM",IF(N613="דירת שיווק",".DS","")))),""),IF(M613="זומן לטרום",".ZLT",IF(M613="טרום מסירה",".TM",IF(M613="טרום מסירה מהנדס",".TMM",IF(M613="מסירת חזקה",".MH",IF(M613="מסירת חזקה מהנדס",".MHM",""))))),".",VLOOKUP(Check[[#This Row],[טיפוס]],Tipus[],5,FALSE),".",VLOOKUP(Check[[#This Row],[מגדל]],Tower,2,FALSE),".Ap.",Check[[#This Row],[מספר דירה]])</f>
        <v>S.P.4F.TN.Ap.274</v>
      </c>
      <c r="C613" s="3" t="s">
        <v>56</v>
      </c>
      <c r="D613" s="3">
        <v>37</v>
      </c>
      <c r="E613" s="4">
        <v>274</v>
      </c>
      <c r="F613" s="3">
        <v>3704</v>
      </c>
      <c r="G613" s="5" t="s">
        <v>29</v>
      </c>
      <c r="H613" s="5">
        <f>VLOOKUP(Check[[#This Row],[טיפוס]],Tipus[],2,FALSE)</f>
        <v>4</v>
      </c>
      <c r="I613" s="5" t="str">
        <f>VLOOKUP(Check[[#This Row],[טיפוס]],Tipus[],3,FALSE)</f>
        <v>פרימיום</v>
      </c>
      <c r="J613" s="5" t="str">
        <f>VLOOKUP(Check[[#This Row],[טיפוס]],Tipus[],4,FALSE)</f>
        <v>A (P)</v>
      </c>
      <c r="K613" s="3" t="str">
        <f>IF(Check[[#This Row],[סטטוס2]]="הולד","פנויה",Check[[#This Row],[סטטוס2]])</f>
        <v>מכורה</v>
      </c>
      <c r="L613" s="382" t="s">
        <v>130</v>
      </c>
      <c r="M613" s="382"/>
      <c r="N613" s="383"/>
      <c r="O613" s="383"/>
      <c r="P613" s="411"/>
      <c r="Q613" s="411"/>
      <c r="R613" s="400"/>
      <c r="S613" s="390">
        <v>44314</v>
      </c>
      <c r="T613" s="390" t="s">
        <v>886</v>
      </c>
      <c r="U613" s="387" t="s">
        <v>887</v>
      </c>
      <c r="V613" s="387" t="s">
        <v>888</v>
      </c>
      <c r="W613" s="387"/>
    </row>
    <row r="614" spans="1:23" x14ac:dyDescent="0.2">
      <c r="A614" s="13" t="str">
        <f>_xlfn.CONCAT(VLOOKUP(Check[[#This Row],[סטטוס]],Sold,2,FALSE),IF(Check[[#This Row],[סטטוס]]="פנויה",IF(N614="גמר מלא סטנדרט",".GMS",IF(N614="גמר מלא טיוב חומרים",".GMC",IF(N614="גמר מינימלי",".GM",IF(N614="דירת שיווק",".DS","")))),""),".",VLOOKUP(Check[[#This Row],[טיפוס]],Tipus[],5,FALSE),".",VLOOKUP(Check[[#This Row],[מגדל]],Tower,2,FALSE),".Ap.",Check[[#This Row],[מספר דירה]])</f>
        <v>S.P.5AP.TN.Ap.275</v>
      </c>
      <c r="B614" s="13" t="str">
        <f>_xlfn.CONCAT(VLOOKUP(Check[[#This Row],[סטטוס]],Sold,2,FALSE),IF(Check[[#This Row],[סטטוס]]="פנויה",IF(N614="גמר מלא סטנדרט",".GMS",IF(N614="גמר מלא טיוב חומרים",".GMC",IF(N614="גמר מינימלי",".GM",IF(N614="דירת שיווק",".DS","")))),""),IF(M614="זומן לטרום",".ZLT",IF(M614="טרום מסירה",".TM",IF(M614="טרום מסירה מהנדס",".TMM",IF(M614="מסירת חזקה",".MH",IF(M614="מסירת חזקה מהנדס",".MHM",""))))),".",VLOOKUP(Check[[#This Row],[טיפוס]],Tipus[],5,FALSE),".",VLOOKUP(Check[[#This Row],[מגדל]],Tower,2,FALSE),".Ap.",Check[[#This Row],[מספר דירה]])</f>
        <v>S.P.5AP.TN.Ap.275</v>
      </c>
      <c r="C614" s="3" t="s">
        <v>56</v>
      </c>
      <c r="D614" s="3">
        <v>37</v>
      </c>
      <c r="E614" s="4">
        <v>275</v>
      </c>
      <c r="F614" s="3">
        <v>3703</v>
      </c>
      <c r="G614" s="5" t="s">
        <v>30</v>
      </c>
      <c r="H614" s="5">
        <f>VLOOKUP(Check[[#This Row],[טיפוס]],Tipus[],2,FALSE)</f>
        <v>5</v>
      </c>
      <c r="I614" s="5" t="str">
        <f>VLOOKUP(Check[[#This Row],[טיפוס]],Tipus[],3,FALSE)</f>
        <v>פרימיום</v>
      </c>
      <c r="J614" s="5" t="str">
        <f>VLOOKUP(Check[[#This Row],[טיפוס]],Tipus[],4,FALSE)</f>
        <v>J</v>
      </c>
      <c r="K614" s="3" t="str">
        <f>IF(Check[[#This Row],[סטטוס2]]="הולד","פנויה",Check[[#This Row],[סטטוס2]])</f>
        <v>מכורה</v>
      </c>
      <c r="L614" s="382" t="s">
        <v>130</v>
      </c>
      <c r="M614" s="382"/>
      <c r="N614" s="383"/>
      <c r="O614" s="383"/>
      <c r="P614" s="411"/>
      <c r="Q614" s="411"/>
      <c r="R614" s="400"/>
      <c r="S614" s="390">
        <v>44243</v>
      </c>
      <c r="T614" s="390" t="s">
        <v>889</v>
      </c>
      <c r="U614" s="387" t="s">
        <v>890</v>
      </c>
      <c r="V614" s="387" t="s">
        <v>891</v>
      </c>
      <c r="W614" s="387"/>
    </row>
    <row r="615" spans="1:23" x14ac:dyDescent="0.2">
      <c r="A615" s="13" t="str">
        <f>_xlfn.CONCAT(VLOOKUP(Check[[#This Row],[סטטוס]],Sold,2,FALSE),IF(Check[[#This Row],[סטטוס]]="פנויה",IF(N615="גמר מלא סטנדרט",".GMS",IF(N615="גמר מלא טיוב חומרים",".GMC",IF(N615="גמר מינימלי",".GM",IF(N615="דירת שיווק",".DS","")))),""),".",VLOOKUP(Check[[#This Row],[טיפוס]],Tipus[],5,FALSE),".",VLOOKUP(Check[[#This Row],[מגדל]],Tower,2,FALSE),".Ap.",Check[[#This Row],[מספר דירה]])</f>
        <v>S.P.5BP.TN.Ap.276</v>
      </c>
      <c r="B615" s="13" t="str">
        <f>_xlfn.CONCAT(VLOOKUP(Check[[#This Row],[סטטוס]],Sold,2,FALSE),IF(Check[[#This Row],[סטטוס]]="פנויה",IF(N615="גמר מלא סטנדרט",".GMS",IF(N615="גמר מלא טיוב חומרים",".GMC",IF(N615="גמר מינימלי",".GM",IF(N615="דירת שיווק",".DS","")))),""),IF(M615="זומן לטרום",".ZLT",IF(M615="טרום מסירה",".TM",IF(M615="טרום מסירה מהנדס",".TMM",IF(M615="מסירת חזקה",".MH",IF(M615="מסירת חזקה מהנדס",".MHM",""))))),".",VLOOKUP(Check[[#This Row],[טיפוס]],Tipus[],5,FALSE),".",VLOOKUP(Check[[#This Row],[מגדל]],Tower,2,FALSE),".Ap.",Check[[#This Row],[מספר דירה]])</f>
        <v>S.P.5BP.TN.Ap.276</v>
      </c>
      <c r="C615" s="3" t="s">
        <v>56</v>
      </c>
      <c r="D615" s="3">
        <v>37</v>
      </c>
      <c r="E615" s="4">
        <v>276</v>
      </c>
      <c r="F615" s="3">
        <v>3702</v>
      </c>
      <c r="G615" s="6" t="s">
        <v>31</v>
      </c>
      <c r="H615" s="6">
        <f>VLOOKUP(Check[[#This Row],[טיפוס]],Tipus[],2,FALSE)</f>
        <v>5</v>
      </c>
      <c r="I615" s="6" t="str">
        <f>VLOOKUP(Check[[#This Row],[טיפוס]],Tipus[],3,FALSE)</f>
        <v>פרימיום</v>
      </c>
      <c r="J615" s="6" t="str">
        <f>VLOOKUP(Check[[#This Row],[טיפוס]],Tipus[],4,FALSE)</f>
        <v>H</v>
      </c>
      <c r="K615" s="3" t="str">
        <f>IF(Check[[#This Row],[סטטוס2]]="הולד","פנויה",Check[[#This Row],[סטטוס2]])</f>
        <v>מכורה</v>
      </c>
      <c r="L615" s="382" t="s">
        <v>130</v>
      </c>
      <c r="M615" s="382"/>
      <c r="N615" s="383"/>
      <c r="O615" s="383"/>
      <c r="P615" s="411"/>
      <c r="Q615" s="411"/>
      <c r="R615" s="400"/>
      <c r="S615" s="390">
        <v>44243</v>
      </c>
      <c r="T615" s="390" t="s">
        <v>889</v>
      </c>
      <c r="U615" s="387" t="s">
        <v>892</v>
      </c>
      <c r="V615" s="387" t="s">
        <v>893</v>
      </c>
      <c r="W615" s="387"/>
    </row>
    <row r="616" spans="1:23" x14ac:dyDescent="0.2">
      <c r="A616" s="13" t="str">
        <f>_xlfn.CONCAT(VLOOKUP(Check[[#This Row],[סטטוס]],Sold,2,FALSE),IF(Check[[#This Row],[סטטוס]]="פנויה",IF(N616="גמר מלא סטנדרט",".GMS",IF(N616="גמר מלא טיוב חומרים",".GMC",IF(N616="גמר מינימלי",".GM",IF(N616="דירת שיווק",".DS","")))),""),".",VLOOKUP(Check[[#This Row],[טיפוס]],Tipus[],5,FALSE),".",VLOOKUP(Check[[#This Row],[מגדל]],Tower,2,FALSE),".Ap.",Check[[#This Row],[מספר דירה]])</f>
        <v>S.P.4D.TN.Ap.277</v>
      </c>
      <c r="B616" s="13" t="str">
        <f>_xlfn.CONCAT(VLOOKUP(Check[[#This Row],[סטטוס]],Sold,2,FALSE),IF(Check[[#This Row],[סטטוס]]="פנויה",IF(N616="גמר מלא סטנדרט",".GMS",IF(N616="גמר מלא טיוב חומרים",".GMC",IF(N616="גמר מינימלי",".GM",IF(N616="דירת שיווק",".DS","")))),""),IF(M616="זומן לטרום",".ZLT",IF(M616="טרום מסירה",".TM",IF(M616="טרום מסירה מהנדס",".TMM",IF(M616="מסירת חזקה",".MH",IF(M616="מסירת חזקה מהנדס",".MHM",""))))),".",VLOOKUP(Check[[#This Row],[טיפוס]],Tipus[],5,FALSE),".",VLOOKUP(Check[[#This Row],[מגדל]],Tower,2,FALSE),".Ap.",Check[[#This Row],[מספר דירה]])</f>
        <v>S.P.4D.TN.Ap.277</v>
      </c>
      <c r="C616" s="3" t="s">
        <v>56</v>
      </c>
      <c r="D616" s="3">
        <v>38</v>
      </c>
      <c r="E616" s="4">
        <v>277</v>
      </c>
      <c r="F616" s="3">
        <v>3801</v>
      </c>
      <c r="G616" s="5" t="s">
        <v>27</v>
      </c>
      <c r="H616" s="5">
        <f>VLOOKUP(Check[[#This Row],[טיפוס]],Tipus[],2,FALSE)</f>
        <v>4</v>
      </c>
      <c r="I616" s="5" t="str">
        <f>VLOOKUP(Check[[#This Row],[טיפוס]],Tipus[],3,FALSE)</f>
        <v>פרימיום</v>
      </c>
      <c r="J616" s="5" t="str">
        <f>VLOOKUP(Check[[#This Row],[טיפוס]],Tipus[],4,FALSE)</f>
        <v>G (P)</v>
      </c>
      <c r="K616" s="3" t="str">
        <f>IF(Check[[#This Row],[סטטוס2]]="הולד","פנויה",Check[[#This Row],[סטטוס2]])</f>
        <v>מכורה</v>
      </c>
      <c r="L616" s="382" t="s">
        <v>130</v>
      </c>
      <c r="M616" s="382"/>
      <c r="N616" s="383"/>
      <c r="O616" s="383"/>
      <c r="P616" s="411"/>
      <c r="Q616" s="411"/>
      <c r="R616" s="400"/>
      <c r="S616" s="390">
        <v>45648</v>
      </c>
      <c r="T616" s="390" t="s">
        <v>1220</v>
      </c>
      <c r="U616" s="387"/>
      <c r="V616" s="387"/>
      <c r="W616" s="387"/>
    </row>
    <row r="617" spans="1:23" x14ac:dyDescent="0.2">
      <c r="A617" s="13" t="str">
        <f>_xlfn.CONCAT(VLOOKUP(Check[[#This Row],[סטטוס]],Sold,2,FALSE),IF(Check[[#This Row],[סטטוס]]="פנויה",IF(N617="גמר מלא סטנדרט",".GMS",IF(N617="גמר מלא טיוב חומרים",".GMC",IF(N617="גמר מינימלי",".GM",IF(N617="דירת שיווק",".DS","")))),""),".",VLOOKUP(Check[[#This Row],[טיפוס]],Tipus[],5,FALSE),".",VLOOKUP(Check[[#This Row],[מגדל]],Tower,2,FALSE),".Ap.",Check[[#This Row],[מספר דירה]])</f>
        <v>O.P.4E.TN.Ap.278</v>
      </c>
      <c r="B617" s="13" t="str">
        <f>_xlfn.CONCAT(VLOOKUP(Check[[#This Row],[סטטוס]],Sold,2,FALSE),IF(Check[[#This Row],[סטטוס]]="פנויה",IF(N617="גמר מלא סטנדרט",".GMS",IF(N617="גמר מלא טיוב חומרים",".GMC",IF(N617="גמר מינימלי",".GM",IF(N617="דירת שיווק",".DS","")))),""),IF(M617="זומן לטרום",".ZLT",IF(M617="טרום מסירה",".TM",IF(M617="טרום מסירה מהנדס",".TMM",IF(M617="מסירת חזקה",".MH",IF(M617="מסירת חזקה מהנדס",".MHM",""))))),".",VLOOKUP(Check[[#This Row],[טיפוס]],Tipus[],5,FALSE),".",VLOOKUP(Check[[#This Row],[מגדל]],Tower,2,FALSE),".Ap.",Check[[#This Row],[מספר דירה]])</f>
        <v>O.P.4E.TN.Ap.278</v>
      </c>
      <c r="C617" s="3" t="s">
        <v>56</v>
      </c>
      <c r="D617" s="3">
        <v>38</v>
      </c>
      <c r="E617" s="4">
        <v>278</v>
      </c>
      <c r="F617" s="3">
        <v>3805</v>
      </c>
      <c r="G617" s="5" t="s">
        <v>28</v>
      </c>
      <c r="H617" s="5">
        <f>VLOOKUP(Check[[#This Row],[טיפוס]],Tipus[],2,FALSE)</f>
        <v>4</v>
      </c>
      <c r="I617" s="5" t="str">
        <f>VLOOKUP(Check[[#This Row],[טיפוס]],Tipus[],3,FALSE)</f>
        <v>פרימיום</v>
      </c>
      <c r="J617" s="5" t="str">
        <f>VLOOKUP(Check[[#This Row],[טיפוס]],Tipus[],4,FALSE)</f>
        <v>C+D</v>
      </c>
      <c r="K617" s="3" t="str">
        <f>IF(Check[[#This Row],[סטטוס2]]="הולד","פנויה",Check[[#This Row],[סטטוס2]])</f>
        <v>בעלים</v>
      </c>
      <c r="L617" s="382" t="s">
        <v>91</v>
      </c>
      <c r="M617" s="382"/>
      <c r="N617" s="383"/>
      <c r="O617" s="383"/>
      <c r="P617" s="411"/>
      <c r="Q617" s="411"/>
      <c r="R617" s="400"/>
      <c r="S617" s="390">
        <v>44040</v>
      </c>
      <c r="T617" s="390" t="s">
        <v>1361</v>
      </c>
      <c r="U617" s="387" t="s">
        <v>311</v>
      </c>
      <c r="V617" s="387" t="s">
        <v>312</v>
      </c>
      <c r="W617" s="387" t="s">
        <v>245</v>
      </c>
    </row>
    <row r="618" spans="1:23" x14ac:dyDescent="0.2">
      <c r="A618" s="13" t="str">
        <f>_xlfn.CONCAT(VLOOKUP(Check[[#This Row],[סטטוס]],Sold,2,FALSE),IF(Check[[#This Row],[סטטוס]]="פנויה",IF(N618="גמר מלא סטנדרט",".GMS",IF(N618="גמר מלא טיוב חומרים",".GMC",IF(N618="גמר מינימלי",".GM",IF(N618="דירת שיווק",".DS","")))),""),".",VLOOKUP(Check[[#This Row],[טיפוס]],Tipus[],5,FALSE),".",VLOOKUP(Check[[#This Row],[מגדל]],Tower,2,FALSE),".Ap.",Check[[#This Row],[מספר דירה]])</f>
        <v>O.P.4F.TN.Ap.279</v>
      </c>
      <c r="B618" s="13" t="str">
        <f>_xlfn.CONCAT(VLOOKUP(Check[[#This Row],[סטטוס]],Sold,2,FALSE),IF(Check[[#This Row],[סטטוס]]="פנויה",IF(N618="גמר מלא סטנדרט",".GMS",IF(N618="גמר מלא טיוב חומרים",".GMC",IF(N618="גמר מינימלי",".GM",IF(N618="דירת שיווק",".DS","")))),""),IF(M618="זומן לטרום",".ZLT",IF(M618="טרום מסירה",".TM",IF(M618="טרום מסירה מהנדס",".TMM",IF(M618="מסירת חזקה",".MH",IF(M618="מסירת חזקה מהנדס",".MHM",""))))),".",VLOOKUP(Check[[#This Row],[טיפוס]],Tipus[],5,FALSE),".",VLOOKUP(Check[[#This Row],[מגדל]],Tower,2,FALSE),".Ap.",Check[[#This Row],[מספר דירה]])</f>
        <v>O.P.4F.TN.Ap.279</v>
      </c>
      <c r="C618" s="3" t="s">
        <v>56</v>
      </c>
      <c r="D618" s="3">
        <v>38</v>
      </c>
      <c r="E618" s="4">
        <v>279</v>
      </c>
      <c r="F618" s="3">
        <v>3804</v>
      </c>
      <c r="G618" s="5" t="s">
        <v>29</v>
      </c>
      <c r="H618" s="5">
        <f>VLOOKUP(Check[[#This Row],[טיפוס]],Tipus[],2,FALSE)</f>
        <v>4</v>
      </c>
      <c r="I618" s="5" t="str">
        <f>VLOOKUP(Check[[#This Row],[טיפוס]],Tipus[],3,FALSE)</f>
        <v>פרימיום</v>
      </c>
      <c r="J618" s="5" t="str">
        <f>VLOOKUP(Check[[#This Row],[טיפוס]],Tipus[],4,FALSE)</f>
        <v>A (P)</v>
      </c>
      <c r="K618" s="3" t="str">
        <f>IF(Check[[#This Row],[סטטוס2]]="הולד","פנויה",Check[[#This Row],[סטטוס2]])</f>
        <v>בעלים</v>
      </c>
      <c r="L618" s="382" t="s">
        <v>91</v>
      </c>
      <c r="M618" s="382"/>
      <c r="N618" s="383"/>
      <c r="O618" s="383"/>
      <c r="P618" s="411"/>
      <c r="Q618" s="411"/>
      <c r="R618" s="400"/>
      <c r="S618" s="390">
        <v>44040</v>
      </c>
      <c r="T618" s="390" t="s">
        <v>313</v>
      </c>
      <c r="U618" s="387" t="s">
        <v>314</v>
      </c>
      <c r="V618" s="387" t="s">
        <v>315</v>
      </c>
      <c r="W618" s="387" t="s">
        <v>268</v>
      </c>
    </row>
    <row r="619" spans="1:23" x14ac:dyDescent="0.2">
      <c r="A619" s="13" t="str">
        <f>_xlfn.CONCAT(VLOOKUP(Check[[#This Row],[סטטוס]],Sold,2,FALSE),IF(Check[[#This Row],[סטטוס]]="פנויה",IF(N619="גמר מלא סטנדרט",".GMS",IF(N619="גמר מלא טיוב חומרים",".GMC",IF(N619="גמר מינימלי",".GM",IF(N619="דירת שיווק",".DS","")))),""),".",VLOOKUP(Check[[#This Row],[טיפוס]],Tipus[],5,FALSE),".",VLOOKUP(Check[[#This Row],[מגדל]],Tower,2,FALSE),".Ap.",Check[[#This Row],[מספר דירה]])</f>
        <v>S.P.5AP.TN.Ap.280</v>
      </c>
      <c r="B619" s="13" t="str">
        <f>_xlfn.CONCAT(VLOOKUP(Check[[#This Row],[סטטוס]],Sold,2,FALSE),IF(Check[[#This Row],[סטטוס]]="פנויה",IF(N619="גמר מלא סטנדרט",".GMS",IF(N619="גמר מלא טיוב חומרים",".GMC",IF(N619="גמר מינימלי",".GM",IF(N619="דירת שיווק",".DS","")))),""),IF(M619="זומן לטרום",".ZLT",IF(M619="טרום מסירה",".TM",IF(M619="טרום מסירה מהנדס",".TMM",IF(M619="מסירת חזקה",".MH",IF(M619="מסירת חזקה מהנדס",".MHM",""))))),".",VLOOKUP(Check[[#This Row],[טיפוס]],Tipus[],5,FALSE),".",VLOOKUP(Check[[#This Row],[מגדל]],Tower,2,FALSE),".Ap.",Check[[#This Row],[מספר דירה]])</f>
        <v>S.P.5AP.TN.Ap.280</v>
      </c>
      <c r="C619" s="3" t="s">
        <v>56</v>
      </c>
      <c r="D619" s="3">
        <v>38</v>
      </c>
      <c r="E619" s="4">
        <v>280</v>
      </c>
      <c r="F619" s="3">
        <v>3803</v>
      </c>
      <c r="G619" s="5" t="s">
        <v>30</v>
      </c>
      <c r="H619" s="5">
        <f>VLOOKUP(Check[[#This Row],[טיפוס]],Tipus[],2,FALSE)</f>
        <v>5</v>
      </c>
      <c r="I619" s="5" t="str">
        <f>VLOOKUP(Check[[#This Row],[טיפוס]],Tipus[],3,FALSE)</f>
        <v>פרימיום</v>
      </c>
      <c r="J619" s="5" t="str">
        <f>VLOOKUP(Check[[#This Row],[טיפוס]],Tipus[],4,FALSE)</f>
        <v>J</v>
      </c>
      <c r="K619" s="3" t="str">
        <f>IF(Check[[#This Row],[סטטוס2]]="הולד","פנויה",Check[[#This Row],[סטטוס2]])</f>
        <v>מכורה</v>
      </c>
      <c r="L619" s="382" t="s">
        <v>130</v>
      </c>
      <c r="M619" s="382"/>
      <c r="N619" s="383"/>
      <c r="O619" s="383"/>
      <c r="P619" s="411"/>
      <c r="Q619" s="411"/>
      <c r="R619" s="400"/>
      <c r="S619" s="390">
        <v>44306</v>
      </c>
      <c r="T619" s="390" t="s">
        <v>894</v>
      </c>
      <c r="U619" s="387" t="s">
        <v>895</v>
      </c>
      <c r="V619" s="387" t="s">
        <v>896</v>
      </c>
      <c r="W619" s="387"/>
    </row>
    <row r="620" spans="1:23" x14ac:dyDescent="0.2">
      <c r="A620" s="13" t="str">
        <f>_xlfn.CONCAT(VLOOKUP(Check[[#This Row],[סטטוס]],Sold,2,FALSE),IF(Check[[#This Row],[סטטוס]]="פנויה",IF(N620="גמר מלא סטנדרט",".GMS",IF(N620="גמר מלא טיוב חומרים",".GMC",IF(N620="גמר מינימלי",".GM",IF(N620="דירת שיווק",".DS","")))),""),".",VLOOKUP(Check[[#This Row],[טיפוס]],Tipus[],5,FALSE),".",VLOOKUP(Check[[#This Row],[מגדל]],Tower,2,FALSE),".Ap.",Check[[#This Row],[מספר דירה]])</f>
        <v>S.P.5BP.TN.Ap.281</v>
      </c>
      <c r="B620" s="13" t="str">
        <f>_xlfn.CONCAT(VLOOKUP(Check[[#This Row],[סטטוס]],Sold,2,FALSE),IF(Check[[#This Row],[סטטוס]]="פנויה",IF(N620="גמר מלא סטנדרט",".GMS",IF(N620="גמר מלא טיוב חומרים",".GMC",IF(N620="גמר מינימלי",".GM",IF(N620="דירת שיווק",".DS","")))),""),IF(M620="זומן לטרום",".ZLT",IF(M620="טרום מסירה",".TM",IF(M620="טרום מסירה מהנדס",".TMM",IF(M620="מסירת חזקה",".MH",IF(M620="מסירת חזקה מהנדס",".MHM",""))))),".",VLOOKUP(Check[[#This Row],[טיפוס]],Tipus[],5,FALSE),".",VLOOKUP(Check[[#This Row],[מגדל]],Tower,2,FALSE),".Ap.",Check[[#This Row],[מספר דירה]])</f>
        <v>S.P.5BP.TN.Ap.281</v>
      </c>
      <c r="C620" s="3" t="s">
        <v>56</v>
      </c>
      <c r="D620" s="3">
        <v>38</v>
      </c>
      <c r="E620" s="4">
        <v>281</v>
      </c>
      <c r="F620" s="3">
        <v>3802</v>
      </c>
      <c r="G620" s="6" t="s">
        <v>31</v>
      </c>
      <c r="H620" s="6">
        <f>VLOOKUP(Check[[#This Row],[טיפוס]],Tipus[],2,FALSE)</f>
        <v>5</v>
      </c>
      <c r="I620" s="6" t="str">
        <f>VLOOKUP(Check[[#This Row],[טיפוס]],Tipus[],3,FALSE)</f>
        <v>פרימיום</v>
      </c>
      <c r="J620" s="6" t="str">
        <f>VLOOKUP(Check[[#This Row],[טיפוס]],Tipus[],4,FALSE)</f>
        <v>H</v>
      </c>
      <c r="K620" s="3" t="str">
        <f>IF(Check[[#This Row],[סטטוס2]]="הולד","פנויה",Check[[#This Row],[סטטוס2]])</f>
        <v>מכורה</v>
      </c>
      <c r="L620" s="382" t="s">
        <v>130</v>
      </c>
      <c r="M620" s="382"/>
      <c r="N620" s="383"/>
      <c r="O620" s="404"/>
      <c r="P620" s="411"/>
      <c r="Q620" s="411"/>
      <c r="R620" s="400"/>
      <c r="S620" s="390">
        <v>44306</v>
      </c>
      <c r="T620" s="390" t="s">
        <v>894</v>
      </c>
      <c r="U620" s="387" t="s">
        <v>897</v>
      </c>
      <c r="V620" s="387" t="s">
        <v>898</v>
      </c>
      <c r="W620" s="387"/>
    </row>
    <row r="621" spans="1:23" ht="78.75" x14ac:dyDescent="0.2">
      <c r="A621" s="13" t="str">
        <f>_xlfn.CONCAT(VLOOKUP(Check[[#This Row],[סטטוס]],Sold,2,FALSE),IF(Check[[#This Row],[סטטוס]]="פנויה",IF(N621="גמר מלא סטנדרט",".GMS",IF(N621="גמר מלא טיוב חומרים",".GMC",IF(N621="גמר מינימלי",".GM",IF(N621="דירת שיווק",".DS","")))),""),".",VLOOKUP(Check[[#This Row],[טיפוס]],Tipus[],5,FALSE),".",VLOOKUP(Check[[#This Row],[מגדל]],Tower,2,FALSE),".Ap.",Check[[#This Row],[מספר דירה]])</f>
        <v>V.GMS.P.4D.TN.Ap.282</v>
      </c>
      <c r="B621" s="13" t="str">
        <f>_xlfn.CONCAT(VLOOKUP(Check[[#This Row],[סטטוס]],Sold,2,FALSE),IF(Check[[#This Row],[סטטוס]]="פנויה",IF(N621="גמר מלא סטנדרט",".GMS",IF(N621="גמר מלא טיוב חומרים",".GMC",IF(N621="גמר מינימלי",".GM",IF(N621="דירת שיווק",".DS","")))),""),IF(M621="זומן לטרום",".ZLT",IF(M621="טרום מסירה",".TM",IF(M621="טרום מסירה מהנדס",".TMM",IF(M621="מסירת חזקה",".MH",IF(M621="מסירת חזקה מהנדס",".MHM",""))))),".",VLOOKUP(Check[[#This Row],[טיפוס]],Tipus[],5,FALSE),".",VLOOKUP(Check[[#This Row],[מגדל]],Tower,2,FALSE),".Ap.",Check[[#This Row],[מספר דירה]])</f>
        <v>V.GMS.P.4D.TN.Ap.282</v>
      </c>
      <c r="C621" s="3" t="s">
        <v>56</v>
      </c>
      <c r="D621" s="3">
        <v>39</v>
      </c>
      <c r="E621" s="4">
        <v>282</v>
      </c>
      <c r="F621" s="3">
        <v>3901</v>
      </c>
      <c r="G621" s="5" t="s">
        <v>27</v>
      </c>
      <c r="H621" s="5">
        <f>VLOOKUP(Check[[#This Row],[טיפוס]],Tipus[],2,FALSE)</f>
        <v>4</v>
      </c>
      <c r="I621" s="5" t="str">
        <f>VLOOKUP(Check[[#This Row],[טיפוס]],Tipus[],3,FALSE)</f>
        <v>פרימיום</v>
      </c>
      <c r="J621" s="5" t="str">
        <f>VLOOKUP(Check[[#This Row],[טיפוס]],Tipus[],4,FALSE)</f>
        <v>G (P)</v>
      </c>
      <c r="K621" s="3" t="str">
        <f>IF(Check[[#This Row],[סטטוס2]]="הולד","פנויה",Check[[#This Row],[סטטוס2]])</f>
        <v>פנויה</v>
      </c>
      <c r="L621" s="382" t="s">
        <v>108</v>
      </c>
      <c r="M621" s="382"/>
      <c r="N621" t="s">
        <v>1367</v>
      </c>
      <c r="O621" s="404" t="s">
        <v>1411</v>
      </c>
      <c r="P621" s="410" t="s">
        <v>1385</v>
      </c>
      <c r="Q621" s="410" t="s">
        <v>1412</v>
      </c>
      <c r="R621" s="399"/>
      <c r="S621" s="390"/>
      <c r="T621" s="390" t="s">
        <v>214</v>
      </c>
      <c r="U621" s="387"/>
      <c r="V621" s="387"/>
      <c r="W621" s="387"/>
    </row>
    <row r="622" spans="1:23" x14ac:dyDescent="0.2">
      <c r="A622" s="13" t="str">
        <f>_xlfn.CONCAT(VLOOKUP(Check[[#This Row],[סטטוס]],Sold,2,FALSE),IF(Check[[#This Row],[סטטוס]]="פנויה",IF(N622="גמר מלא סטנדרט",".GMS",IF(N622="גמר מלא טיוב חומרים",".GMC",IF(N622="גמר מינימלי",".GM",IF(N622="דירת שיווק",".DS","")))),""),".",VLOOKUP(Check[[#This Row],[טיפוס]],Tipus[],5,FALSE),".",VLOOKUP(Check[[#This Row],[מגדל]],Tower,2,FALSE),".Ap.",Check[[#This Row],[מספר דירה]])</f>
        <v>O.P.4E.TN.Ap.283</v>
      </c>
      <c r="B622" s="13" t="str">
        <f>_xlfn.CONCAT(VLOOKUP(Check[[#This Row],[סטטוס]],Sold,2,FALSE),IF(Check[[#This Row],[סטטוס]]="פנויה",IF(N622="גמר מלא סטנדרט",".GMS",IF(N622="גמר מלא טיוב חומרים",".GMC",IF(N622="גמר מינימלי",".GM",IF(N622="דירת שיווק",".DS","")))),""),IF(M622="זומן לטרום",".ZLT",IF(M622="טרום מסירה",".TM",IF(M622="טרום מסירה מהנדס",".TMM",IF(M622="מסירת חזקה",".MH",IF(M622="מסירת חזקה מהנדס",".MHM",""))))),".",VLOOKUP(Check[[#This Row],[טיפוס]],Tipus[],5,FALSE),".",VLOOKUP(Check[[#This Row],[מגדל]],Tower,2,FALSE),".Ap.",Check[[#This Row],[מספר דירה]])</f>
        <v>O.P.4E.TN.Ap.283</v>
      </c>
      <c r="C622" s="3" t="s">
        <v>56</v>
      </c>
      <c r="D622" s="3">
        <v>39</v>
      </c>
      <c r="E622" s="4">
        <v>283</v>
      </c>
      <c r="F622" s="3">
        <v>3905</v>
      </c>
      <c r="G622" s="5" t="s">
        <v>28</v>
      </c>
      <c r="H622" s="5">
        <f>VLOOKUP(Check[[#This Row],[טיפוס]],Tipus[],2,FALSE)</f>
        <v>4</v>
      </c>
      <c r="I622" s="5" t="str">
        <f>VLOOKUP(Check[[#This Row],[טיפוס]],Tipus[],3,FALSE)</f>
        <v>פרימיום</v>
      </c>
      <c r="J622" s="5" t="str">
        <f>VLOOKUP(Check[[#This Row],[טיפוס]],Tipus[],4,FALSE)</f>
        <v>C+D</v>
      </c>
      <c r="K622" s="3" t="str">
        <f>IF(Check[[#This Row],[סטטוס2]]="הולד","פנויה",Check[[#This Row],[סטטוס2]])</f>
        <v>בעלים</v>
      </c>
      <c r="L622" s="382" t="s">
        <v>91</v>
      </c>
      <c r="M622" s="382"/>
      <c r="N622" s="383"/>
      <c r="O622" s="383"/>
      <c r="P622" s="411"/>
      <c r="Q622" s="411"/>
      <c r="R622" s="400"/>
      <c r="S622" s="390">
        <v>44040</v>
      </c>
      <c r="T622" s="390" t="s">
        <v>316</v>
      </c>
      <c r="U622" s="387" t="s">
        <v>317</v>
      </c>
      <c r="V622" s="387" t="s">
        <v>318</v>
      </c>
      <c r="W622" s="387" t="s">
        <v>256</v>
      </c>
    </row>
    <row r="623" spans="1:23" x14ac:dyDescent="0.2">
      <c r="A623" s="13" t="str">
        <f>_xlfn.CONCAT(VLOOKUP(Check[[#This Row],[סטטוס]],Sold,2,FALSE),IF(Check[[#This Row],[סטטוס]]="פנויה",IF(N623="גמר מלא סטנדרט",".GMS",IF(N623="גמר מלא טיוב חומרים",".GMC",IF(N623="גמר מינימלי",".GM",IF(N623="דירת שיווק",".DS","")))),""),".",VLOOKUP(Check[[#This Row],[טיפוס]],Tipus[],5,FALSE),".",VLOOKUP(Check[[#This Row],[מגדל]],Tower,2,FALSE),".Ap.",Check[[#This Row],[מספר דירה]])</f>
        <v>S.P.4F.TN.Ap.284</v>
      </c>
      <c r="B623" s="13" t="str">
        <f>_xlfn.CONCAT(VLOOKUP(Check[[#This Row],[סטטוס]],Sold,2,FALSE),IF(Check[[#This Row],[סטטוס]]="פנויה",IF(N623="גמר מלא סטנדרט",".GMS",IF(N623="גמר מלא טיוב חומרים",".GMC",IF(N623="גמר מינימלי",".GM",IF(N623="דירת שיווק",".DS","")))),""),IF(M623="זומן לטרום",".ZLT",IF(M623="טרום מסירה",".TM",IF(M623="טרום מסירה מהנדס",".TMM",IF(M623="מסירת חזקה",".MH",IF(M623="מסירת חזקה מהנדס",".MHM",""))))),".",VLOOKUP(Check[[#This Row],[טיפוס]],Tipus[],5,FALSE),".",VLOOKUP(Check[[#This Row],[מגדל]],Tower,2,FALSE),".Ap.",Check[[#This Row],[מספר דירה]])</f>
        <v>S.P.4F.TN.Ap.284</v>
      </c>
      <c r="C623" s="3" t="s">
        <v>56</v>
      </c>
      <c r="D623" s="3">
        <v>39</v>
      </c>
      <c r="E623" s="4">
        <v>284</v>
      </c>
      <c r="F623" s="3">
        <v>3904</v>
      </c>
      <c r="G623" s="5" t="s">
        <v>29</v>
      </c>
      <c r="H623" s="5">
        <f>VLOOKUP(Check[[#This Row],[טיפוס]],Tipus[],2,FALSE)</f>
        <v>4</v>
      </c>
      <c r="I623" s="5" t="str">
        <f>VLOOKUP(Check[[#This Row],[טיפוס]],Tipus[],3,FALSE)</f>
        <v>פרימיום</v>
      </c>
      <c r="J623" s="5" t="str">
        <f>VLOOKUP(Check[[#This Row],[טיפוס]],Tipus[],4,FALSE)</f>
        <v>A (P)</v>
      </c>
      <c r="K623" s="3" t="str">
        <f>IF(Check[[#This Row],[סטטוס2]]="הולד","פנויה",Check[[#This Row],[סטטוס2]])</f>
        <v>מכורה</v>
      </c>
      <c r="L623" s="382" t="s">
        <v>130</v>
      </c>
      <c r="M623" s="382"/>
      <c r="N623" s="383"/>
      <c r="O623" s="383"/>
      <c r="P623" s="411"/>
      <c r="Q623" s="411"/>
      <c r="R623" s="400"/>
      <c r="S623" s="390">
        <v>44251</v>
      </c>
      <c r="T623" s="390" t="s">
        <v>899</v>
      </c>
      <c r="U623" s="387" t="s">
        <v>900</v>
      </c>
      <c r="V623" s="387" t="s">
        <v>901</v>
      </c>
      <c r="W623" s="387"/>
    </row>
    <row r="624" spans="1:23" x14ac:dyDescent="0.2">
      <c r="A624" s="13" t="str">
        <f>_xlfn.CONCAT(VLOOKUP(Check[[#This Row],[סטטוס]],Sold,2,FALSE),IF(Check[[#This Row],[סטטוס]]="פנויה",IF(N624="גמר מלא סטנדרט",".GMS",IF(N624="גמר מלא טיוב חומרים",".GMC",IF(N624="גמר מינימלי",".GM",IF(N624="דירת שיווק",".DS","")))),""),".",VLOOKUP(Check[[#This Row],[טיפוס]],Tipus[],5,FALSE),".",VLOOKUP(Check[[#This Row],[מגדל]],Tower,2,FALSE),".Ap.",Check[[#This Row],[מספר דירה]])</f>
        <v>O.P.5AP.TN.Ap.285</v>
      </c>
      <c r="B624" s="13" t="str">
        <f>_xlfn.CONCAT(VLOOKUP(Check[[#This Row],[סטטוס]],Sold,2,FALSE),IF(Check[[#This Row],[סטטוס]]="פנויה",IF(N624="גמר מלא סטנדרט",".GMS",IF(N624="גמר מלא טיוב חומרים",".GMC",IF(N624="גמר מינימלי",".GM",IF(N624="דירת שיווק",".DS","")))),""),IF(M624="זומן לטרום",".ZLT",IF(M624="טרום מסירה",".TM",IF(M624="טרום מסירה מהנדס",".TMM",IF(M624="מסירת חזקה",".MH",IF(M624="מסירת חזקה מהנדס",".MHM",""))))),".",VLOOKUP(Check[[#This Row],[טיפוס]],Tipus[],5,FALSE),".",VLOOKUP(Check[[#This Row],[מגדל]],Tower,2,FALSE),".Ap.",Check[[#This Row],[מספר דירה]])</f>
        <v>O.P.5AP.TN.Ap.285</v>
      </c>
      <c r="C624" s="3" t="s">
        <v>56</v>
      </c>
      <c r="D624" s="3">
        <v>39</v>
      </c>
      <c r="E624" s="4">
        <v>285</v>
      </c>
      <c r="F624" s="3">
        <v>3903</v>
      </c>
      <c r="G624" s="5" t="s">
        <v>30</v>
      </c>
      <c r="H624" s="5">
        <f>VLOOKUP(Check[[#This Row],[טיפוס]],Tipus[],2,FALSE)</f>
        <v>5</v>
      </c>
      <c r="I624" s="5" t="str">
        <f>VLOOKUP(Check[[#This Row],[טיפוס]],Tipus[],3,FALSE)</f>
        <v>פרימיום</v>
      </c>
      <c r="J624" s="5" t="str">
        <f>VLOOKUP(Check[[#This Row],[טיפוס]],Tipus[],4,FALSE)</f>
        <v>J</v>
      </c>
      <c r="K624" s="3" t="str">
        <f>IF(Check[[#This Row],[סטטוס2]]="הולד","פנויה",Check[[#This Row],[סטטוס2]])</f>
        <v>בעלים</v>
      </c>
      <c r="L624" s="382" t="s">
        <v>91</v>
      </c>
      <c r="M624" s="382"/>
      <c r="N624" s="383"/>
      <c r="O624" s="383"/>
      <c r="P624" s="411"/>
      <c r="Q624" s="411"/>
      <c r="R624" s="400"/>
      <c r="S624" s="390">
        <v>44040</v>
      </c>
      <c r="T624" s="390" t="s">
        <v>319</v>
      </c>
      <c r="U624" s="387" t="s">
        <v>320</v>
      </c>
      <c r="V624" s="387" t="s">
        <v>321</v>
      </c>
      <c r="W624" s="387" t="s">
        <v>281</v>
      </c>
    </row>
    <row r="625" spans="1:23" x14ac:dyDescent="0.2">
      <c r="A625" s="13" t="str">
        <f>_xlfn.CONCAT(VLOOKUP(Check[[#This Row],[סטטוס]],Sold,2,FALSE),IF(Check[[#This Row],[סטטוס]]="פנויה",IF(N625="גמר מלא סטנדרט",".GMS",IF(N625="גמר מלא טיוב חומרים",".GMC",IF(N625="גמר מינימלי",".GM",IF(N625="דירת שיווק",".DS","")))),""),".",VLOOKUP(Check[[#This Row],[טיפוס]],Tipus[],5,FALSE),".",VLOOKUP(Check[[#This Row],[מגדל]],Tower,2,FALSE),".Ap.",Check[[#This Row],[מספר דירה]])</f>
        <v>O.P.5BP.TN.Ap.286</v>
      </c>
      <c r="B625" s="13" t="str">
        <f>_xlfn.CONCAT(VLOOKUP(Check[[#This Row],[סטטוס]],Sold,2,FALSE),IF(Check[[#This Row],[סטטוס]]="פנויה",IF(N625="גמר מלא סטנדרט",".GMS",IF(N625="גמר מלא טיוב חומרים",".GMC",IF(N625="גמר מינימלי",".GM",IF(N625="דירת שיווק",".DS","")))),""),IF(M625="זומן לטרום",".ZLT",IF(M625="טרום מסירה",".TM",IF(M625="טרום מסירה מהנדס",".TMM",IF(M625="מסירת חזקה",".MH",IF(M625="מסירת חזקה מהנדס",".MHM",""))))),".",VLOOKUP(Check[[#This Row],[טיפוס]],Tipus[],5,FALSE),".",VLOOKUP(Check[[#This Row],[מגדל]],Tower,2,FALSE),".Ap.",Check[[#This Row],[מספר דירה]])</f>
        <v>O.P.5BP.TN.Ap.286</v>
      </c>
      <c r="C625" s="3" t="s">
        <v>56</v>
      </c>
      <c r="D625" s="3">
        <v>39</v>
      </c>
      <c r="E625" s="4">
        <v>286</v>
      </c>
      <c r="F625" s="3">
        <v>3902</v>
      </c>
      <c r="G625" s="6" t="s">
        <v>31</v>
      </c>
      <c r="H625" s="6">
        <f>VLOOKUP(Check[[#This Row],[טיפוס]],Tipus[],2,FALSE)</f>
        <v>5</v>
      </c>
      <c r="I625" s="6" t="str">
        <f>VLOOKUP(Check[[#This Row],[טיפוס]],Tipus[],3,FALSE)</f>
        <v>פרימיום</v>
      </c>
      <c r="J625" s="6" t="str">
        <f>VLOOKUP(Check[[#This Row],[טיפוס]],Tipus[],4,FALSE)</f>
        <v>H</v>
      </c>
      <c r="K625" s="3" t="str">
        <f>IF(Check[[#This Row],[סטטוס2]]="הולד","פנויה",Check[[#This Row],[סטטוס2]])</f>
        <v>בעלים</v>
      </c>
      <c r="L625" s="382" t="s">
        <v>91</v>
      </c>
      <c r="M625" s="382"/>
      <c r="N625" s="383"/>
      <c r="O625" s="383"/>
      <c r="P625" s="411"/>
      <c r="Q625" s="411"/>
      <c r="R625" s="400"/>
      <c r="S625" s="390">
        <v>44040</v>
      </c>
      <c r="T625" s="390" t="s">
        <v>1292</v>
      </c>
      <c r="U625" s="387" t="s">
        <v>322</v>
      </c>
      <c r="V625" s="387" t="s">
        <v>323</v>
      </c>
      <c r="W625" s="387" t="s">
        <v>324</v>
      </c>
    </row>
    <row r="626" spans="1:23" x14ac:dyDescent="0.2">
      <c r="A626" s="13" t="str">
        <f>_xlfn.CONCAT(VLOOKUP(Check[[#This Row],[סטטוס]],Sold,2,FALSE),IF(Check[[#This Row],[סטטוס]]="פנויה",IF(N626="גמר מלא סטנדרט",".GMS",IF(N626="גמר מלא טיוב חומרים",".GMC",IF(N626="גמר מינימלי",".GM",IF(N626="דירת שיווק",".DS","")))),""),".",VLOOKUP(Check[[#This Row],[טיפוס]],Tipus[],5,FALSE),".",VLOOKUP(Check[[#This Row],[מגדל]],Tower,2,FALSE),".Ap.",Check[[#This Row],[מספר דירה]])</f>
        <v>V.GMS.P.4D.TN.Ap.287</v>
      </c>
      <c r="B626" s="13" t="str">
        <f>_xlfn.CONCAT(VLOOKUP(Check[[#This Row],[סטטוס]],Sold,2,FALSE),IF(Check[[#This Row],[סטטוס]]="פנויה",IF(N626="גמר מלא סטנדרט",".GMS",IF(N626="גמר מלא טיוב חומרים",".GMC",IF(N626="גמר מינימלי",".GM",IF(N626="דירת שיווק",".DS","")))),""),IF(M626="זומן לטרום",".ZLT",IF(M626="טרום מסירה",".TM",IF(M626="טרום מסירה מהנדס",".TMM",IF(M626="מסירת חזקה",".MH",IF(M626="מסירת חזקה מהנדס",".MHM",""))))),".",VLOOKUP(Check[[#This Row],[טיפוס]],Tipus[],5,FALSE),".",VLOOKUP(Check[[#This Row],[מגדל]],Tower,2,FALSE),".Ap.",Check[[#This Row],[מספר דירה]])</f>
        <v>V.GMS.P.4D.TN.Ap.287</v>
      </c>
      <c r="C626" s="3" t="s">
        <v>56</v>
      </c>
      <c r="D626" s="3">
        <v>40</v>
      </c>
      <c r="E626" s="4">
        <v>287</v>
      </c>
      <c r="F626" s="3">
        <v>4001</v>
      </c>
      <c r="G626" s="5" t="s">
        <v>27</v>
      </c>
      <c r="H626" s="5">
        <f>VLOOKUP(Check[[#This Row],[טיפוס]],Tipus[],2,FALSE)</f>
        <v>4</v>
      </c>
      <c r="I626" s="5" t="str">
        <f>VLOOKUP(Check[[#This Row],[טיפוס]],Tipus[],3,FALSE)</f>
        <v>פרימיום</v>
      </c>
      <c r="J626" s="5" t="str">
        <f>VLOOKUP(Check[[#This Row],[טיפוס]],Tipus[],4,FALSE)</f>
        <v>G (P)</v>
      </c>
      <c r="K626" s="3" t="str">
        <f>IF(Check[[#This Row],[סטטוס2]]="הולד","פנויה",Check[[#This Row],[סטטוס2]])</f>
        <v>פנויה</v>
      </c>
      <c r="L626" s="382" t="s">
        <v>108</v>
      </c>
      <c r="M626" s="382"/>
      <c r="N626" t="s">
        <v>1367</v>
      </c>
      <c r="O626" s="383" t="s">
        <v>1390</v>
      </c>
      <c r="P626" s="410" t="s">
        <v>1389</v>
      </c>
      <c r="Q626" s="410"/>
      <c r="R626" s="400"/>
      <c r="S626" s="390"/>
      <c r="T626" s="390" t="s">
        <v>214</v>
      </c>
      <c r="U626" s="387"/>
      <c r="V626" s="387"/>
      <c r="W626" s="387"/>
    </row>
    <row r="627" spans="1:23" x14ac:dyDescent="0.2">
      <c r="A627" s="13" t="str">
        <f>_xlfn.CONCAT(VLOOKUP(Check[[#This Row],[סטטוס]],Sold,2,FALSE),IF(Check[[#This Row],[סטטוס]]="פנויה",IF(N627="גמר מלא סטנדרט",".GMS",IF(N627="גמר מלא טיוב חומרים",".GMC",IF(N627="גמר מינימלי",".GM",IF(N627="דירת שיווק",".DS","")))),""),".",VLOOKUP(Check[[#This Row],[טיפוס]],Tipus[],5,FALSE),".",VLOOKUP(Check[[#This Row],[מגדל]],Tower,2,FALSE),".Ap.",Check[[#This Row],[מספר דירה]])</f>
        <v>O.P.4E.TN.Ap.288</v>
      </c>
      <c r="B627" s="13" t="str">
        <f>_xlfn.CONCAT(VLOOKUP(Check[[#This Row],[סטטוס]],Sold,2,FALSE),IF(Check[[#This Row],[סטטוס]]="פנויה",IF(N627="גמר מלא סטנדרט",".GMS",IF(N627="גמר מלא טיוב חומרים",".GMC",IF(N627="גמר מינימלי",".GM",IF(N627="דירת שיווק",".DS","")))),""),IF(M627="זומן לטרום",".ZLT",IF(M627="טרום מסירה",".TM",IF(M627="טרום מסירה מהנדס",".TMM",IF(M627="מסירת חזקה",".MH",IF(M627="מסירת חזקה מהנדס",".MHM",""))))),".",VLOOKUP(Check[[#This Row],[טיפוס]],Tipus[],5,FALSE),".",VLOOKUP(Check[[#This Row],[מגדל]],Tower,2,FALSE),".Ap.",Check[[#This Row],[מספר דירה]])</f>
        <v>O.P.4E.TN.Ap.288</v>
      </c>
      <c r="C627" s="3" t="s">
        <v>56</v>
      </c>
      <c r="D627" s="3">
        <v>40</v>
      </c>
      <c r="E627" s="4">
        <v>288</v>
      </c>
      <c r="F627" s="3">
        <v>4005</v>
      </c>
      <c r="G627" s="5" t="s">
        <v>28</v>
      </c>
      <c r="H627" s="5">
        <f>VLOOKUP(Check[[#This Row],[טיפוס]],Tipus[],2,FALSE)</f>
        <v>4</v>
      </c>
      <c r="I627" s="5" t="str">
        <f>VLOOKUP(Check[[#This Row],[טיפוס]],Tipus[],3,FALSE)</f>
        <v>פרימיום</v>
      </c>
      <c r="J627" s="5" t="str">
        <f>VLOOKUP(Check[[#This Row],[טיפוס]],Tipus[],4,FALSE)</f>
        <v>C+D</v>
      </c>
      <c r="K627" s="3" t="str">
        <f>IF(Check[[#This Row],[סטטוס2]]="הולד","פנויה",Check[[#This Row],[סטטוס2]])</f>
        <v>בעלים</v>
      </c>
      <c r="L627" s="382" t="s">
        <v>91</v>
      </c>
      <c r="M627" s="382"/>
      <c r="N627" s="383"/>
      <c r="O627" s="383"/>
      <c r="P627" s="411"/>
      <c r="Q627" s="411"/>
      <c r="R627" s="400"/>
      <c r="S627" s="390">
        <v>44040</v>
      </c>
      <c r="T627" s="390" t="s">
        <v>1362</v>
      </c>
      <c r="U627" s="387" t="s">
        <v>325</v>
      </c>
      <c r="V627" s="387" t="s">
        <v>326</v>
      </c>
      <c r="W627" s="387" t="s">
        <v>327</v>
      </c>
    </row>
    <row r="628" spans="1:23" x14ac:dyDescent="0.2">
      <c r="A628" s="13" t="str">
        <f>_xlfn.CONCAT(VLOOKUP(Check[[#This Row],[סטטוס]],Sold,2,FALSE),IF(Check[[#This Row],[סטטוס]]="פנויה",IF(N628="גמר מלא סטנדרט",".GMS",IF(N628="גמר מלא טיוב חומרים",".GMC",IF(N628="גמר מינימלי",".GM",IF(N628="דירת שיווק",".DS","")))),""),".",VLOOKUP(Check[[#This Row],[טיפוס]],Tipus[],5,FALSE),".",VLOOKUP(Check[[#This Row],[מגדל]],Tower,2,FALSE),".Ap.",Check[[#This Row],[מספר דירה]])</f>
        <v>O.P.4F.TN.Ap.289</v>
      </c>
      <c r="B628" s="13" t="str">
        <f>_xlfn.CONCAT(VLOOKUP(Check[[#This Row],[סטטוס]],Sold,2,FALSE),IF(Check[[#This Row],[סטטוס]]="פנויה",IF(N628="גמר מלא סטנדרט",".GMS",IF(N628="גמר מלא טיוב חומרים",".GMC",IF(N628="גמר מינימלי",".GM",IF(N628="דירת שיווק",".DS","")))),""),IF(M628="זומן לטרום",".ZLT",IF(M628="טרום מסירה",".TM",IF(M628="טרום מסירה מהנדס",".TMM",IF(M628="מסירת חזקה",".MH",IF(M628="מסירת חזקה מהנדס",".MHM",""))))),".",VLOOKUP(Check[[#This Row],[טיפוס]],Tipus[],5,FALSE),".",VLOOKUP(Check[[#This Row],[מגדל]],Tower,2,FALSE),".Ap.",Check[[#This Row],[מספר דירה]])</f>
        <v>O.P.4F.TN.Ap.289</v>
      </c>
      <c r="C628" s="3" t="s">
        <v>56</v>
      </c>
      <c r="D628" s="3">
        <v>40</v>
      </c>
      <c r="E628" s="4">
        <v>289</v>
      </c>
      <c r="F628" s="3">
        <v>4004</v>
      </c>
      <c r="G628" s="5" t="s">
        <v>29</v>
      </c>
      <c r="H628" s="5">
        <f>VLOOKUP(Check[[#This Row],[טיפוס]],Tipus[],2,FALSE)</f>
        <v>4</v>
      </c>
      <c r="I628" s="5" t="str">
        <f>VLOOKUP(Check[[#This Row],[טיפוס]],Tipus[],3,FALSE)</f>
        <v>פרימיום</v>
      </c>
      <c r="J628" s="5" t="str">
        <f>VLOOKUP(Check[[#This Row],[טיפוס]],Tipus[],4,FALSE)</f>
        <v>A (P)</v>
      </c>
      <c r="K628" s="3" t="str">
        <f>IF(Check[[#This Row],[סטטוס2]]="הולד","פנויה",Check[[#This Row],[סטטוס2]])</f>
        <v>בעלים</v>
      </c>
      <c r="L628" s="382" t="s">
        <v>91</v>
      </c>
      <c r="M628" s="382"/>
      <c r="N628" s="383"/>
      <c r="O628" s="383"/>
      <c r="P628" s="411"/>
      <c r="Q628" s="411"/>
      <c r="R628" s="400"/>
      <c r="S628" s="390">
        <v>44040</v>
      </c>
      <c r="T628" s="390" t="s">
        <v>278</v>
      </c>
      <c r="U628" s="387" t="s">
        <v>328</v>
      </c>
      <c r="V628" s="387" t="s">
        <v>329</v>
      </c>
      <c r="W628" s="387" t="s">
        <v>214</v>
      </c>
    </row>
    <row r="629" spans="1:23" x14ac:dyDescent="0.2">
      <c r="A629" s="13" t="str">
        <f>_xlfn.CONCAT(VLOOKUP(Check[[#This Row],[סטטוס]],Sold,2,FALSE),IF(Check[[#This Row],[סטטוס]]="פנויה",IF(N629="גמר מלא סטנדרט",".GMS",IF(N629="גמר מלא טיוב חומרים",".GMC",IF(N629="גמר מינימלי",".GM",IF(N629="דירת שיווק",".DS","")))),""),".",VLOOKUP(Check[[#This Row],[טיפוס]],Tipus[],5,FALSE),".",VLOOKUP(Check[[#This Row],[מגדל]],Tower,2,FALSE),".Ap.",Check[[#This Row],[מספר דירה]])</f>
        <v>S.P.5AP.TN.Ap.290</v>
      </c>
      <c r="B629" s="13" t="str">
        <f>_xlfn.CONCAT(VLOOKUP(Check[[#This Row],[סטטוס]],Sold,2,FALSE),IF(Check[[#This Row],[סטטוס]]="פנויה",IF(N629="גמר מלא סטנדרט",".GMS",IF(N629="גמר מלא טיוב חומרים",".GMC",IF(N629="גמר מינימלי",".GM",IF(N629="דירת שיווק",".DS","")))),""),IF(M629="זומן לטרום",".ZLT",IF(M629="טרום מסירה",".TM",IF(M629="טרום מסירה מהנדס",".TMM",IF(M629="מסירת חזקה",".MH",IF(M629="מסירת חזקה מהנדס",".MHM",""))))),".",VLOOKUP(Check[[#This Row],[טיפוס]],Tipus[],5,FALSE),".",VLOOKUP(Check[[#This Row],[מגדל]],Tower,2,FALSE),".Ap.",Check[[#This Row],[מספר דירה]])</f>
        <v>S.P.5AP.TN.Ap.290</v>
      </c>
      <c r="C629" s="3" t="s">
        <v>56</v>
      </c>
      <c r="D629" s="3">
        <v>40</v>
      </c>
      <c r="E629" s="4">
        <v>290</v>
      </c>
      <c r="F629" s="3">
        <v>4003</v>
      </c>
      <c r="G629" s="5" t="s">
        <v>30</v>
      </c>
      <c r="H629" s="5">
        <f>VLOOKUP(Check[[#This Row],[טיפוס]],Tipus[],2,FALSE)</f>
        <v>5</v>
      </c>
      <c r="I629" s="5" t="str">
        <f>VLOOKUP(Check[[#This Row],[טיפוס]],Tipus[],3,FALSE)</f>
        <v>פרימיום</v>
      </c>
      <c r="J629" s="5" t="str">
        <f>VLOOKUP(Check[[#This Row],[טיפוס]],Tipus[],4,FALSE)</f>
        <v>J</v>
      </c>
      <c r="K629" s="3" t="str">
        <f>IF(Check[[#This Row],[סטטוס2]]="הולד","פנויה",Check[[#This Row],[סטטוס2]])</f>
        <v>מכורה</v>
      </c>
      <c r="L629" s="382" t="s">
        <v>130</v>
      </c>
      <c r="M629" s="382"/>
      <c r="N629" s="383"/>
      <c r="O629" s="383"/>
      <c r="P629" s="411"/>
      <c r="Q629" s="411"/>
      <c r="R629" s="400"/>
      <c r="S629" s="390">
        <v>44250</v>
      </c>
      <c r="T629" s="390" t="s">
        <v>586</v>
      </c>
      <c r="U629" s="387" t="s">
        <v>902</v>
      </c>
      <c r="V629" s="387" t="s">
        <v>903</v>
      </c>
      <c r="W629" s="387"/>
    </row>
    <row r="630" spans="1:23" x14ac:dyDescent="0.2">
      <c r="A630" s="13" t="str">
        <f>_xlfn.CONCAT(VLOOKUP(Check[[#This Row],[סטטוס]],Sold,2,FALSE),IF(Check[[#This Row],[סטטוס]]="פנויה",IF(N630="גמר מלא סטנדרט",".GMS",IF(N630="גמר מלא טיוב חומרים",".GMC",IF(N630="גמר מינימלי",".GM",IF(N630="דירת שיווק",".DS","")))),""),".",VLOOKUP(Check[[#This Row],[טיפוס]],Tipus[],5,FALSE),".",VLOOKUP(Check[[#This Row],[מגדל]],Tower,2,FALSE),".Ap.",Check[[#This Row],[מספר דירה]])</f>
        <v>S.P.5BP.TN.Ap.291</v>
      </c>
      <c r="B630" s="13" t="str">
        <f>_xlfn.CONCAT(VLOOKUP(Check[[#This Row],[סטטוס]],Sold,2,FALSE),IF(Check[[#This Row],[סטטוס]]="פנויה",IF(N630="גמר מלא סטנדרט",".GMS",IF(N630="גמר מלא טיוב חומרים",".GMC",IF(N630="גמר מינימלי",".GM",IF(N630="דירת שיווק",".DS","")))),""),IF(M630="זומן לטרום",".ZLT",IF(M630="טרום מסירה",".TM",IF(M630="טרום מסירה מהנדס",".TMM",IF(M630="מסירת חזקה",".MH",IF(M630="מסירת חזקה מהנדס",".MHM",""))))),".",VLOOKUP(Check[[#This Row],[טיפוס]],Tipus[],5,FALSE),".",VLOOKUP(Check[[#This Row],[מגדל]],Tower,2,FALSE),".Ap.",Check[[#This Row],[מספר דירה]])</f>
        <v>S.P.5BP.TN.Ap.291</v>
      </c>
      <c r="C630" s="3" t="s">
        <v>56</v>
      </c>
      <c r="D630" s="3">
        <v>40</v>
      </c>
      <c r="E630" s="4">
        <v>291</v>
      </c>
      <c r="F630" s="3">
        <v>4002</v>
      </c>
      <c r="G630" s="6" t="s">
        <v>31</v>
      </c>
      <c r="H630" s="6">
        <f>VLOOKUP(Check[[#This Row],[טיפוס]],Tipus[],2,FALSE)</f>
        <v>5</v>
      </c>
      <c r="I630" s="6" t="str">
        <f>VLOOKUP(Check[[#This Row],[טיפוס]],Tipus[],3,FALSE)</f>
        <v>פרימיום</v>
      </c>
      <c r="J630" s="6" t="str">
        <f>VLOOKUP(Check[[#This Row],[טיפוס]],Tipus[],4,FALSE)</f>
        <v>H</v>
      </c>
      <c r="K630" s="3" t="str">
        <f>IF(Check[[#This Row],[סטטוס2]]="הולד","פנויה",Check[[#This Row],[סטטוס2]])</f>
        <v>מכורה</v>
      </c>
      <c r="L630" s="382" t="s">
        <v>130</v>
      </c>
      <c r="M630" s="382"/>
      <c r="N630" s="383"/>
      <c r="O630" s="383"/>
      <c r="P630" s="411"/>
      <c r="Q630" s="411"/>
      <c r="R630" s="400"/>
      <c r="S630" s="390">
        <v>44250</v>
      </c>
      <c r="T630" s="390" t="s">
        <v>586</v>
      </c>
      <c r="U630" s="387" t="s">
        <v>904</v>
      </c>
      <c r="V630" s="387" t="s">
        <v>905</v>
      </c>
      <c r="W630" s="387"/>
    </row>
    <row r="631" spans="1:23" ht="78.75" x14ac:dyDescent="0.2">
      <c r="A631" s="13" t="str">
        <f>_xlfn.CONCAT(VLOOKUP(Check[[#This Row],[סטטוס]],Sold,2,FALSE),IF(Check[[#This Row],[סטטוס]]="פנויה",IF(N631="גמר מלא סטנדרט",".GMS",IF(N631="גמר מלא טיוב חומרים",".GMC",IF(N631="גמר מינימלי",".GM",IF(N631="דירת שיווק",".DS","")))),""),".",VLOOKUP(Check[[#This Row],[טיפוס]],Tipus[],5,FALSE),".",VLOOKUP(Check[[#This Row],[מגדל]],Tower,2,FALSE),".Ap.",Check[[#This Row],[מספר דירה]])</f>
        <v>V.GMS.P.4D.TN.Ap.292</v>
      </c>
      <c r="B631" s="13" t="str">
        <f>_xlfn.CONCAT(VLOOKUP(Check[[#This Row],[סטטוס]],Sold,2,FALSE),IF(Check[[#This Row],[סטטוס]]="פנויה",IF(N631="גמר מלא סטנדרט",".GMS",IF(N631="גמר מלא טיוב חומרים",".GMC",IF(N631="גמר מינימלי",".GM",IF(N631="דירת שיווק",".DS","")))),""),IF(M631="זומן לטרום",".ZLT",IF(M631="טרום מסירה",".TM",IF(M631="טרום מסירה מהנדס",".TMM",IF(M631="מסירת חזקה",".MH",IF(M631="מסירת חזקה מהנדס",".MHM",""))))),".",VLOOKUP(Check[[#This Row],[טיפוס]],Tipus[],5,FALSE),".",VLOOKUP(Check[[#This Row],[מגדל]],Tower,2,FALSE),".Ap.",Check[[#This Row],[מספר דירה]])</f>
        <v>V.GMS.P.4D.TN.Ap.292</v>
      </c>
      <c r="C631" s="3" t="s">
        <v>56</v>
      </c>
      <c r="D631" s="3">
        <v>41</v>
      </c>
      <c r="E631" s="4">
        <v>292</v>
      </c>
      <c r="F631" s="3">
        <v>4101</v>
      </c>
      <c r="G631" s="5" t="s">
        <v>27</v>
      </c>
      <c r="H631" s="5">
        <f>VLOOKUP(Check[[#This Row],[טיפוס]],Tipus[],2,FALSE)</f>
        <v>4</v>
      </c>
      <c r="I631" s="5" t="str">
        <f>VLOOKUP(Check[[#This Row],[טיפוס]],Tipus[],3,FALSE)</f>
        <v>פרימיום</v>
      </c>
      <c r="J631" s="5" t="str">
        <f>VLOOKUP(Check[[#This Row],[טיפוס]],Tipus[],4,FALSE)</f>
        <v>G (P)</v>
      </c>
      <c r="K631" s="3" t="str">
        <f>IF(Check[[#This Row],[סטטוס2]]="הולד","פנויה",Check[[#This Row],[סטטוס2]])</f>
        <v>פנויה</v>
      </c>
      <c r="L631" s="382" t="s">
        <v>108</v>
      </c>
      <c r="M631" s="382"/>
      <c r="N631" t="s">
        <v>1367</v>
      </c>
      <c r="O631" s="404" t="s">
        <v>1411</v>
      </c>
      <c r="P631" s="410" t="s">
        <v>1385</v>
      </c>
      <c r="Q631" s="410" t="s">
        <v>1412</v>
      </c>
      <c r="R631" s="399"/>
      <c r="S631" s="390"/>
      <c r="T631" s="390" t="s">
        <v>214</v>
      </c>
      <c r="U631" s="387"/>
      <c r="V631" s="387"/>
      <c r="W631" s="387"/>
    </row>
    <row r="632" spans="1:23" x14ac:dyDescent="0.2">
      <c r="A632" s="13" t="str">
        <f>_xlfn.CONCAT(VLOOKUP(Check[[#This Row],[סטטוס]],Sold,2,FALSE),IF(Check[[#This Row],[סטטוס]]="פנויה",IF(N632="גמר מלא סטנדרט",".GMS",IF(N632="גמר מלא טיוב חומרים",".GMC",IF(N632="גמר מינימלי",".GM",IF(N632="דירת שיווק",".DS","")))),""),".",VLOOKUP(Check[[#This Row],[טיפוס]],Tipus[],5,FALSE),".",VLOOKUP(Check[[#This Row],[מגדל]],Tower,2,FALSE),".Ap.",Check[[#This Row],[מספר דירה]])</f>
        <v>S.P.4E.TN.Ap.293</v>
      </c>
      <c r="B632" s="13" t="str">
        <f>_xlfn.CONCAT(VLOOKUP(Check[[#This Row],[סטטוס]],Sold,2,FALSE),IF(Check[[#This Row],[סטטוס]]="פנויה",IF(N632="גמר מלא סטנדרט",".GMS",IF(N632="גמר מלא טיוב חומרים",".GMC",IF(N632="גמר מינימלי",".GM",IF(N632="דירת שיווק",".DS","")))),""),IF(M632="זומן לטרום",".ZLT",IF(M632="טרום מסירה",".TM",IF(M632="טרום מסירה מהנדס",".TMM",IF(M632="מסירת חזקה",".MH",IF(M632="מסירת חזקה מהנדס",".MHM",""))))),".",VLOOKUP(Check[[#This Row],[טיפוס]],Tipus[],5,FALSE),".",VLOOKUP(Check[[#This Row],[מגדל]],Tower,2,FALSE),".Ap.",Check[[#This Row],[מספר דירה]])</f>
        <v>S.P.4E.TN.Ap.293</v>
      </c>
      <c r="C632" s="3" t="s">
        <v>56</v>
      </c>
      <c r="D632" s="3">
        <v>41</v>
      </c>
      <c r="E632" s="4">
        <v>293</v>
      </c>
      <c r="F632" s="3">
        <v>4105</v>
      </c>
      <c r="G632" s="5" t="s">
        <v>28</v>
      </c>
      <c r="H632" s="5">
        <f>VLOOKUP(Check[[#This Row],[טיפוס]],Tipus[],2,FALSE)</f>
        <v>4</v>
      </c>
      <c r="I632" s="5" t="str">
        <f>VLOOKUP(Check[[#This Row],[טיפוס]],Tipus[],3,FALSE)</f>
        <v>פרימיום</v>
      </c>
      <c r="J632" s="5" t="str">
        <f>VLOOKUP(Check[[#This Row],[טיפוס]],Tipus[],4,FALSE)</f>
        <v>C+D</v>
      </c>
      <c r="K632" s="3" t="str">
        <f>IF(Check[[#This Row],[סטטוס2]]="הולד","פנויה",Check[[#This Row],[סטטוס2]])</f>
        <v>מכורה</v>
      </c>
      <c r="L632" s="382" t="s">
        <v>130</v>
      </c>
      <c r="M632" s="382"/>
      <c r="N632" s="383"/>
      <c r="O632" s="383"/>
      <c r="P632" s="411"/>
      <c r="Q632" s="411"/>
      <c r="R632" s="400"/>
      <c r="S632" s="390">
        <v>44256</v>
      </c>
      <c r="T632" s="390" t="s">
        <v>906</v>
      </c>
      <c r="U632" s="387" t="s">
        <v>907</v>
      </c>
      <c r="V632" s="387" t="s">
        <v>908</v>
      </c>
      <c r="W632" s="387"/>
    </row>
    <row r="633" spans="1:23" x14ac:dyDescent="0.2">
      <c r="A633" s="13" t="str">
        <f>_xlfn.CONCAT(VLOOKUP(Check[[#This Row],[סטטוס]],Sold,2,FALSE),IF(Check[[#This Row],[סטטוס]]="פנויה",IF(N633="גמר מלא סטנדרט",".GMS",IF(N633="גמר מלא טיוב חומרים",".GMC",IF(N633="גמר מינימלי",".GM",IF(N633="דירת שיווק",".DS","")))),""),".",VLOOKUP(Check[[#This Row],[טיפוס]],Tipus[],5,FALSE),".",VLOOKUP(Check[[#This Row],[מגדל]],Tower,2,FALSE),".Ap.",Check[[#This Row],[מספר דירה]])</f>
        <v>S.P.4F.TN.Ap.294</v>
      </c>
      <c r="B633" s="13" t="str">
        <f>_xlfn.CONCAT(VLOOKUP(Check[[#This Row],[סטטוס]],Sold,2,FALSE),IF(Check[[#This Row],[סטטוס]]="פנויה",IF(N633="גמר מלא סטנדרט",".GMS",IF(N633="גמר מלא טיוב חומרים",".GMC",IF(N633="גמר מינימלי",".GM",IF(N633="דירת שיווק",".DS","")))),""),IF(M633="זומן לטרום",".ZLT",IF(M633="טרום מסירה",".TM",IF(M633="טרום מסירה מהנדס",".TMM",IF(M633="מסירת חזקה",".MH",IF(M633="מסירת חזקה מהנדס",".MHM",""))))),".",VLOOKUP(Check[[#This Row],[טיפוס]],Tipus[],5,FALSE),".",VLOOKUP(Check[[#This Row],[מגדל]],Tower,2,FALSE),".Ap.",Check[[#This Row],[מספר דירה]])</f>
        <v>S.P.4F.TN.Ap.294</v>
      </c>
      <c r="C633" s="3" t="s">
        <v>56</v>
      </c>
      <c r="D633" s="3">
        <v>41</v>
      </c>
      <c r="E633" s="4">
        <v>294</v>
      </c>
      <c r="F633" s="3">
        <v>4104</v>
      </c>
      <c r="G633" s="5" t="s">
        <v>29</v>
      </c>
      <c r="H633" s="5">
        <f>VLOOKUP(Check[[#This Row],[טיפוס]],Tipus[],2,FALSE)</f>
        <v>4</v>
      </c>
      <c r="I633" s="5" t="str">
        <f>VLOOKUP(Check[[#This Row],[טיפוס]],Tipus[],3,FALSE)</f>
        <v>פרימיום</v>
      </c>
      <c r="J633" s="5" t="str">
        <f>VLOOKUP(Check[[#This Row],[טיפוס]],Tipus[],4,FALSE)</f>
        <v>A (P)</v>
      </c>
      <c r="K633" s="3" t="str">
        <f>IF(Check[[#This Row],[סטטוס2]]="הולד","פנויה",Check[[#This Row],[סטטוס2]])</f>
        <v>מכורה</v>
      </c>
      <c r="L633" s="382" t="s">
        <v>130</v>
      </c>
      <c r="M633" s="382"/>
      <c r="N633" s="383"/>
      <c r="O633" s="383"/>
      <c r="P633" s="411"/>
      <c r="Q633" s="411"/>
      <c r="R633" s="400"/>
      <c r="S633" s="390">
        <v>44327</v>
      </c>
      <c r="T633" s="390" t="s">
        <v>608</v>
      </c>
      <c r="U633" s="387" t="s">
        <v>909</v>
      </c>
      <c r="V633" s="387" t="s">
        <v>910</v>
      </c>
      <c r="W633" s="387"/>
    </row>
    <row r="634" spans="1:23" x14ac:dyDescent="0.2">
      <c r="A634" s="13" t="str">
        <f>_xlfn.CONCAT(VLOOKUP(Check[[#This Row],[סטטוס]],Sold,2,FALSE),IF(Check[[#This Row],[סטטוס]]="פנויה",IF(N634="גמר מלא סטנדרט",".GMS",IF(N634="גמר מלא טיוב חומרים",".GMC",IF(N634="גמר מינימלי",".GM",IF(N634="דירת שיווק",".DS","")))),""),".",VLOOKUP(Check[[#This Row],[טיפוס]],Tipus[],5,FALSE),".",VLOOKUP(Check[[#This Row],[מגדל]],Tower,2,FALSE),".Ap.",Check[[#This Row],[מספר דירה]])</f>
        <v>S.P.5AP.TN.Ap.295</v>
      </c>
      <c r="B634" s="13" t="str">
        <f>_xlfn.CONCAT(VLOOKUP(Check[[#This Row],[סטטוס]],Sold,2,FALSE),IF(Check[[#This Row],[סטטוס]]="פנויה",IF(N634="גמר מלא סטנדרט",".GMS",IF(N634="גמר מלא טיוב חומרים",".GMC",IF(N634="גמר מינימלי",".GM",IF(N634="דירת שיווק",".DS","")))),""),IF(M634="זומן לטרום",".ZLT",IF(M634="טרום מסירה",".TM",IF(M634="טרום מסירה מהנדס",".TMM",IF(M634="מסירת חזקה",".MH",IF(M634="מסירת חזקה מהנדס",".MHM",""))))),".",VLOOKUP(Check[[#This Row],[טיפוס]],Tipus[],5,FALSE),".",VLOOKUP(Check[[#This Row],[מגדל]],Tower,2,FALSE),".Ap.",Check[[#This Row],[מספר דירה]])</f>
        <v>S.P.5AP.TN.Ap.295</v>
      </c>
      <c r="C634" s="3" t="s">
        <v>56</v>
      </c>
      <c r="D634" s="3">
        <v>41</v>
      </c>
      <c r="E634" s="4">
        <v>295</v>
      </c>
      <c r="F634" s="3">
        <v>4103</v>
      </c>
      <c r="G634" s="5" t="s">
        <v>30</v>
      </c>
      <c r="H634" s="5">
        <f>VLOOKUP(Check[[#This Row],[טיפוס]],Tipus[],2,FALSE)</f>
        <v>5</v>
      </c>
      <c r="I634" s="5" t="str">
        <f>VLOOKUP(Check[[#This Row],[טיפוס]],Tipus[],3,FALSE)</f>
        <v>פרימיום</v>
      </c>
      <c r="J634" s="5" t="str">
        <f>VLOOKUP(Check[[#This Row],[טיפוס]],Tipus[],4,FALSE)</f>
        <v>J</v>
      </c>
      <c r="K634" s="3" t="str">
        <f>IF(Check[[#This Row],[סטטוס2]]="הולד","פנויה",Check[[#This Row],[סטטוס2]])</f>
        <v>מכורה</v>
      </c>
      <c r="L634" s="382" t="s">
        <v>130</v>
      </c>
      <c r="M634" s="382"/>
      <c r="N634" s="383"/>
      <c r="O634" s="383"/>
      <c r="P634" s="411"/>
      <c r="Q634" s="411"/>
      <c r="R634" s="400"/>
      <c r="S634" s="390">
        <v>44243</v>
      </c>
      <c r="T634" s="390" t="s">
        <v>911</v>
      </c>
      <c r="U634" s="387" t="s">
        <v>912</v>
      </c>
      <c r="V634" s="387" t="s">
        <v>913</v>
      </c>
      <c r="W634" s="387"/>
    </row>
    <row r="635" spans="1:23" x14ac:dyDescent="0.2">
      <c r="A635" s="13" t="str">
        <f>_xlfn.CONCAT(VLOOKUP(Check[[#This Row],[סטטוס]],Sold,2,FALSE),IF(Check[[#This Row],[סטטוס]]="פנויה",IF(N635="גמר מלא סטנדרט",".GMS",IF(N635="גמר מלא טיוב חומרים",".GMC",IF(N635="גמר מינימלי",".GM",IF(N635="דירת שיווק",".DS","")))),""),".",VLOOKUP(Check[[#This Row],[טיפוס]],Tipus[],5,FALSE),".",VLOOKUP(Check[[#This Row],[מגדל]],Tower,2,FALSE),".Ap.",Check[[#This Row],[מספר דירה]])</f>
        <v>S.P.5BP.TN.Ap.296</v>
      </c>
      <c r="B635" s="13" t="str">
        <f>_xlfn.CONCAT(VLOOKUP(Check[[#This Row],[סטטוס]],Sold,2,FALSE),IF(Check[[#This Row],[סטטוס]]="פנויה",IF(N635="גמר מלא סטנדרט",".GMS",IF(N635="גמר מלא טיוב חומרים",".GMC",IF(N635="גמר מינימלי",".GM",IF(N635="דירת שיווק",".DS","")))),""),IF(M635="זומן לטרום",".ZLT",IF(M635="טרום מסירה",".TM",IF(M635="טרום מסירה מהנדס",".TMM",IF(M635="מסירת חזקה",".MH",IF(M635="מסירת חזקה מהנדס",".MHM",""))))),".",VLOOKUP(Check[[#This Row],[טיפוס]],Tipus[],5,FALSE),".",VLOOKUP(Check[[#This Row],[מגדל]],Tower,2,FALSE),".Ap.",Check[[#This Row],[מספר דירה]])</f>
        <v>S.P.5BP.TN.Ap.296</v>
      </c>
      <c r="C635" s="3" t="s">
        <v>56</v>
      </c>
      <c r="D635" s="3">
        <v>41</v>
      </c>
      <c r="E635" s="4">
        <v>296</v>
      </c>
      <c r="F635" s="3">
        <v>4102</v>
      </c>
      <c r="G635" s="6" t="s">
        <v>31</v>
      </c>
      <c r="H635" s="6">
        <f>VLOOKUP(Check[[#This Row],[טיפוס]],Tipus[],2,FALSE)</f>
        <v>5</v>
      </c>
      <c r="I635" s="6" t="str">
        <f>VLOOKUP(Check[[#This Row],[טיפוס]],Tipus[],3,FALSE)</f>
        <v>פרימיום</v>
      </c>
      <c r="J635" s="6" t="str">
        <f>VLOOKUP(Check[[#This Row],[טיפוס]],Tipus[],4,FALSE)</f>
        <v>H</v>
      </c>
      <c r="K635" s="3" t="str">
        <f>IF(Check[[#This Row],[סטטוס2]]="הולד","פנויה",Check[[#This Row],[סטטוס2]])</f>
        <v>מכורה</v>
      </c>
      <c r="L635" s="382" t="s">
        <v>130</v>
      </c>
      <c r="M635" s="382"/>
      <c r="N635" s="383"/>
      <c r="O635" s="383"/>
      <c r="P635" s="411"/>
      <c r="Q635" s="411"/>
      <c r="R635" s="400"/>
      <c r="S635" s="390">
        <v>44411</v>
      </c>
      <c r="T635" s="390" t="s">
        <v>914</v>
      </c>
      <c r="U635" s="387" t="s">
        <v>915</v>
      </c>
      <c r="V635" s="387" t="s">
        <v>916</v>
      </c>
      <c r="W635" s="387"/>
    </row>
    <row r="636" spans="1:23" x14ac:dyDescent="0.2">
      <c r="A636" s="13" t="str">
        <f>_xlfn.CONCAT(VLOOKUP(Check[[#This Row],[סטטוס]],Sold,2,FALSE),IF(Check[[#This Row],[סטטוס]]="פנויה",IF(N636="גמר מלא סטנדרט",".GMS",IF(N636="גמר מלא טיוב חומרים",".GMC",IF(N636="גמר מינימלי",".GM",IF(N636="דירת שיווק",".DS","")))),""),".",VLOOKUP(Check[[#This Row],[טיפוס]],Tipus[],5,FALSE),".",VLOOKUP(Check[[#This Row],[מגדל]],Tower,2,FALSE),".Ap.",Check[[#This Row],[מספר דירה]])</f>
        <v>V.GMS.P.4D.TN.Ap.297</v>
      </c>
      <c r="B636" s="13" t="str">
        <f>_xlfn.CONCAT(VLOOKUP(Check[[#This Row],[סטטוס]],Sold,2,FALSE),IF(Check[[#This Row],[סטטוס]]="פנויה",IF(N636="גמר מלא סטנדרט",".GMS",IF(N636="גמר מלא טיוב חומרים",".GMC",IF(N636="גמר מינימלי",".GM",IF(N636="דירת שיווק",".DS","")))),""),IF(M636="זומן לטרום",".ZLT",IF(M636="טרום מסירה",".TM",IF(M636="טרום מסירה מהנדס",".TMM",IF(M636="מסירת חזקה",".MH",IF(M636="מסירת חזקה מהנדס",".MHM",""))))),".",VLOOKUP(Check[[#This Row],[טיפוס]],Tipus[],5,FALSE),".",VLOOKUP(Check[[#This Row],[מגדל]],Tower,2,FALSE),".Ap.",Check[[#This Row],[מספר דירה]])</f>
        <v>V.GMS.P.4D.TN.Ap.297</v>
      </c>
      <c r="C636" s="3" t="s">
        <v>56</v>
      </c>
      <c r="D636" s="3">
        <v>42</v>
      </c>
      <c r="E636" s="4">
        <v>297</v>
      </c>
      <c r="F636" s="3">
        <v>4201</v>
      </c>
      <c r="G636" s="5" t="s">
        <v>27</v>
      </c>
      <c r="H636" s="5">
        <f>VLOOKUP(Check[[#This Row],[טיפוס]],Tipus[],2,FALSE)</f>
        <v>4</v>
      </c>
      <c r="I636" s="5" t="str">
        <f>VLOOKUP(Check[[#This Row],[טיפוס]],Tipus[],3,FALSE)</f>
        <v>פרימיום</v>
      </c>
      <c r="J636" s="5" t="str">
        <f>VLOOKUP(Check[[#This Row],[טיפוס]],Tipus[],4,FALSE)</f>
        <v>G (P)</v>
      </c>
      <c r="K636" s="3" t="str">
        <f>IF(Check[[#This Row],[סטטוס2]]="הולד","פנויה",Check[[#This Row],[סטטוס2]])</f>
        <v>פנויה</v>
      </c>
      <c r="L636" s="382" t="s">
        <v>108</v>
      </c>
      <c r="M636" s="382"/>
      <c r="N636" t="s">
        <v>1367</v>
      </c>
      <c r="O636" s="383" t="s">
        <v>1390</v>
      </c>
      <c r="P636" s="410" t="s">
        <v>1389</v>
      </c>
      <c r="Q636" s="410"/>
      <c r="R636" s="400"/>
      <c r="S636" s="390"/>
      <c r="T636" s="390" t="s">
        <v>214</v>
      </c>
      <c r="U636" s="387"/>
      <c r="V636" s="387"/>
      <c r="W636" s="387"/>
    </row>
    <row r="637" spans="1:23" x14ac:dyDescent="0.2">
      <c r="A637" s="13" t="str">
        <f>_xlfn.CONCAT(VLOOKUP(Check[[#This Row],[סטטוס]],Sold,2,FALSE),IF(Check[[#This Row],[סטטוס]]="פנויה",IF(N637="גמר מלא סטנדרט",".GMS",IF(N637="גמר מלא טיוב חומרים",".GMC",IF(N637="גמר מינימלי",".GM",IF(N637="דירת שיווק",".DS","")))),""),".",VLOOKUP(Check[[#This Row],[טיפוס]],Tipus[],5,FALSE),".",VLOOKUP(Check[[#This Row],[מגדל]],Tower,2,FALSE),".Ap.",Check[[#This Row],[מספר דירה]])</f>
        <v>S.P.4E.TN.Ap.298</v>
      </c>
      <c r="B637" s="13" t="str">
        <f>_xlfn.CONCAT(VLOOKUP(Check[[#This Row],[סטטוס]],Sold,2,FALSE),IF(Check[[#This Row],[סטטוס]]="פנויה",IF(N637="גמר מלא סטנדרט",".GMS",IF(N637="גמר מלא טיוב חומרים",".GMC",IF(N637="גמר מינימלי",".GM",IF(N637="דירת שיווק",".DS","")))),""),IF(M637="זומן לטרום",".ZLT",IF(M637="טרום מסירה",".TM",IF(M637="טרום מסירה מהנדס",".TMM",IF(M637="מסירת חזקה",".MH",IF(M637="מסירת חזקה מהנדס",".MHM",""))))),".",VLOOKUP(Check[[#This Row],[טיפוס]],Tipus[],5,FALSE),".",VLOOKUP(Check[[#This Row],[מגדל]],Tower,2,FALSE),".Ap.",Check[[#This Row],[מספר דירה]])</f>
        <v>S.P.4E.TN.Ap.298</v>
      </c>
      <c r="C637" s="3" t="s">
        <v>56</v>
      </c>
      <c r="D637" s="3">
        <v>42</v>
      </c>
      <c r="E637" s="4">
        <v>298</v>
      </c>
      <c r="F637" s="3">
        <v>4205</v>
      </c>
      <c r="G637" s="5" t="s">
        <v>28</v>
      </c>
      <c r="H637" s="5">
        <f>VLOOKUP(Check[[#This Row],[טיפוס]],Tipus[],2,FALSE)</f>
        <v>4</v>
      </c>
      <c r="I637" s="5" t="str">
        <f>VLOOKUP(Check[[#This Row],[טיפוס]],Tipus[],3,FALSE)</f>
        <v>פרימיום</v>
      </c>
      <c r="J637" s="5" t="str">
        <f>VLOOKUP(Check[[#This Row],[טיפוס]],Tipus[],4,FALSE)</f>
        <v>C+D</v>
      </c>
      <c r="K637" s="3" t="str">
        <f>IF(Check[[#This Row],[סטטוס2]]="הולד","פנויה",Check[[#This Row],[סטטוס2]])</f>
        <v>מכורה</v>
      </c>
      <c r="L637" s="382" t="s">
        <v>130</v>
      </c>
      <c r="M637" s="382"/>
      <c r="N637" s="383"/>
      <c r="O637" s="383"/>
      <c r="P637" s="411"/>
      <c r="Q637" s="411"/>
      <c r="R637" s="400"/>
      <c r="S637" s="390">
        <v>44243</v>
      </c>
      <c r="T637" s="390" t="s">
        <v>917</v>
      </c>
      <c r="U637" s="387" t="s">
        <v>918</v>
      </c>
      <c r="V637" s="387" t="s">
        <v>919</v>
      </c>
      <c r="W637" s="387"/>
    </row>
    <row r="638" spans="1:23" x14ac:dyDescent="0.2">
      <c r="A638" s="13" t="str">
        <f>_xlfn.CONCAT(VLOOKUP(Check[[#This Row],[סטטוס]],Sold,2,FALSE),IF(Check[[#This Row],[סטטוס]]="פנויה",IF(N638="גמר מלא סטנדרט",".GMS",IF(N638="גמר מלא טיוב חומרים",".GMC",IF(N638="גמר מינימלי",".GM",IF(N638="דירת שיווק",".DS","")))),""),".",VLOOKUP(Check[[#This Row],[טיפוס]],Tipus[],5,FALSE),".",VLOOKUP(Check[[#This Row],[מגדל]],Tower,2,FALSE),".Ap.",Check[[#This Row],[מספר דירה]])</f>
        <v>O.P.4F.TN.Ap.299</v>
      </c>
      <c r="B638" s="13" t="str">
        <f>_xlfn.CONCAT(VLOOKUP(Check[[#This Row],[סטטוס]],Sold,2,FALSE),IF(Check[[#This Row],[סטטוס]]="פנויה",IF(N638="גמר מלא סטנדרט",".GMS",IF(N638="גמר מלא טיוב חומרים",".GMC",IF(N638="גמר מינימלי",".GM",IF(N638="דירת שיווק",".DS","")))),""),IF(M638="זומן לטרום",".ZLT",IF(M638="טרום מסירה",".TM",IF(M638="טרום מסירה מהנדס",".TMM",IF(M638="מסירת חזקה",".MH",IF(M638="מסירת חזקה מהנדס",".MHM",""))))),".",VLOOKUP(Check[[#This Row],[טיפוס]],Tipus[],5,FALSE),".",VLOOKUP(Check[[#This Row],[מגדל]],Tower,2,FALSE),".Ap.",Check[[#This Row],[מספר דירה]])</f>
        <v>O.P.4F.TN.Ap.299</v>
      </c>
      <c r="C638" s="3" t="s">
        <v>56</v>
      </c>
      <c r="D638" s="3">
        <v>42</v>
      </c>
      <c r="E638" s="4">
        <v>299</v>
      </c>
      <c r="F638" s="3">
        <v>4204</v>
      </c>
      <c r="G638" s="5" t="s">
        <v>29</v>
      </c>
      <c r="H638" s="5">
        <f>VLOOKUP(Check[[#This Row],[טיפוס]],Tipus[],2,FALSE)</f>
        <v>4</v>
      </c>
      <c r="I638" s="5" t="str">
        <f>VLOOKUP(Check[[#This Row],[טיפוס]],Tipus[],3,FALSE)</f>
        <v>פרימיום</v>
      </c>
      <c r="J638" s="5" t="str">
        <f>VLOOKUP(Check[[#This Row],[טיפוס]],Tipus[],4,FALSE)</f>
        <v>A (P)</v>
      </c>
      <c r="K638" s="3" t="str">
        <f>IF(Check[[#This Row],[סטטוס2]]="הולד","פנויה",Check[[#This Row],[סטטוס2]])</f>
        <v>בעלים</v>
      </c>
      <c r="L638" s="382" t="s">
        <v>91</v>
      </c>
      <c r="M638" s="382"/>
      <c r="N638" s="383"/>
      <c r="O638" s="383"/>
      <c r="P638" s="411"/>
      <c r="Q638" s="411"/>
      <c r="R638" s="400"/>
      <c r="S638" s="390">
        <v>44040</v>
      </c>
      <c r="T638" s="390" t="s">
        <v>330</v>
      </c>
      <c r="U638" s="387" t="s">
        <v>331</v>
      </c>
      <c r="V638" s="387" t="s">
        <v>332</v>
      </c>
      <c r="W638" s="387" t="s">
        <v>333</v>
      </c>
    </row>
    <row r="639" spans="1:23" x14ac:dyDescent="0.2">
      <c r="A639" s="13" t="str">
        <f>_xlfn.CONCAT(VLOOKUP(Check[[#This Row],[סטטוס]],Sold,2,FALSE),IF(Check[[#This Row],[סטטוס]]="פנויה",IF(N639="גמר מלא סטנדרט",".GMS",IF(N639="גמר מלא טיוב חומרים",".GMC",IF(N639="גמר מינימלי",".GM",IF(N639="דירת שיווק",".DS","")))),""),".",VLOOKUP(Check[[#This Row],[טיפוס]],Tipus[],5,FALSE),".",VLOOKUP(Check[[#This Row],[מגדל]],Tower,2,FALSE),".Ap.",Check[[#This Row],[מספר דירה]])</f>
        <v>O.P.5AP.TN.Ap.300</v>
      </c>
      <c r="B639" s="13" t="str">
        <f>_xlfn.CONCAT(VLOOKUP(Check[[#This Row],[סטטוס]],Sold,2,FALSE),IF(Check[[#This Row],[סטטוס]]="פנויה",IF(N639="גמר מלא סטנדרט",".GMS",IF(N639="גמר מלא טיוב חומרים",".GMC",IF(N639="גמר מינימלי",".GM",IF(N639="דירת שיווק",".DS","")))),""),IF(M639="זומן לטרום",".ZLT",IF(M639="טרום מסירה",".TM",IF(M639="טרום מסירה מהנדס",".TMM",IF(M639="מסירת חזקה",".MH",IF(M639="מסירת חזקה מהנדס",".MHM",""))))),".",VLOOKUP(Check[[#This Row],[טיפוס]],Tipus[],5,FALSE),".",VLOOKUP(Check[[#This Row],[מגדל]],Tower,2,FALSE),".Ap.",Check[[#This Row],[מספר דירה]])</f>
        <v>O.P.5AP.TN.Ap.300</v>
      </c>
      <c r="C639" s="3" t="s">
        <v>56</v>
      </c>
      <c r="D639" s="3">
        <v>42</v>
      </c>
      <c r="E639" s="4">
        <v>300</v>
      </c>
      <c r="F639" s="3">
        <v>4203</v>
      </c>
      <c r="G639" s="5" t="s">
        <v>30</v>
      </c>
      <c r="H639" s="5">
        <f>VLOOKUP(Check[[#This Row],[טיפוס]],Tipus[],2,FALSE)</f>
        <v>5</v>
      </c>
      <c r="I639" s="5" t="str">
        <f>VLOOKUP(Check[[#This Row],[טיפוס]],Tipus[],3,FALSE)</f>
        <v>פרימיום</v>
      </c>
      <c r="J639" s="5" t="str">
        <f>VLOOKUP(Check[[#This Row],[טיפוס]],Tipus[],4,FALSE)</f>
        <v>J</v>
      </c>
      <c r="K639" s="3" t="str">
        <f>IF(Check[[#This Row],[סטטוס2]]="הולד","פנויה",Check[[#This Row],[סטטוס2]])</f>
        <v>בעלים</v>
      </c>
      <c r="L639" s="382" t="s">
        <v>91</v>
      </c>
      <c r="M639" s="382"/>
      <c r="N639" s="383"/>
      <c r="O639" s="383"/>
      <c r="P639" s="411"/>
      <c r="Q639" s="411"/>
      <c r="R639" s="400"/>
      <c r="S639" s="390">
        <v>44040</v>
      </c>
      <c r="T639" s="390" t="s">
        <v>251</v>
      </c>
      <c r="U639" s="387" t="s">
        <v>334</v>
      </c>
      <c r="V639" s="387" t="s">
        <v>335</v>
      </c>
      <c r="W639" s="387" t="s">
        <v>214</v>
      </c>
    </row>
    <row r="640" spans="1:23" ht="141.75" x14ac:dyDescent="0.2">
      <c r="A640" s="13" t="str">
        <f>_xlfn.CONCAT(VLOOKUP(Check[[#This Row],[סטטוס]],Sold,2,FALSE),IF(Check[[#This Row],[סטטוס]]="פנויה",IF(N640="גמר מלא סטנדרט",".GMS",IF(N640="גמר מלא טיוב חומרים",".GMC",IF(N640="גמר מינימלי",".GM",IF(N640="דירת שיווק",".DS","")))),""),".",VLOOKUP(Check[[#This Row],[טיפוס]],Tipus[],5,FALSE),".",VLOOKUP(Check[[#This Row],[מגדל]],Tower,2,FALSE),".Ap.",Check[[#This Row],[מספר דירה]])</f>
        <v>V.GMC.P.5BP.TN.Ap.301</v>
      </c>
      <c r="B640" s="13" t="str">
        <f>_xlfn.CONCAT(VLOOKUP(Check[[#This Row],[סטטוס]],Sold,2,FALSE),IF(Check[[#This Row],[סטטוס]]="פנויה",IF(N640="גמר מלא סטנדרט",".GMS",IF(N640="גמר מלא טיוב חומרים",".GMC",IF(N640="גמר מינימלי",".GM",IF(N640="דירת שיווק",".DS","")))),""),IF(M640="זומן לטרום",".ZLT",IF(M640="טרום מסירה",".TM",IF(M640="טרום מסירה מהנדס",".TMM",IF(M640="מסירת חזקה",".MH",IF(M640="מסירת חזקה מהנדס",".MHM",""))))),".",VLOOKUP(Check[[#This Row],[טיפוס]],Tipus[],5,FALSE),".",VLOOKUP(Check[[#This Row],[מגדל]],Tower,2,FALSE),".Ap.",Check[[#This Row],[מספר דירה]])</f>
        <v>V.GMC.P.5BP.TN.Ap.301</v>
      </c>
      <c r="C640" s="3" t="s">
        <v>56</v>
      </c>
      <c r="D640" s="3">
        <v>42</v>
      </c>
      <c r="E640" s="4">
        <v>301</v>
      </c>
      <c r="F640" s="3">
        <v>4202</v>
      </c>
      <c r="G640" s="6" t="s">
        <v>31</v>
      </c>
      <c r="H640" s="6">
        <f>VLOOKUP(Check[[#This Row],[טיפוס]],Tipus[],2,FALSE)</f>
        <v>5</v>
      </c>
      <c r="I640" s="6" t="str">
        <f>VLOOKUP(Check[[#This Row],[טיפוס]],Tipus[],3,FALSE)</f>
        <v>פרימיום</v>
      </c>
      <c r="J640" s="6" t="str">
        <f>VLOOKUP(Check[[#This Row],[טיפוס]],Tipus[],4,FALSE)</f>
        <v>H</v>
      </c>
      <c r="K640" s="3" t="str">
        <f>IF(Check[[#This Row],[סטטוס2]]="הולד","פנויה",Check[[#This Row],[סטטוס2]])</f>
        <v>פנויה</v>
      </c>
      <c r="L640" s="382" t="s">
        <v>108</v>
      </c>
      <c r="M640" s="382"/>
      <c r="N640" t="s">
        <v>1417</v>
      </c>
      <c r="O640" s="404" t="s">
        <v>1398</v>
      </c>
      <c r="P640" s="415" t="s">
        <v>1386</v>
      </c>
      <c r="Q640" s="423" t="s">
        <v>1397</v>
      </c>
      <c r="R640" s="399"/>
      <c r="S640" s="390"/>
      <c r="T640" s="390" t="s">
        <v>214</v>
      </c>
      <c r="U640" s="387"/>
      <c r="V640" s="387"/>
      <c r="W640" s="387"/>
    </row>
    <row r="641" spans="1:23" ht="78.75" x14ac:dyDescent="0.2">
      <c r="A641" s="13" t="str">
        <f>_xlfn.CONCAT(VLOOKUP(Check[[#This Row],[סטטוס]],Sold,2,FALSE),IF(Check[[#This Row],[סטטוס]]="פנויה",IF(N641="גמר מלא סטנדרט",".GMS",IF(N641="גמר מלא טיוב חומרים",".GMC",IF(N641="גמר מינימלי",".GM",IF(N641="דירת שיווק",".DS","")))),""),".",VLOOKUP(Check[[#This Row],[טיפוס]],Tipus[],5,FALSE),".",VLOOKUP(Check[[#This Row],[מגדל]],Tower,2,FALSE),".Ap.",Check[[#This Row],[מספר דירה]])</f>
        <v>V.GMS.P.4D.TN.Ap.302</v>
      </c>
      <c r="B641" s="13" t="str">
        <f>_xlfn.CONCAT(VLOOKUP(Check[[#This Row],[סטטוס]],Sold,2,FALSE),IF(Check[[#This Row],[סטטוס]]="פנויה",IF(N641="גמר מלא סטנדרט",".GMS",IF(N641="גמר מלא טיוב חומרים",".GMC",IF(N641="גמר מינימלי",".GM",IF(N641="דירת שיווק",".DS","")))),""),IF(M641="זומן לטרום",".ZLT",IF(M641="טרום מסירה",".TM",IF(M641="טרום מסירה מהנדס",".TMM",IF(M641="מסירת חזקה",".MH",IF(M641="מסירת חזקה מהנדס",".MHM",""))))),".",VLOOKUP(Check[[#This Row],[טיפוס]],Tipus[],5,FALSE),".",VLOOKUP(Check[[#This Row],[מגדל]],Tower,2,FALSE),".Ap.",Check[[#This Row],[מספר דירה]])</f>
        <v>V.GMS.P.4D.TN.Ap.302</v>
      </c>
      <c r="C641" s="3" t="s">
        <v>56</v>
      </c>
      <c r="D641" s="3">
        <v>43</v>
      </c>
      <c r="E641" s="4">
        <v>302</v>
      </c>
      <c r="F641" s="3">
        <v>4301</v>
      </c>
      <c r="G641" s="5" t="s">
        <v>27</v>
      </c>
      <c r="H641" s="5">
        <f>VLOOKUP(Check[[#This Row],[טיפוס]],Tipus[],2,FALSE)</f>
        <v>4</v>
      </c>
      <c r="I641" s="5" t="str">
        <f>VLOOKUP(Check[[#This Row],[טיפוס]],Tipus[],3,FALSE)</f>
        <v>פרימיום</v>
      </c>
      <c r="J641" s="5" t="str">
        <f>VLOOKUP(Check[[#This Row],[טיפוס]],Tipus[],4,FALSE)</f>
        <v>G (P)</v>
      </c>
      <c r="K641" s="3" t="str">
        <f>IF(Check[[#This Row],[סטטוס2]]="הולד","פנויה",Check[[#This Row],[סטטוס2]])</f>
        <v>פנויה</v>
      </c>
      <c r="L641" s="382" t="s">
        <v>108</v>
      </c>
      <c r="M641" s="382"/>
      <c r="N641" t="s">
        <v>1367</v>
      </c>
      <c r="O641" s="404" t="s">
        <v>1411</v>
      </c>
      <c r="P641" s="410" t="s">
        <v>1385</v>
      </c>
      <c r="Q641" s="410" t="s">
        <v>1412</v>
      </c>
      <c r="R641" s="399"/>
      <c r="S641" s="390"/>
      <c r="T641" s="390" t="s">
        <v>214</v>
      </c>
      <c r="U641" s="387"/>
      <c r="V641" s="387"/>
      <c r="W641" s="387"/>
    </row>
    <row r="642" spans="1:23" x14ac:dyDescent="0.2">
      <c r="A642" s="13" t="str">
        <f>_xlfn.CONCAT(VLOOKUP(Check[[#This Row],[סטטוס]],Sold,2,FALSE),IF(Check[[#This Row],[סטטוס]]="פנויה",IF(N642="גמר מלא סטנדרט",".GMS",IF(N642="גמר מלא טיוב חומרים",".GMC",IF(N642="גמר מינימלי",".GM",IF(N642="דירת שיווק",".DS","")))),""),".",VLOOKUP(Check[[#This Row],[טיפוס]],Tipus[],5,FALSE),".",VLOOKUP(Check[[#This Row],[מגדל]],Tower,2,FALSE),".Ap.",Check[[#This Row],[מספר דירה]])</f>
        <v>O.P.4E.TN.Ap.303</v>
      </c>
      <c r="B642" s="13" t="str">
        <f>_xlfn.CONCAT(VLOOKUP(Check[[#This Row],[סטטוס]],Sold,2,FALSE),IF(Check[[#This Row],[סטטוס]]="פנויה",IF(N642="גמר מלא סטנדרט",".GMS",IF(N642="גמר מלא טיוב חומרים",".GMC",IF(N642="גמר מינימלי",".GM",IF(N642="דירת שיווק",".DS","")))),""),IF(M642="זומן לטרום",".ZLT",IF(M642="טרום מסירה",".TM",IF(M642="טרום מסירה מהנדס",".TMM",IF(M642="מסירת חזקה",".MH",IF(M642="מסירת חזקה מהנדס",".MHM",""))))),".",VLOOKUP(Check[[#This Row],[טיפוס]],Tipus[],5,FALSE),".",VLOOKUP(Check[[#This Row],[מגדל]],Tower,2,FALSE),".Ap.",Check[[#This Row],[מספר דירה]])</f>
        <v>O.P.4E.TN.Ap.303</v>
      </c>
      <c r="C642" s="3" t="s">
        <v>56</v>
      </c>
      <c r="D642" s="3">
        <v>43</v>
      </c>
      <c r="E642" s="4">
        <v>303</v>
      </c>
      <c r="F642" s="3">
        <v>4305</v>
      </c>
      <c r="G642" s="5" t="s">
        <v>28</v>
      </c>
      <c r="H642" s="5">
        <f>VLOOKUP(Check[[#This Row],[טיפוס]],Tipus[],2,FALSE)</f>
        <v>4</v>
      </c>
      <c r="I642" s="5" t="str">
        <f>VLOOKUP(Check[[#This Row],[טיפוס]],Tipus[],3,FALSE)</f>
        <v>פרימיום</v>
      </c>
      <c r="J642" s="5" t="str">
        <f>VLOOKUP(Check[[#This Row],[טיפוס]],Tipus[],4,FALSE)</f>
        <v>C+D</v>
      </c>
      <c r="K642" s="3" t="str">
        <f>IF(Check[[#This Row],[סטטוס2]]="הולד","פנויה",Check[[#This Row],[סטטוס2]])</f>
        <v>בעלים</v>
      </c>
      <c r="L642" s="382" t="s">
        <v>91</v>
      </c>
      <c r="M642" s="382"/>
      <c r="N642" s="383"/>
      <c r="O642" s="383"/>
      <c r="P642" s="411"/>
      <c r="Q642" s="411"/>
      <c r="R642" s="400"/>
      <c r="S642" s="390">
        <v>44040</v>
      </c>
      <c r="T642" s="390" t="s">
        <v>1363</v>
      </c>
      <c r="U642" s="387" t="s">
        <v>336</v>
      </c>
      <c r="V642" s="387" t="s">
        <v>337</v>
      </c>
      <c r="W642" s="387" t="s">
        <v>338</v>
      </c>
    </row>
    <row r="643" spans="1:23" x14ac:dyDescent="0.2">
      <c r="A643" s="13" t="str">
        <f>_xlfn.CONCAT(VLOOKUP(Check[[#This Row],[סטטוס]],Sold,2,FALSE),IF(Check[[#This Row],[סטטוס]]="פנויה",IF(N643="גמר מלא סטנדרט",".GMS",IF(N643="גמר מלא טיוב חומרים",".GMC",IF(N643="גמר מינימלי",".GM",IF(N643="דירת שיווק",".DS","")))),""),".",VLOOKUP(Check[[#This Row],[טיפוס]],Tipus[],5,FALSE),".",VLOOKUP(Check[[#This Row],[מגדל]],Tower,2,FALSE),".Ap.",Check[[#This Row],[מספר דירה]])</f>
        <v>O.P.4F.TN.Ap.304</v>
      </c>
      <c r="B643" s="13" t="str">
        <f>_xlfn.CONCAT(VLOOKUP(Check[[#This Row],[סטטוס]],Sold,2,FALSE),IF(Check[[#This Row],[סטטוס]]="פנויה",IF(N643="גמר מלא סטנדרט",".GMS",IF(N643="גמר מלא טיוב חומרים",".GMC",IF(N643="גמר מינימלי",".GM",IF(N643="דירת שיווק",".DS","")))),""),IF(M643="זומן לטרום",".ZLT",IF(M643="טרום מסירה",".TM",IF(M643="טרום מסירה מהנדס",".TMM",IF(M643="מסירת חזקה",".MH",IF(M643="מסירת חזקה מהנדס",".MHM",""))))),".",VLOOKUP(Check[[#This Row],[טיפוס]],Tipus[],5,FALSE),".",VLOOKUP(Check[[#This Row],[מגדל]],Tower,2,FALSE),".Ap.",Check[[#This Row],[מספר דירה]])</f>
        <v>O.P.4F.TN.Ap.304</v>
      </c>
      <c r="C643" s="3" t="s">
        <v>56</v>
      </c>
      <c r="D643" s="3">
        <v>43</v>
      </c>
      <c r="E643" s="4">
        <v>304</v>
      </c>
      <c r="F643" s="3">
        <v>4304</v>
      </c>
      <c r="G643" s="5" t="s">
        <v>29</v>
      </c>
      <c r="H643" s="5">
        <f>VLOOKUP(Check[[#This Row],[טיפוס]],Tipus[],2,FALSE)</f>
        <v>4</v>
      </c>
      <c r="I643" s="5" t="str">
        <f>VLOOKUP(Check[[#This Row],[טיפוס]],Tipus[],3,FALSE)</f>
        <v>פרימיום</v>
      </c>
      <c r="J643" s="5" t="str">
        <f>VLOOKUP(Check[[#This Row],[טיפוס]],Tipus[],4,FALSE)</f>
        <v>A (P)</v>
      </c>
      <c r="K643" s="3" t="str">
        <f>IF(Check[[#This Row],[סטטוס2]]="הולד","פנויה",Check[[#This Row],[סטטוס2]])</f>
        <v>בעלים</v>
      </c>
      <c r="L643" s="382" t="s">
        <v>91</v>
      </c>
      <c r="M643" s="382"/>
      <c r="N643" s="383"/>
      <c r="O643" s="383"/>
      <c r="P643" s="411"/>
      <c r="Q643" s="411"/>
      <c r="R643" s="383"/>
      <c r="S643" s="390">
        <v>44040</v>
      </c>
      <c r="T643" s="390" t="s">
        <v>339</v>
      </c>
      <c r="U643" s="387" t="s">
        <v>340</v>
      </c>
      <c r="V643" s="387" t="s">
        <v>341</v>
      </c>
      <c r="W643" s="387"/>
    </row>
    <row r="644" spans="1:23" x14ac:dyDescent="0.2">
      <c r="A644" s="13" t="str">
        <f>_xlfn.CONCAT(VLOOKUP(Check[[#This Row],[סטטוס]],Sold,2,FALSE),IF(Check[[#This Row],[סטטוס]]="פנויה",IF(N644="גמר מלא סטנדרט",".GMS",IF(N644="גמר מלא טיוב חומרים",".GMC",IF(N644="גמר מינימלי",".GM",IF(N644="דירת שיווק",".DS","")))),""),".",VLOOKUP(Check[[#This Row],[טיפוס]],Tipus[],5,FALSE),".",VLOOKUP(Check[[#This Row],[מגדל]],Tower,2,FALSE),".Ap.",Check[[#This Row],[מספר דירה]])</f>
        <v>S.P.5AP.TN.Ap.305</v>
      </c>
      <c r="B644" s="13" t="str">
        <f>_xlfn.CONCAT(VLOOKUP(Check[[#This Row],[סטטוס]],Sold,2,FALSE),IF(Check[[#This Row],[סטטוס]]="פנויה",IF(N644="גמר מלא סטנדרט",".GMS",IF(N644="גמר מלא טיוב חומרים",".GMC",IF(N644="גמר מינימלי",".GM",IF(N644="דירת שיווק",".DS","")))),""),IF(M644="זומן לטרום",".ZLT",IF(M644="טרום מסירה",".TM",IF(M644="טרום מסירה מהנדס",".TMM",IF(M644="מסירת חזקה",".MH",IF(M644="מסירת חזקה מהנדס",".MHM",""))))),".",VLOOKUP(Check[[#This Row],[טיפוס]],Tipus[],5,FALSE),".",VLOOKUP(Check[[#This Row],[מגדל]],Tower,2,FALSE),".Ap.",Check[[#This Row],[מספר דירה]])</f>
        <v>S.P.5AP.TN.Ap.305</v>
      </c>
      <c r="C644" s="3" t="s">
        <v>56</v>
      </c>
      <c r="D644" s="3">
        <v>43</v>
      </c>
      <c r="E644" s="4">
        <v>305</v>
      </c>
      <c r="F644" s="3">
        <v>4303</v>
      </c>
      <c r="G644" s="5" t="s">
        <v>30</v>
      </c>
      <c r="H644" s="5">
        <f>VLOOKUP(Check[[#This Row],[טיפוס]],Tipus[],2,FALSE)</f>
        <v>5</v>
      </c>
      <c r="I644" s="5" t="str">
        <f>VLOOKUP(Check[[#This Row],[טיפוס]],Tipus[],3,FALSE)</f>
        <v>פרימיום</v>
      </c>
      <c r="J644" s="5" t="str">
        <f>VLOOKUP(Check[[#This Row],[טיפוס]],Tipus[],4,FALSE)</f>
        <v>J</v>
      </c>
      <c r="K644" s="3" t="str">
        <f>IF(Check[[#This Row],[סטטוס2]]="הולד","פנויה",Check[[#This Row],[סטטוס2]])</f>
        <v>מכורה</v>
      </c>
      <c r="L644" s="382" t="s">
        <v>130</v>
      </c>
      <c r="M644" s="382"/>
      <c r="N644" s="383"/>
      <c r="O644" s="383"/>
      <c r="P644" s="411"/>
      <c r="Q644" s="411"/>
      <c r="R644" s="383"/>
      <c r="S644" s="390">
        <v>44347</v>
      </c>
      <c r="T644" s="390" t="s">
        <v>920</v>
      </c>
      <c r="U644" s="387" t="s">
        <v>921</v>
      </c>
      <c r="V644" s="387" t="s">
        <v>922</v>
      </c>
      <c r="W644" s="387"/>
    </row>
    <row r="645" spans="1:23" x14ac:dyDescent="0.2">
      <c r="A645" s="13" t="str">
        <f>_xlfn.CONCAT(VLOOKUP(Check[[#This Row],[סטטוס]],Sold,2,FALSE),IF(Check[[#This Row],[סטטוס]]="פנויה",IF(N645="גמר מלא סטנדרט",".GMS",IF(N645="גמר מלא טיוב חומרים",".GMC",IF(N645="גמר מינימלי",".GM",IF(N645="דירת שיווק",".DS","")))),""),".",VLOOKUP(Check[[#This Row],[טיפוס]],Tipus[],5,FALSE),".",VLOOKUP(Check[[#This Row],[מגדל]],Tower,2,FALSE),".Ap.",Check[[#This Row],[מספר דירה]])</f>
        <v>S.P.5BP.TN.Ap.306</v>
      </c>
      <c r="B645" s="13" t="str">
        <f>_xlfn.CONCAT(VLOOKUP(Check[[#This Row],[סטטוס]],Sold,2,FALSE),IF(Check[[#This Row],[סטטוס]]="פנויה",IF(N645="גמר מלא סטנדרט",".GMS",IF(N645="גמר מלא טיוב חומרים",".GMC",IF(N645="גמר מינימלי",".GM",IF(N645="דירת שיווק",".DS","")))),""),IF(M645="זומן לטרום",".ZLT",IF(M645="טרום מסירה",".TM",IF(M645="טרום מסירה מהנדס",".TMM",IF(M645="מסירת חזקה",".MH",IF(M645="מסירת חזקה מהנדס",".MHM",""))))),".",VLOOKUP(Check[[#This Row],[טיפוס]],Tipus[],5,FALSE),".",VLOOKUP(Check[[#This Row],[מגדל]],Tower,2,FALSE),".Ap.",Check[[#This Row],[מספר דירה]])</f>
        <v>S.P.5BP.TN.Ap.306</v>
      </c>
      <c r="C645" s="3" t="s">
        <v>56</v>
      </c>
      <c r="D645" s="3">
        <v>43</v>
      </c>
      <c r="E645" s="4">
        <v>306</v>
      </c>
      <c r="F645" s="3">
        <v>4302</v>
      </c>
      <c r="G645" s="6" t="s">
        <v>31</v>
      </c>
      <c r="H645" s="6">
        <f>VLOOKUP(Check[[#This Row],[טיפוס]],Tipus[],2,FALSE)</f>
        <v>5</v>
      </c>
      <c r="I645" s="6" t="str">
        <f>VLOOKUP(Check[[#This Row],[טיפוס]],Tipus[],3,FALSE)</f>
        <v>פרימיום</v>
      </c>
      <c r="J645" s="6" t="str">
        <f>VLOOKUP(Check[[#This Row],[טיפוס]],Tipus[],4,FALSE)</f>
        <v>H</v>
      </c>
      <c r="K645" s="3" t="str">
        <f>IF(Check[[#This Row],[סטטוס2]]="הולד","פנויה",Check[[#This Row],[סטטוס2]])</f>
        <v>מכורה</v>
      </c>
      <c r="L645" s="382" t="s">
        <v>130</v>
      </c>
      <c r="M645" s="382"/>
      <c r="N645" s="383"/>
      <c r="O645" s="383"/>
      <c r="P645" s="411"/>
      <c r="Q645" s="411"/>
      <c r="R645" s="383"/>
      <c r="S645" s="390">
        <v>44923</v>
      </c>
      <c r="T645" s="390" t="s">
        <v>920</v>
      </c>
      <c r="U645" s="387" t="s">
        <v>923</v>
      </c>
      <c r="V645" s="387" t="s">
        <v>924</v>
      </c>
      <c r="W645" s="387"/>
    </row>
    <row r="646" spans="1:23" x14ac:dyDescent="0.2">
      <c r="A646" s="13" t="str">
        <f>_xlfn.CONCAT(VLOOKUP(Check[[#This Row],[סטטוס]],Sold,2,FALSE),IF(Check[[#This Row],[סטטוס]]="פנויה",IF(N646="גמר מלא סטנדרט",".GMS",IF(N646="גמר מלא טיוב חומרים",".GMC",IF(N646="גמר מינימלי",".GM",IF(N646="דירת שיווק",".DS","")))),""),".",VLOOKUP(Check[[#This Row],[טיפוס]],Tipus[],5,FALSE),".",VLOOKUP(Check[[#This Row],[מגדל]],Tower,2,FALSE),".Ap.",Check[[#This Row],[מספר דירה]])</f>
        <v>O.P.4D.TN.Ap.307</v>
      </c>
      <c r="B646" s="13" t="str">
        <f>_xlfn.CONCAT(VLOOKUP(Check[[#This Row],[סטטוס]],Sold,2,FALSE),IF(Check[[#This Row],[סטטוס]]="פנויה",IF(N646="גמר מלא סטנדרט",".GMS",IF(N646="גמר מלא טיוב חומרים",".GMC",IF(N646="גמר מינימלי",".GM",IF(N646="דירת שיווק",".DS","")))),""),IF(M646="זומן לטרום",".ZLT",IF(M646="טרום מסירה",".TM",IF(M646="טרום מסירה מהנדס",".TMM",IF(M646="מסירת חזקה",".MH",IF(M646="מסירת חזקה מהנדס",".MHM",""))))),".",VLOOKUP(Check[[#This Row],[טיפוס]],Tipus[],5,FALSE),".",VLOOKUP(Check[[#This Row],[מגדל]],Tower,2,FALSE),".Ap.",Check[[#This Row],[מספר דירה]])</f>
        <v>O.P.4D.TN.Ap.307</v>
      </c>
      <c r="C646" s="3" t="s">
        <v>56</v>
      </c>
      <c r="D646" s="3">
        <v>44</v>
      </c>
      <c r="E646" s="4">
        <v>307</v>
      </c>
      <c r="F646" s="3">
        <v>4401</v>
      </c>
      <c r="G646" s="5" t="s">
        <v>27</v>
      </c>
      <c r="H646" s="5">
        <f>VLOOKUP(Check[[#This Row],[טיפוס]],Tipus[],2,FALSE)</f>
        <v>4</v>
      </c>
      <c r="I646" s="5" t="str">
        <f>VLOOKUP(Check[[#This Row],[טיפוס]],Tipus[],3,FALSE)</f>
        <v>פרימיום</v>
      </c>
      <c r="J646" s="5" t="str">
        <f>VLOOKUP(Check[[#This Row],[טיפוס]],Tipus[],4,FALSE)</f>
        <v>G (P)</v>
      </c>
      <c r="K646" s="3" t="str">
        <f>IF(Check[[#This Row],[סטטוס2]]="הולד","פנויה",Check[[#This Row],[סטטוס2]])</f>
        <v>בעלים</v>
      </c>
      <c r="L646" s="382" t="s">
        <v>91</v>
      </c>
      <c r="M646" s="382"/>
      <c r="N646" s="383"/>
      <c r="O646" s="383"/>
      <c r="P646" s="411"/>
      <c r="Q646" s="411"/>
      <c r="R646" s="383"/>
      <c r="S646" s="390">
        <v>44040</v>
      </c>
      <c r="T646" s="390" t="s">
        <v>251</v>
      </c>
      <c r="U646" s="387" t="s">
        <v>342</v>
      </c>
      <c r="V646" s="387" t="s">
        <v>343</v>
      </c>
      <c r="W646" s="387" t="s">
        <v>214</v>
      </c>
    </row>
    <row r="647" spans="1:23" x14ac:dyDescent="0.2">
      <c r="A647" s="13" t="str">
        <f>_xlfn.CONCAT(VLOOKUP(Check[[#This Row],[סטטוס]],Sold,2,FALSE),IF(Check[[#This Row],[סטטוס]]="פנויה",IF(N647="גמר מלא סטנדרט",".GMS",IF(N647="גמר מלא טיוב חומרים",".GMC",IF(N647="גמר מינימלי",".GM",IF(N647="דירת שיווק",".DS","")))),""),".",VLOOKUP(Check[[#This Row],[טיפוס]],Tipus[],5,FALSE),".",VLOOKUP(Check[[#This Row],[מגדל]],Tower,2,FALSE),".Ap.",Check[[#This Row],[מספר דירה]])</f>
        <v>S.P.4E.TN.Ap.308</v>
      </c>
      <c r="B647" s="13" t="str">
        <f>_xlfn.CONCAT(VLOOKUP(Check[[#This Row],[סטטוס]],Sold,2,FALSE),IF(Check[[#This Row],[סטטוס]]="פנויה",IF(N647="גמר מלא סטנדרט",".GMS",IF(N647="גמר מלא טיוב חומרים",".GMC",IF(N647="גמר מינימלי",".GM",IF(N647="דירת שיווק",".DS","")))),""),IF(M647="זומן לטרום",".ZLT",IF(M647="טרום מסירה",".TM",IF(M647="טרום מסירה מהנדס",".TMM",IF(M647="מסירת חזקה",".MH",IF(M647="מסירת חזקה מהנדס",".MHM",""))))),".",VLOOKUP(Check[[#This Row],[טיפוס]],Tipus[],5,FALSE),".",VLOOKUP(Check[[#This Row],[מגדל]],Tower,2,FALSE),".Ap.",Check[[#This Row],[מספר דירה]])</f>
        <v>S.P.4E.TN.Ap.308</v>
      </c>
      <c r="C647" s="3" t="s">
        <v>56</v>
      </c>
      <c r="D647" s="3">
        <v>44</v>
      </c>
      <c r="E647" s="4">
        <v>308</v>
      </c>
      <c r="F647" s="3">
        <v>4405</v>
      </c>
      <c r="G647" s="5" t="s">
        <v>28</v>
      </c>
      <c r="H647" s="5">
        <f>VLOOKUP(Check[[#This Row],[טיפוס]],Tipus[],2,FALSE)</f>
        <v>4</v>
      </c>
      <c r="I647" s="5" t="str">
        <f>VLOOKUP(Check[[#This Row],[טיפוס]],Tipus[],3,FALSE)</f>
        <v>פרימיום</v>
      </c>
      <c r="J647" s="5" t="str">
        <f>VLOOKUP(Check[[#This Row],[טיפוס]],Tipus[],4,FALSE)</f>
        <v>C+D</v>
      </c>
      <c r="K647" s="3" t="str">
        <f>IF(Check[[#This Row],[סטטוס2]]="הולד","פנויה",Check[[#This Row],[סטטוס2]])</f>
        <v>מכורה</v>
      </c>
      <c r="L647" s="382" t="s">
        <v>130</v>
      </c>
      <c r="M647" s="382"/>
      <c r="N647" s="383"/>
      <c r="O647" s="383"/>
      <c r="P647" s="411"/>
      <c r="Q647" s="411"/>
      <c r="R647" s="383"/>
      <c r="S647" s="390">
        <v>44243</v>
      </c>
      <c r="T647" s="390" t="s">
        <v>925</v>
      </c>
      <c r="U647" s="387" t="s">
        <v>926</v>
      </c>
      <c r="V647" s="387" t="s">
        <v>927</v>
      </c>
      <c r="W647" s="387"/>
    </row>
    <row r="648" spans="1:23" x14ac:dyDescent="0.2">
      <c r="A648" s="13" t="str">
        <f>_xlfn.CONCAT(VLOOKUP(Check[[#This Row],[סטטוס]],Sold,2,FALSE),IF(Check[[#This Row],[סטטוס]]="פנויה",IF(N648="גמר מלא סטנדרט",".GMS",IF(N648="גמר מלא טיוב חומרים",".GMC",IF(N648="גמר מינימלי",".GM",IF(N648="דירת שיווק",".DS","")))),""),".",VLOOKUP(Check[[#This Row],[טיפוס]],Tipus[],5,FALSE),".",VLOOKUP(Check[[#This Row],[מגדל]],Tower,2,FALSE),".Ap.",Check[[#This Row],[מספר דירה]])</f>
        <v>S.P.4F.TN.Ap.309</v>
      </c>
      <c r="B648" s="13" t="str">
        <f>_xlfn.CONCAT(VLOOKUP(Check[[#This Row],[סטטוס]],Sold,2,FALSE),IF(Check[[#This Row],[סטטוס]]="פנויה",IF(N648="גמר מלא סטנדרט",".GMS",IF(N648="גמר מלא טיוב חומרים",".GMC",IF(N648="גמר מינימלי",".GM",IF(N648="דירת שיווק",".DS","")))),""),IF(M648="זומן לטרום",".ZLT",IF(M648="טרום מסירה",".TM",IF(M648="טרום מסירה מהנדס",".TMM",IF(M648="מסירת חזקה",".MH",IF(M648="מסירת חזקה מהנדס",".MHM",""))))),".",VLOOKUP(Check[[#This Row],[טיפוס]],Tipus[],5,FALSE),".",VLOOKUP(Check[[#This Row],[מגדל]],Tower,2,FALSE),".Ap.",Check[[#This Row],[מספר דירה]])</f>
        <v>S.P.4F.TN.Ap.309</v>
      </c>
      <c r="C648" s="3" t="s">
        <v>56</v>
      </c>
      <c r="D648" s="3">
        <v>44</v>
      </c>
      <c r="E648" s="4">
        <v>309</v>
      </c>
      <c r="F648" s="3">
        <v>4404</v>
      </c>
      <c r="G648" s="5" t="s">
        <v>29</v>
      </c>
      <c r="H648" s="5">
        <f>VLOOKUP(Check[[#This Row],[טיפוס]],Tipus[],2,FALSE)</f>
        <v>4</v>
      </c>
      <c r="I648" s="5" t="str">
        <f>VLOOKUP(Check[[#This Row],[טיפוס]],Tipus[],3,FALSE)</f>
        <v>פרימיום</v>
      </c>
      <c r="J648" s="5" t="str">
        <f>VLOOKUP(Check[[#This Row],[טיפוס]],Tipus[],4,FALSE)</f>
        <v>A (P)</v>
      </c>
      <c r="K648" s="3" t="str">
        <f>IF(Check[[#This Row],[סטטוס2]]="הולד","פנויה",Check[[#This Row],[סטטוס2]])</f>
        <v>מכורה</v>
      </c>
      <c r="L648" s="382" t="s">
        <v>130</v>
      </c>
      <c r="M648" s="382"/>
      <c r="N648" s="383"/>
      <c r="O648" s="383"/>
      <c r="P648" s="411"/>
      <c r="Q648" s="411"/>
      <c r="R648" s="383"/>
      <c r="S648" s="390">
        <v>44251</v>
      </c>
      <c r="T648" s="390" t="s">
        <v>928</v>
      </c>
      <c r="U648" s="387" t="s">
        <v>929</v>
      </c>
      <c r="V648" s="387" t="s">
        <v>930</v>
      </c>
      <c r="W648" s="387"/>
    </row>
    <row r="649" spans="1:23" x14ac:dyDescent="0.2">
      <c r="A649" s="13" t="str">
        <f>_xlfn.CONCAT(VLOOKUP(Check[[#This Row],[סטטוס]],Sold,2,FALSE),IF(Check[[#This Row],[סטטוס]]="פנויה",IF(N649="גמר מלא סטנדרט",".GMS",IF(N649="גמר מלא טיוב חומרים",".GMC",IF(N649="גמר מינימלי",".GM",IF(N649="דירת שיווק",".DS","")))),""),".",VLOOKUP(Check[[#This Row],[טיפוס]],Tipus[],5,FALSE),".",VLOOKUP(Check[[#This Row],[מגדל]],Tower,2,FALSE),".Ap.",Check[[#This Row],[מספר דירה]])</f>
        <v>O.P.5AP.TN.Ap.310</v>
      </c>
      <c r="B649" s="13" t="str">
        <f>_xlfn.CONCAT(VLOOKUP(Check[[#This Row],[סטטוס]],Sold,2,FALSE),IF(Check[[#This Row],[סטטוס]]="פנויה",IF(N649="גמר מלא סטנדרט",".GMS",IF(N649="גמר מלא טיוב חומרים",".GMC",IF(N649="גמר מינימלי",".GM",IF(N649="דירת שיווק",".DS","")))),""),IF(M649="זומן לטרום",".ZLT",IF(M649="טרום מסירה",".TM",IF(M649="טרום מסירה מהנדס",".TMM",IF(M649="מסירת חזקה",".MH",IF(M649="מסירת חזקה מהנדס",".MHM",""))))),".",VLOOKUP(Check[[#This Row],[טיפוס]],Tipus[],5,FALSE),".",VLOOKUP(Check[[#This Row],[מגדל]],Tower,2,FALSE),".Ap.",Check[[#This Row],[מספר דירה]])</f>
        <v>O.P.5AP.TN.Ap.310</v>
      </c>
      <c r="C649" s="3" t="s">
        <v>56</v>
      </c>
      <c r="D649" s="3">
        <v>44</v>
      </c>
      <c r="E649" s="4">
        <v>310</v>
      </c>
      <c r="F649" s="3">
        <v>4403</v>
      </c>
      <c r="G649" s="5" t="s">
        <v>30</v>
      </c>
      <c r="H649" s="5">
        <f>VLOOKUP(Check[[#This Row],[טיפוס]],Tipus[],2,FALSE)</f>
        <v>5</v>
      </c>
      <c r="I649" s="5" t="str">
        <f>VLOOKUP(Check[[#This Row],[טיפוס]],Tipus[],3,FALSE)</f>
        <v>פרימיום</v>
      </c>
      <c r="J649" s="5" t="str">
        <f>VLOOKUP(Check[[#This Row],[טיפוס]],Tipus[],4,FALSE)</f>
        <v>J</v>
      </c>
      <c r="K649" s="3" t="str">
        <f>IF(Check[[#This Row],[סטטוס2]]="הולד","פנויה",Check[[#This Row],[סטטוס2]])</f>
        <v>בעלים</v>
      </c>
      <c r="L649" s="382" t="s">
        <v>91</v>
      </c>
      <c r="M649" s="382"/>
      <c r="N649" s="383"/>
      <c r="O649" s="383"/>
      <c r="P649" s="411"/>
      <c r="Q649" s="411"/>
      <c r="R649" s="400"/>
      <c r="S649" s="390">
        <v>44040</v>
      </c>
      <c r="T649" s="390" t="s">
        <v>233</v>
      </c>
      <c r="U649" s="387" t="s">
        <v>344</v>
      </c>
      <c r="V649" s="387" t="s">
        <v>345</v>
      </c>
      <c r="W649" s="387" t="s">
        <v>346</v>
      </c>
    </row>
    <row r="650" spans="1:23" ht="141.75" x14ac:dyDescent="0.2">
      <c r="A650" s="13" t="str">
        <f>_xlfn.CONCAT(VLOOKUP(Check[[#This Row],[סטטוס]],Sold,2,FALSE),IF(Check[[#This Row],[סטטוס]]="פנויה",IF(N650="גמר מלא סטנדרט",".GMS",IF(N650="גמר מלא טיוב חומרים",".GMC",IF(N650="גמר מינימלי",".GM",IF(N650="דירת שיווק",".DS","")))),""),".",VLOOKUP(Check[[#This Row],[טיפוס]],Tipus[],5,FALSE),".",VLOOKUP(Check[[#This Row],[מגדל]],Tower,2,FALSE),".Ap.",Check[[#This Row],[מספר דירה]])</f>
        <v>V.GMC.P.5BP.TN.Ap.311</v>
      </c>
      <c r="B650" s="13" t="str">
        <f>_xlfn.CONCAT(VLOOKUP(Check[[#This Row],[סטטוס]],Sold,2,FALSE),IF(Check[[#This Row],[סטטוס]]="פנויה",IF(N650="גמר מלא סטנדרט",".GMS",IF(N650="גמר מלא טיוב חומרים",".GMC",IF(N650="גמר מינימלי",".GM",IF(N650="דירת שיווק",".DS","")))),""),IF(M650="זומן לטרום",".ZLT",IF(M650="טרום מסירה",".TM",IF(M650="טרום מסירה מהנדס",".TMM",IF(M650="מסירת חזקה",".MH",IF(M650="מסירת חזקה מהנדס",".MHM",""))))),".",VLOOKUP(Check[[#This Row],[טיפוס]],Tipus[],5,FALSE),".",VLOOKUP(Check[[#This Row],[מגדל]],Tower,2,FALSE),".Ap.",Check[[#This Row],[מספר דירה]])</f>
        <v>V.GMC.P.5BP.TN.Ap.311</v>
      </c>
      <c r="C650" s="3" t="s">
        <v>56</v>
      </c>
      <c r="D650" s="3">
        <v>44</v>
      </c>
      <c r="E650" s="4">
        <v>311</v>
      </c>
      <c r="F650" s="3">
        <v>4402</v>
      </c>
      <c r="G650" s="6" t="s">
        <v>31</v>
      </c>
      <c r="H650" s="6">
        <f>VLOOKUP(Check[[#This Row],[טיפוס]],Tipus[],2,FALSE)</f>
        <v>5</v>
      </c>
      <c r="I650" s="6" t="str">
        <f>VLOOKUP(Check[[#This Row],[טיפוס]],Tipus[],3,FALSE)</f>
        <v>פרימיום</v>
      </c>
      <c r="J650" s="6" t="str">
        <f>VLOOKUP(Check[[#This Row],[טיפוס]],Tipus[],4,FALSE)</f>
        <v>H</v>
      </c>
      <c r="K650" s="3" t="str">
        <f>IF(Check[[#This Row],[סטטוס2]]="הולד","פנויה",Check[[#This Row],[סטטוס2]])</f>
        <v>פנויה</v>
      </c>
      <c r="L650" s="382" t="s">
        <v>108</v>
      </c>
      <c r="M650" s="382"/>
      <c r="N650" t="s">
        <v>1417</v>
      </c>
      <c r="O650" s="404" t="s">
        <v>1398</v>
      </c>
      <c r="P650" s="415" t="s">
        <v>1386</v>
      </c>
      <c r="Q650" s="423" t="s">
        <v>1397</v>
      </c>
      <c r="R650" s="399"/>
      <c r="S650" s="390"/>
      <c r="T650" s="390" t="s">
        <v>214</v>
      </c>
      <c r="U650" s="387"/>
      <c r="V650" s="387"/>
      <c r="W650" s="387"/>
    </row>
    <row r="651" spans="1:23" ht="31.5" x14ac:dyDescent="0.2">
      <c r="A651" s="13" t="str">
        <f>_xlfn.CONCAT(VLOOKUP(Check[[#This Row],[סטטוס]],Sold,2,FALSE),IF(Check[[#This Row],[סטטוס]]="פנויה",IF(N651="גמר מלא סטנדרט",".GMS",IF(N651="גמר מלא טיוב חומרים",".GMC",IF(N651="גמר מינימלי",".GM",IF(N651="דירת שיווק",".DS","")))),""),".",VLOOKUP(Check[[#This Row],[טיפוס]],Tipus[],5,FALSE),".",VLOOKUP(Check[[#This Row],[מגדל]],Tower,2,FALSE),".Ap.",Check[[#This Row],[מספר דירה]])</f>
        <v>O.P.4D.TN.Ap.312</v>
      </c>
      <c r="B651" s="13" t="str">
        <f>_xlfn.CONCAT(VLOOKUP(Check[[#This Row],[סטטוס]],Sold,2,FALSE),IF(Check[[#This Row],[סטטוס]]="פנויה",IF(N651="גמר מלא סטנדרט",".GMS",IF(N651="גמר מלא טיוב חומרים",".GMC",IF(N651="גמר מינימלי",".GM",IF(N651="דירת שיווק",".DS","")))),""),IF(M651="זומן לטרום",".ZLT",IF(M651="טרום מסירה",".TM",IF(M651="טרום מסירה מהנדס",".TMM",IF(M651="מסירת חזקה",".MH",IF(M651="מסירת חזקה מהנדס",".MHM",""))))),".",VLOOKUP(Check[[#This Row],[טיפוס]],Tipus[],5,FALSE),".",VLOOKUP(Check[[#This Row],[מגדל]],Tower,2,FALSE),".Ap.",Check[[#This Row],[מספר דירה]])</f>
        <v>O.P.4D.TN.Ap.312</v>
      </c>
      <c r="C651" s="3" t="s">
        <v>56</v>
      </c>
      <c r="D651" s="3">
        <v>45</v>
      </c>
      <c r="E651" s="4">
        <v>312</v>
      </c>
      <c r="F651" s="3">
        <v>4501</v>
      </c>
      <c r="G651" s="5" t="s">
        <v>27</v>
      </c>
      <c r="H651" s="5">
        <f>VLOOKUP(Check[[#This Row],[טיפוס]],Tipus[],2,FALSE)</f>
        <v>4</v>
      </c>
      <c r="I651" s="5" t="str">
        <f>VLOOKUP(Check[[#This Row],[טיפוס]],Tipus[],3,FALSE)</f>
        <v>פרימיום</v>
      </c>
      <c r="J651" s="5" t="str">
        <f>VLOOKUP(Check[[#This Row],[טיפוס]],Tipus[],4,FALSE)</f>
        <v>G (P)</v>
      </c>
      <c r="K651" s="3" t="str">
        <f>IF(Check[[#This Row],[סטטוס2]]="הולד","פנויה",Check[[#This Row],[סטטוס2]])</f>
        <v>בעלים</v>
      </c>
      <c r="L651" s="382" t="s">
        <v>91</v>
      </c>
      <c r="M651" s="382"/>
      <c r="N651" s="409" t="s">
        <v>1382</v>
      </c>
      <c r="O651" s="383"/>
      <c r="P651" s="411"/>
      <c r="Q651" s="411"/>
      <c r="R651" s="400"/>
      <c r="S651" s="390">
        <v>44040</v>
      </c>
      <c r="T651" s="390" t="s">
        <v>1364</v>
      </c>
      <c r="U651" s="387"/>
      <c r="V651" s="387"/>
      <c r="W651" s="387"/>
    </row>
    <row r="652" spans="1:23" x14ac:dyDescent="0.2">
      <c r="A652" s="13" t="str">
        <f>_xlfn.CONCAT(VLOOKUP(Check[[#This Row],[סטטוס]],Sold,2,FALSE),IF(Check[[#This Row],[סטטוס]]="פנויה",IF(N652="גמר מלא סטנדרט",".GMS",IF(N652="גמר מלא טיוב חומרים",".GMC",IF(N652="גמר מינימלי",".GM",IF(N652="דירת שיווק",".DS","")))),""),".",VLOOKUP(Check[[#This Row],[טיפוס]],Tipus[],5,FALSE),".",VLOOKUP(Check[[#This Row],[מגדל]],Tower,2,FALSE),".Ap.",Check[[#This Row],[מספר דירה]])</f>
        <v>S.P.4E.TN.Ap.313</v>
      </c>
      <c r="B652" s="13" t="str">
        <f>_xlfn.CONCAT(VLOOKUP(Check[[#This Row],[סטטוס]],Sold,2,FALSE),IF(Check[[#This Row],[סטטוס]]="פנויה",IF(N652="גמר מלא סטנדרט",".GMS",IF(N652="גמר מלא טיוב חומרים",".GMC",IF(N652="גמר מינימלי",".GM",IF(N652="דירת שיווק",".DS","")))),""),IF(M652="זומן לטרום",".ZLT",IF(M652="טרום מסירה",".TM",IF(M652="טרום מסירה מהנדס",".TMM",IF(M652="מסירת חזקה",".MH",IF(M652="מסירת חזקה מהנדס",".MHM",""))))),".",VLOOKUP(Check[[#This Row],[טיפוס]],Tipus[],5,FALSE),".",VLOOKUP(Check[[#This Row],[מגדל]],Tower,2,FALSE),".Ap.",Check[[#This Row],[מספר דירה]])</f>
        <v>S.P.4E.TN.Ap.313</v>
      </c>
      <c r="C652" s="3" t="s">
        <v>56</v>
      </c>
      <c r="D652" s="3">
        <v>45</v>
      </c>
      <c r="E652" s="4">
        <v>313</v>
      </c>
      <c r="F652" s="3">
        <v>4505</v>
      </c>
      <c r="G652" s="5" t="s">
        <v>28</v>
      </c>
      <c r="H652" s="5">
        <f>VLOOKUP(Check[[#This Row],[טיפוס]],Tipus[],2,FALSE)</f>
        <v>4</v>
      </c>
      <c r="I652" s="5" t="str">
        <f>VLOOKUP(Check[[#This Row],[טיפוס]],Tipus[],3,FALSE)</f>
        <v>פרימיום</v>
      </c>
      <c r="J652" s="5" t="str">
        <f>VLOOKUP(Check[[#This Row],[טיפוס]],Tipus[],4,FALSE)</f>
        <v>C+D</v>
      </c>
      <c r="K652" s="3" t="str">
        <f>IF(Check[[#This Row],[סטטוס2]]="הולד","פנויה",Check[[#This Row],[סטטוס2]])</f>
        <v>מכורה</v>
      </c>
      <c r="L652" s="382" t="s">
        <v>130</v>
      </c>
      <c r="M652" s="382"/>
      <c r="N652" s="383"/>
      <c r="O652" s="383"/>
      <c r="P652" s="411"/>
      <c r="Q652" s="411"/>
      <c r="R652" s="400"/>
      <c r="S652" s="390">
        <v>44259</v>
      </c>
      <c r="T652" s="390" t="s">
        <v>931</v>
      </c>
      <c r="U652" s="387" t="s">
        <v>932</v>
      </c>
      <c r="V652" s="387" t="s">
        <v>933</v>
      </c>
      <c r="W652" s="387"/>
    </row>
    <row r="653" spans="1:23" x14ac:dyDescent="0.2">
      <c r="A653" s="13" t="str">
        <f>_xlfn.CONCAT(VLOOKUP(Check[[#This Row],[סטטוס]],Sold,2,FALSE),IF(Check[[#This Row],[סטטוס]]="פנויה",IF(N653="גמר מלא סטנדרט",".GMS",IF(N653="גמר מלא טיוב חומרים",".GMC",IF(N653="גמר מינימלי",".GM",IF(N653="דירת שיווק",".DS","")))),""),".",VLOOKUP(Check[[#This Row],[טיפוס]],Tipus[],5,FALSE),".",VLOOKUP(Check[[#This Row],[מגדל]],Tower,2,FALSE),".Ap.",Check[[#This Row],[מספר דירה]])</f>
        <v>S.P.4F.TN.Ap.314</v>
      </c>
      <c r="B653" s="13" t="str">
        <f>_xlfn.CONCAT(VLOOKUP(Check[[#This Row],[סטטוס]],Sold,2,FALSE),IF(Check[[#This Row],[סטטוס]]="פנויה",IF(N653="גמר מלא סטנדרט",".GMS",IF(N653="גמר מלא טיוב חומרים",".GMC",IF(N653="גמר מינימלי",".GM",IF(N653="דירת שיווק",".DS","")))),""),IF(M653="זומן לטרום",".ZLT",IF(M653="טרום מסירה",".TM",IF(M653="טרום מסירה מהנדס",".TMM",IF(M653="מסירת חזקה",".MH",IF(M653="מסירת חזקה מהנדס",".MHM",""))))),".",VLOOKUP(Check[[#This Row],[טיפוס]],Tipus[],5,FALSE),".",VLOOKUP(Check[[#This Row],[מגדל]],Tower,2,FALSE),".Ap.",Check[[#This Row],[מספר דירה]])</f>
        <v>S.P.4F.TN.Ap.314</v>
      </c>
      <c r="C653" s="3" t="s">
        <v>56</v>
      </c>
      <c r="D653" s="3">
        <v>45</v>
      </c>
      <c r="E653" s="4">
        <v>314</v>
      </c>
      <c r="F653" s="3">
        <v>4504</v>
      </c>
      <c r="G653" s="5" t="s">
        <v>29</v>
      </c>
      <c r="H653" s="5">
        <f>VLOOKUP(Check[[#This Row],[טיפוס]],Tipus[],2,FALSE)</f>
        <v>4</v>
      </c>
      <c r="I653" s="5" t="str">
        <f>VLOOKUP(Check[[#This Row],[טיפוס]],Tipus[],3,FALSE)</f>
        <v>פרימיום</v>
      </c>
      <c r="J653" s="5" t="str">
        <f>VLOOKUP(Check[[#This Row],[טיפוס]],Tipus[],4,FALSE)</f>
        <v>A (P)</v>
      </c>
      <c r="K653" s="3" t="str">
        <f>IF(Check[[#This Row],[סטטוס2]]="הולד","פנויה",Check[[#This Row],[סטטוס2]])</f>
        <v>מכורה</v>
      </c>
      <c r="L653" s="382" t="s">
        <v>130</v>
      </c>
      <c r="M653" s="382"/>
      <c r="N653" s="383"/>
      <c r="O653" s="383"/>
      <c r="P653" s="411"/>
      <c r="Q653" s="411"/>
      <c r="R653" s="400"/>
      <c r="S653" s="390">
        <v>44251</v>
      </c>
      <c r="T653" s="390" t="s">
        <v>934</v>
      </c>
      <c r="U653" s="387" t="s">
        <v>935</v>
      </c>
      <c r="V653" s="387" t="s">
        <v>936</v>
      </c>
      <c r="W653" s="387"/>
    </row>
    <row r="654" spans="1:23" x14ac:dyDescent="0.2">
      <c r="A654" s="13" t="str">
        <f>_xlfn.CONCAT(VLOOKUP(Check[[#This Row],[סטטוס]],Sold,2,FALSE),IF(Check[[#This Row],[סטטוס]]="פנויה",IF(N654="גמר מלא סטנדרט",".GMS",IF(N654="גמר מלא טיוב חומרים",".GMC",IF(N654="גמר מינימלי",".GM",IF(N654="דירת שיווק",".DS","")))),""),".",VLOOKUP(Check[[#This Row],[טיפוס]],Tipus[],5,FALSE),".",VLOOKUP(Check[[#This Row],[מגדל]],Tower,2,FALSE),".Ap.",Check[[#This Row],[מספר דירה]])</f>
        <v>O.P.5AP.TN.Ap.315</v>
      </c>
      <c r="B654" s="13" t="str">
        <f>_xlfn.CONCAT(VLOOKUP(Check[[#This Row],[סטטוס]],Sold,2,FALSE),IF(Check[[#This Row],[סטטוס]]="פנויה",IF(N654="גמר מלא סטנדרט",".GMS",IF(N654="גמר מלא טיוב חומרים",".GMC",IF(N654="גמר מינימלי",".GM",IF(N654="דירת שיווק",".DS","")))),""),IF(M654="זומן לטרום",".ZLT",IF(M654="טרום מסירה",".TM",IF(M654="טרום מסירה מהנדס",".TMM",IF(M654="מסירת חזקה",".MH",IF(M654="מסירת חזקה מהנדס",".MHM",""))))),".",VLOOKUP(Check[[#This Row],[טיפוס]],Tipus[],5,FALSE),".",VLOOKUP(Check[[#This Row],[מגדל]],Tower,2,FALSE),".Ap.",Check[[#This Row],[מספר דירה]])</f>
        <v>O.P.5AP.TN.Ap.315</v>
      </c>
      <c r="C654" s="3" t="s">
        <v>56</v>
      </c>
      <c r="D654" s="3">
        <v>45</v>
      </c>
      <c r="E654" s="4">
        <v>315</v>
      </c>
      <c r="F654" s="3">
        <v>4503</v>
      </c>
      <c r="G654" s="5" t="s">
        <v>30</v>
      </c>
      <c r="H654" s="5">
        <f>VLOOKUP(Check[[#This Row],[טיפוס]],Tipus[],2,FALSE)</f>
        <v>5</v>
      </c>
      <c r="I654" s="5" t="str">
        <f>VLOOKUP(Check[[#This Row],[טיפוס]],Tipus[],3,FALSE)</f>
        <v>פרימיום</v>
      </c>
      <c r="J654" s="5" t="str">
        <f>VLOOKUP(Check[[#This Row],[טיפוס]],Tipus[],4,FALSE)</f>
        <v>J</v>
      </c>
      <c r="K654" s="3" t="str">
        <f>IF(Check[[#This Row],[סטטוס2]]="הולד","פנויה",Check[[#This Row],[סטטוס2]])</f>
        <v>בעלים</v>
      </c>
      <c r="L654" s="382" t="s">
        <v>91</v>
      </c>
      <c r="M654" s="382"/>
      <c r="N654" s="383"/>
      <c r="O654" s="383"/>
      <c r="P654" s="411"/>
      <c r="Q654" s="411"/>
      <c r="R654" s="400"/>
      <c r="S654" s="390">
        <v>44040</v>
      </c>
      <c r="T654" s="390" t="s">
        <v>233</v>
      </c>
      <c r="U654" s="387" t="s">
        <v>347</v>
      </c>
      <c r="V654" s="387" t="s">
        <v>348</v>
      </c>
      <c r="W654" s="387" t="s">
        <v>349</v>
      </c>
    </row>
    <row r="655" spans="1:23" ht="141.75" x14ac:dyDescent="0.2">
      <c r="A655" s="13" t="str">
        <f>_xlfn.CONCAT(VLOOKUP(Check[[#This Row],[סטטוס]],Sold,2,FALSE),IF(Check[[#This Row],[סטטוס]]="פנויה",IF(N655="גמר מלא סטנדרט",".GMS",IF(N655="גמר מלא טיוב חומרים",".GMC",IF(N655="גמר מינימלי",".GM",IF(N655="דירת שיווק",".DS","")))),""),".",VLOOKUP(Check[[#This Row],[טיפוס]],Tipus[],5,FALSE),".",VLOOKUP(Check[[#This Row],[מגדל]],Tower,2,FALSE),".Ap.",Check[[#This Row],[מספר דירה]])</f>
        <v>V.GMC.P.5BP.TN.Ap.316</v>
      </c>
      <c r="B655" s="13" t="str">
        <f>_xlfn.CONCAT(VLOOKUP(Check[[#This Row],[סטטוס]],Sold,2,FALSE),IF(Check[[#This Row],[סטטוס]]="פנויה",IF(N655="גמר מלא סטנדרט",".GMS",IF(N655="גמר מלא טיוב חומרים",".GMC",IF(N655="גמר מינימלי",".GM",IF(N655="דירת שיווק",".DS","")))),""),IF(M655="זומן לטרום",".ZLT",IF(M655="טרום מסירה",".TM",IF(M655="טרום מסירה מהנדס",".TMM",IF(M655="מסירת חזקה",".MH",IF(M655="מסירת חזקה מהנדס",".MHM",""))))),".",VLOOKUP(Check[[#This Row],[טיפוס]],Tipus[],5,FALSE),".",VLOOKUP(Check[[#This Row],[מגדל]],Tower,2,FALSE),".Ap.",Check[[#This Row],[מספר דירה]])</f>
        <v>V.GMC.P.5BP.TN.Ap.316</v>
      </c>
      <c r="C655" s="3" t="s">
        <v>56</v>
      </c>
      <c r="D655" s="3">
        <v>45</v>
      </c>
      <c r="E655" s="4">
        <v>316</v>
      </c>
      <c r="F655" s="3">
        <v>4502</v>
      </c>
      <c r="G655" s="6" t="s">
        <v>31</v>
      </c>
      <c r="H655" s="6">
        <f>VLOOKUP(Check[[#This Row],[טיפוס]],Tipus[],2,FALSE)</f>
        <v>5</v>
      </c>
      <c r="I655" s="6" t="str">
        <f>VLOOKUP(Check[[#This Row],[טיפוס]],Tipus[],3,FALSE)</f>
        <v>פרימיום</v>
      </c>
      <c r="J655" s="6" t="str">
        <f>VLOOKUP(Check[[#This Row],[טיפוס]],Tipus[],4,FALSE)</f>
        <v>H</v>
      </c>
      <c r="K655" s="3" t="str">
        <f>IF(Check[[#This Row],[סטטוס2]]="הולד","פנויה",Check[[#This Row],[סטטוס2]])</f>
        <v>פנויה</v>
      </c>
      <c r="L655" s="382" t="s">
        <v>108</v>
      </c>
      <c r="M655" s="382"/>
      <c r="N655" t="s">
        <v>1417</v>
      </c>
      <c r="O655" s="404" t="s">
        <v>1398</v>
      </c>
      <c r="P655" s="415" t="s">
        <v>1386</v>
      </c>
      <c r="Q655" s="423" t="s">
        <v>1397</v>
      </c>
      <c r="R655" s="399"/>
      <c r="S655" s="390"/>
      <c r="T655" s="390" t="s">
        <v>214</v>
      </c>
      <c r="U655" s="387"/>
      <c r="V655" s="387"/>
      <c r="W655" s="387"/>
    </row>
    <row r="656" spans="1:23" ht="78.75" x14ac:dyDescent="0.2">
      <c r="A656" s="13" t="str">
        <f>_xlfn.CONCAT(VLOOKUP(Check[[#This Row],[סטטוס]],Sold,2,FALSE),IF(Check[[#This Row],[סטטוס]]="פנויה",IF(N656="גמר מלא סטנדרט",".GMS",IF(N656="גמר מלא טיוב חומרים",".GMC",IF(N656="גמר מינימלי",".GM",IF(N656="דירת שיווק",".DS","")))),""),".",VLOOKUP(Check[[#This Row],[טיפוס]],Tipus[],5,FALSE),".",VLOOKUP(Check[[#This Row],[מגדל]],Tower,2,FALSE),".Ap.",Check[[#This Row],[מספר דירה]])</f>
        <v>V.DS.P.4D.TN.Ap.317</v>
      </c>
      <c r="B656" s="13" t="str">
        <f>_xlfn.CONCAT(VLOOKUP(Check[[#This Row],[סטטוס]],Sold,2,FALSE),IF(Check[[#This Row],[סטטוס]]="פנויה",IF(N656="גמר מלא סטנדרט",".GMS",IF(N656="גמר מלא טיוב חומרים",".GMC",IF(N656="גמר מינימלי",".GM",IF(N656="דירת שיווק",".DS","")))),""),IF(M656="זומן לטרום",".ZLT",IF(M656="טרום מסירה",".TM",IF(M656="טרום מסירה מהנדס",".TMM",IF(M656="מסירת חזקה",".MH",IF(M656="מסירת חזקה מהנדס",".MHM",""))))),".",VLOOKUP(Check[[#This Row],[טיפוס]],Tipus[],5,FALSE),".",VLOOKUP(Check[[#This Row],[מגדל]],Tower,2,FALSE),".Ap.",Check[[#This Row],[מספר דירה]])</f>
        <v>V.DS.P.4D.TN.Ap.317</v>
      </c>
      <c r="C656" s="3" t="s">
        <v>56</v>
      </c>
      <c r="D656" s="3">
        <v>46</v>
      </c>
      <c r="E656" s="4">
        <v>317</v>
      </c>
      <c r="F656" s="3">
        <v>4601</v>
      </c>
      <c r="G656" s="5" t="s">
        <v>27</v>
      </c>
      <c r="H656" s="5">
        <f>VLOOKUP(Check[[#This Row],[טיפוס]],Tipus[],2,FALSE)</f>
        <v>4</v>
      </c>
      <c r="I656" s="5" t="str">
        <f>VLOOKUP(Check[[#This Row],[טיפוס]],Tipus[],3,FALSE)</f>
        <v>פרימיום</v>
      </c>
      <c r="J656" s="5" t="str">
        <f>VLOOKUP(Check[[#This Row],[טיפוס]],Tipus[],4,FALSE)</f>
        <v>G (P)</v>
      </c>
      <c r="K656" s="3" t="str">
        <f>IF(Check[[#This Row],[סטטוס2]]="הולד","פנויה",Check[[#This Row],[סטטוס2]])</f>
        <v>פנויה</v>
      </c>
      <c r="L656" s="382" t="s">
        <v>108</v>
      </c>
      <c r="M656" s="382"/>
      <c r="N656" t="s">
        <v>1418</v>
      </c>
      <c r="O656" s="404" t="s">
        <v>1411</v>
      </c>
      <c r="P656" s="410" t="s">
        <v>1385</v>
      </c>
      <c r="Q656" s="410" t="s">
        <v>1412</v>
      </c>
      <c r="R656" s="399"/>
      <c r="S656" s="390"/>
      <c r="T656" s="390" t="s">
        <v>214</v>
      </c>
      <c r="U656" s="387"/>
      <c r="V656" s="387"/>
      <c r="W656" s="387"/>
    </row>
    <row r="657" spans="1:23" x14ac:dyDescent="0.2">
      <c r="A657" s="13" t="str">
        <f>_xlfn.CONCAT(VLOOKUP(Check[[#This Row],[סטטוס]],Sold,2,FALSE),IF(Check[[#This Row],[סטטוס]]="פנויה",IF(N657="גמר מלא סטנדרט",".GMS",IF(N657="גמר מלא טיוב חומרים",".GMC",IF(N657="גמר מינימלי",".GM",IF(N657="דירת שיווק",".DS","")))),""),".",VLOOKUP(Check[[#This Row],[טיפוס]],Tipus[],5,FALSE),".",VLOOKUP(Check[[#This Row],[מגדל]],Tower,2,FALSE),".Ap.",Check[[#This Row],[מספר דירה]])</f>
        <v>O.P.4E.TN.Ap.318</v>
      </c>
      <c r="B657" s="13" t="str">
        <f>_xlfn.CONCAT(VLOOKUP(Check[[#This Row],[סטטוס]],Sold,2,FALSE),IF(Check[[#This Row],[סטטוס]]="פנויה",IF(N657="גמר מלא סטנדרט",".GMS",IF(N657="גמר מלא טיוב חומרים",".GMC",IF(N657="גמר מינימלי",".GM",IF(N657="דירת שיווק",".DS","")))),""),IF(M657="זומן לטרום",".ZLT",IF(M657="טרום מסירה",".TM",IF(M657="טרום מסירה מהנדס",".TMM",IF(M657="מסירת חזקה",".MH",IF(M657="מסירת חזקה מהנדס",".MHM",""))))),".",VLOOKUP(Check[[#This Row],[טיפוס]],Tipus[],5,FALSE),".",VLOOKUP(Check[[#This Row],[מגדל]],Tower,2,FALSE),".Ap.",Check[[#This Row],[מספר דירה]])</f>
        <v>O.P.4E.TN.Ap.318</v>
      </c>
      <c r="C657" s="3" t="s">
        <v>56</v>
      </c>
      <c r="D657" s="3">
        <v>46</v>
      </c>
      <c r="E657" s="4">
        <v>318</v>
      </c>
      <c r="F657" s="3">
        <v>4605</v>
      </c>
      <c r="G657" s="5" t="s">
        <v>28</v>
      </c>
      <c r="H657" s="5">
        <f>VLOOKUP(Check[[#This Row],[טיפוס]],Tipus[],2,FALSE)</f>
        <v>4</v>
      </c>
      <c r="I657" s="5" t="str">
        <f>VLOOKUP(Check[[#This Row],[טיפוס]],Tipus[],3,FALSE)</f>
        <v>פרימיום</v>
      </c>
      <c r="J657" s="5" t="str">
        <f>VLOOKUP(Check[[#This Row],[טיפוס]],Tipus[],4,FALSE)</f>
        <v>C+D</v>
      </c>
      <c r="K657" s="3" t="str">
        <f>IF(Check[[#This Row],[סטטוס2]]="הולד","פנויה",Check[[#This Row],[סטטוס2]])</f>
        <v>בעלים</v>
      </c>
      <c r="L657" s="382" t="s">
        <v>91</v>
      </c>
      <c r="M657" s="382"/>
      <c r="N657" s="383"/>
      <c r="O657" s="383"/>
      <c r="P657" s="411"/>
      <c r="Q657" s="411"/>
      <c r="R657" s="400"/>
      <c r="S657" s="390">
        <v>44040</v>
      </c>
      <c r="T657" s="390" t="s">
        <v>1365</v>
      </c>
      <c r="U657" s="387" t="s">
        <v>350</v>
      </c>
      <c r="V657" s="387" t="s">
        <v>351</v>
      </c>
      <c r="W657" s="387" t="s">
        <v>214</v>
      </c>
    </row>
    <row r="658" spans="1:23" x14ac:dyDescent="0.2">
      <c r="A658" s="13" t="str">
        <f>_xlfn.CONCAT(VLOOKUP(Check[[#This Row],[סטטוס]],Sold,2,FALSE),IF(Check[[#This Row],[סטטוס]]="פנויה",IF(N658="גמר מלא סטנדרט",".GMS",IF(N658="גמר מלא טיוב חומרים",".GMC",IF(N658="גמר מינימלי",".GM",IF(N658="דירת שיווק",".DS","")))),""),".",VLOOKUP(Check[[#This Row],[טיפוס]],Tipus[],5,FALSE),".",VLOOKUP(Check[[#This Row],[מגדל]],Tower,2,FALSE),".Ap.",Check[[#This Row],[מספר דירה]])</f>
        <v>S.P.4F.TN.Ap.319</v>
      </c>
      <c r="B658" s="13" t="str">
        <f>_xlfn.CONCAT(VLOOKUP(Check[[#This Row],[סטטוס]],Sold,2,FALSE),IF(Check[[#This Row],[סטטוס]]="פנויה",IF(N658="גמר מלא סטנדרט",".GMS",IF(N658="גמר מלא טיוב חומרים",".GMC",IF(N658="גמר מינימלי",".GM",IF(N658="דירת שיווק",".DS","")))),""),IF(M658="זומן לטרום",".ZLT",IF(M658="טרום מסירה",".TM",IF(M658="טרום מסירה מהנדס",".TMM",IF(M658="מסירת חזקה",".MH",IF(M658="מסירת חזקה מהנדס",".MHM",""))))),".",VLOOKUP(Check[[#This Row],[טיפוס]],Tipus[],5,FALSE),".",VLOOKUP(Check[[#This Row],[מגדל]],Tower,2,FALSE),".Ap.",Check[[#This Row],[מספר דירה]])</f>
        <v>S.P.4F.TN.Ap.319</v>
      </c>
      <c r="C658" s="3" t="s">
        <v>56</v>
      </c>
      <c r="D658" s="3">
        <v>46</v>
      </c>
      <c r="E658" s="4">
        <v>319</v>
      </c>
      <c r="F658" s="3">
        <v>4604</v>
      </c>
      <c r="G658" s="5" t="s">
        <v>29</v>
      </c>
      <c r="H658" s="5">
        <f>VLOOKUP(Check[[#This Row],[טיפוס]],Tipus[],2,FALSE)</f>
        <v>4</v>
      </c>
      <c r="I658" s="5" t="str">
        <f>VLOOKUP(Check[[#This Row],[טיפוס]],Tipus[],3,FALSE)</f>
        <v>פרימיום</v>
      </c>
      <c r="J658" s="5" t="str">
        <f>VLOOKUP(Check[[#This Row],[טיפוס]],Tipus[],4,FALSE)</f>
        <v>A (P)</v>
      </c>
      <c r="K658" s="3" t="str">
        <f>IF(Check[[#This Row],[סטטוס2]]="הולד","פנויה",Check[[#This Row],[סטטוס2]])</f>
        <v>מכורה</v>
      </c>
      <c r="L658" s="382" t="s">
        <v>130</v>
      </c>
      <c r="M658" s="382"/>
      <c r="N658" s="383"/>
      <c r="O658" s="383"/>
      <c r="P658" s="411"/>
      <c r="Q658" s="411"/>
      <c r="R658" s="400"/>
      <c r="S658" s="390">
        <v>44243</v>
      </c>
      <c r="T658" s="390" t="s">
        <v>937</v>
      </c>
      <c r="U658" s="387" t="s">
        <v>938</v>
      </c>
      <c r="V658" s="387" t="s">
        <v>939</v>
      </c>
      <c r="W658" s="387"/>
    </row>
    <row r="659" spans="1:23" x14ac:dyDescent="0.2">
      <c r="A659" s="13" t="str">
        <f>_xlfn.CONCAT(VLOOKUP(Check[[#This Row],[סטטוס]],Sold,2,FALSE),IF(Check[[#This Row],[סטטוס]]="פנויה",IF(N659="גמר מלא סטנדרט",".GMS",IF(N659="גמר מלא טיוב חומרים",".GMC",IF(N659="גמר מינימלי",".GM",IF(N659="דירת שיווק",".DS","")))),""),".",VLOOKUP(Check[[#This Row],[טיפוס]],Tipus[],5,FALSE),".",VLOOKUP(Check[[#This Row],[מגדל]],Tower,2,FALSE),".Ap.",Check[[#This Row],[מספר דירה]])</f>
        <v>O.P.5AP.TN.Ap.320</v>
      </c>
      <c r="B659" s="13" t="str">
        <f>_xlfn.CONCAT(VLOOKUP(Check[[#This Row],[סטטוס]],Sold,2,FALSE),IF(Check[[#This Row],[סטטוס]]="פנויה",IF(N659="גמר מלא סטנדרט",".GMS",IF(N659="גמר מלא טיוב חומרים",".GMC",IF(N659="גמר מינימלי",".GM",IF(N659="דירת שיווק",".DS","")))),""),IF(M659="זומן לטרום",".ZLT",IF(M659="טרום מסירה",".TM",IF(M659="טרום מסירה מהנדס",".TMM",IF(M659="מסירת חזקה",".MH",IF(M659="מסירת חזקה מהנדס",".MHM",""))))),".",VLOOKUP(Check[[#This Row],[טיפוס]],Tipus[],5,FALSE),".",VLOOKUP(Check[[#This Row],[מגדל]],Tower,2,FALSE),".Ap.",Check[[#This Row],[מספר דירה]])</f>
        <v>O.P.5AP.TN.Ap.320</v>
      </c>
      <c r="C659" s="3" t="s">
        <v>56</v>
      </c>
      <c r="D659" s="3">
        <v>46</v>
      </c>
      <c r="E659" s="4">
        <v>320</v>
      </c>
      <c r="F659" s="3">
        <v>4603</v>
      </c>
      <c r="G659" s="5" t="s">
        <v>30</v>
      </c>
      <c r="H659" s="5">
        <f>VLOOKUP(Check[[#This Row],[טיפוס]],Tipus[],2,FALSE)</f>
        <v>5</v>
      </c>
      <c r="I659" s="5" t="str">
        <f>VLOOKUP(Check[[#This Row],[טיפוס]],Tipus[],3,FALSE)</f>
        <v>פרימיום</v>
      </c>
      <c r="J659" s="5" t="str">
        <f>VLOOKUP(Check[[#This Row],[טיפוס]],Tipus[],4,FALSE)</f>
        <v>J</v>
      </c>
      <c r="K659" s="3" t="str">
        <f>IF(Check[[#This Row],[סטטוס2]]="הולד","פנויה",Check[[#This Row],[סטטוס2]])</f>
        <v>בעלים</v>
      </c>
      <c r="L659" s="382" t="s">
        <v>91</v>
      </c>
      <c r="M659" s="382"/>
      <c r="N659" s="383"/>
      <c r="O659" s="383"/>
      <c r="P659" s="411"/>
      <c r="Q659" s="411"/>
      <c r="R659" s="400"/>
      <c r="S659" s="390">
        <v>44040</v>
      </c>
      <c r="T659" s="390" t="s">
        <v>233</v>
      </c>
      <c r="U659" s="387" t="s">
        <v>352</v>
      </c>
      <c r="V659" s="387" t="s">
        <v>353</v>
      </c>
      <c r="W659" s="387" t="s">
        <v>354</v>
      </c>
    </row>
    <row r="660" spans="1:23" ht="141.75" x14ac:dyDescent="0.2">
      <c r="A660" s="13" t="str">
        <f>_xlfn.CONCAT(VLOOKUP(Check[[#This Row],[סטטוס]],Sold,2,FALSE),IF(Check[[#This Row],[סטטוס]]="פנויה",IF(N660="גמר מלא סטנדרט",".GMS",IF(N660="גמר מלא טיוב חומרים",".GMC",IF(N660="גמר מינימלי",".GM",IF(N660="דירת שיווק",".DS","")))),""),".",VLOOKUP(Check[[#This Row],[טיפוס]],Tipus[],5,FALSE),".",VLOOKUP(Check[[#This Row],[מגדל]],Tower,2,FALSE),".Ap.",Check[[#This Row],[מספר דירה]])</f>
        <v>V.GMC.P.5BP.TN.Ap.321</v>
      </c>
      <c r="B660" s="13" t="str">
        <f>_xlfn.CONCAT(VLOOKUP(Check[[#This Row],[סטטוס]],Sold,2,FALSE),IF(Check[[#This Row],[סטטוס]]="פנויה",IF(N660="גמר מלא סטנדרט",".GMS",IF(N660="גמר מלא טיוב חומרים",".GMC",IF(N660="גמר מינימלי",".GM",IF(N660="דירת שיווק",".DS","")))),""),IF(M660="זומן לטרום",".ZLT",IF(M660="טרום מסירה",".TM",IF(M660="טרום מסירה מהנדס",".TMM",IF(M660="מסירת חזקה",".MH",IF(M660="מסירת חזקה מהנדס",".MHM",""))))),".",VLOOKUP(Check[[#This Row],[טיפוס]],Tipus[],5,FALSE),".",VLOOKUP(Check[[#This Row],[מגדל]],Tower,2,FALSE),".Ap.",Check[[#This Row],[מספר דירה]])</f>
        <v>V.GMC.P.5BP.TN.Ap.321</v>
      </c>
      <c r="C660" s="3" t="s">
        <v>56</v>
      </c>
      <c r="D660" s="3">
        <v>46</v>
      </c>
      <c r="E660" s="4">
        <v>321</v>
      </c>
      <c r="F660" s="3">
        <v>4602</v>
      </c>
      <c r="G660" s="6" t="s">
        <v>31</v>
      </c>
      <c r="H660" s="6">
        <f>VLOOKUP(Check[[#This Row],[טיפוס]],Tipus[],2,FALSE)</f>
        <v>5</v>
      </c>
      <c r="I660" s="6" t="str">
        <f>VLOOKUP(Check[[#This Row],[טיפוס]],Tipus[],3,FALSE)</f>
        <v>פרימיום</v>
      </c>
      <c r="J660" s="6" t="str">
        <f>VLOOKUP(Check[[#This Row],[טיפוס]],Tipus[],4,FALSE)</f>
        <v>H</v>
      </c>
      <c r="K660" s="3" t="str">
        <f>IF(Check[[#This Row],[סטטוס2]]="הולד","פנויה",Check[[#This Row],[סטטוס2]])</f>
        <v>פנויה</v>
      </c>
      <c r="L660" s="382" t="s">
        <v>108</v>
      </c>
      <c r="M660" s="382"/>
      <c r="N660" t="s">
        <v>1417</v>
      </c>
      <c r="O660" s="404" t="s">
        <v>1398</v>
      </c>
      <c r="P660" s="415" t="s">
        <v>1386</v>
      </c>
      <c r="Q660" s="423" t="s">
        <v>1397</v>
      </c>
      <c r="R660" s="399"/>
      <c r="S660" s="390"/>
      <c r="T660" s="390" t="s">
        <v>214</v>
      </c>
      <c r="U660" s="387"/>
      <c r="V660" s="387"/>
      <c r="W660" s="387"/>
    </row>
    <row r="661" spans="1:23" ht="78.75" x14ac:dyDescent="0.2">
      <c r="A661" s="13" t="str">
        <f>_xlfn.CONCAT(VLOOKUP(Check[[#This Row],[סטטוס]],Sold,2,FALSE),IF(Check[[#This Row],[סטטוס]]="פנויה",IF(N661="גמר מלא סטנדרט",".GMS",IF(N661="גמר מלא טיוב חומרים",".GMC",IF(N661="גמר מינימלי",".GM",IF(N661="דירת שיווק",".DS","")))),""),".",VLOOKUP(Check[[#This Row],[טיפוס]],Tipus[],5,FALSE),".",VLOOKUP(Check[[#This Row],[מגדל]],Tower,2,FALSE),".Ap.",Check[[#This Row],[מספר דירה]])</f>
        <v>V.GMS.P.4D.TN.Ap.322</v>
      </c>
      <c r="B661" s="13" t="str">
        <f>_xlfn.CONCAT(VLOOKUP(Check[[#This Row],[סטטוס]],Sold,2,FALSE),IF(Check[[#This Row],[סטטוס]]="פנויה",IF(N661="גמר מלא סטנדרט",".GMS",IF(N661="גמר מלא טיוב חומרים",".GMC",IF(N661="גמר מינימלי",".GM",IF(N661="דירת שיווק",".DS","")))),""),IF(M661="זומן לטרום",".ZLT",IF(M661="טרום מסירה",".TM",IF(M661="טרום מסירה מהנדס",".TMM",IF(M661="מסירת חזקה",".MH",IF(M661="מסירת חזקה מהנדס",".MHM",""))))),".",VLOOKUP(Check[[#This Row],[טיפוס]],Tipus[],5,FALSE),".",VLOOKUP(Check[[#This Row],[מגדל]],Tower,2,FALSE),".Ap.",Check[[#This Row],[מספר דירה]])</f>
        <v>V.GMS.P.4D.TN.Ap.322</v>
      </c>
      <c r="C661" s="3" t="s">
        <v>56</v>
      </c>
      <c r="D661" s="3">
        <v>47</v>
      </c>
      <c r="E661" s="4">
        <v>322</v>
      </c>
      <c r="F661" s="3">
        <v>4701</v>
      </c>
      <c r="G661" s="5" t="s">
        <v>27</v>
      </c>
      <c r="H661" s="5">
        <f>VLOOKUP(Check[[#This Row],[טיפוס]],Tipus[],2,FALSE)</f>
        <v>4</v>
      </c>
      <c r="I661" s="5" t="str">
        <f>VLOOKUP(Check[[#This Row],[טיפוס]],Tipus[],3,FALSE)</f>
        <v>פרימיום</v>
      </c>
      <c r="J661" s="5" t="str">
        <f>VLOOKUP(Check[[#This Row],[טיפוס]],Tipus[],4,FALSE)</f>
        <v>G (P)</v>
      </c>
      <c r="K661" s="3" t="str">
        <f>IF(Check[[#This Row],[סטטוס2]]="הולד","פנויה",Check[[#This Row],[סטטוס2]])</f>
        <v>פנויה</v>
      </c>
      <c r="L661" s="382" t="s">
        <v>108</v>
      </c>
      <c r="M661" s="382"/>
      <c r="N661" t="s">
        <v>1367</v>
      </c>
      <c r="O661" s="404" t="s">
        <v>1411</v>
      </c>
      <c r="P661" s="410" t="s">
        <v>1385</v>
      </c>
      <c r="Q661" s="410" t="s">
        <v>1412</v>
      </c>
      <c r="R661" s="399"/>
      <c r="S661" s="390"/>
      <c r="T661" s="390" t="s">
        <v>214</v>
      </c>
      <c r="U661" s="387"/>
      <c r="V661" s="387"/>
      <c r="W661" s="387"/>
    </row>
    <row r="662" spans="1:23" x14ac:dyDescent="0.2">
      <c r="A662" s="13" t="str">
        <f>_xlfn.CONCAT(VLOOKUP(Check[[#This Row],[סטטוס]],Sold,2,FALSE),IF(Check[[#This Row],[סטטוס]]="פנויה",IF(N662="גמר מלא סטנדרט",".GMS",IF(N662="גמר מלא טיוב חומרים",".GMC",IF(N662="גמר מינימלי",".GM",IF(N662="דירת שיווק",".DS","")))),""),".",VLOOKUP(Check[[#This Row],[טיפוס]],Tipus[],5,FALSE),".",VLOOKUP(Check[[#This Row],[מגדל]],Tower,2,FALSE),".Ap.",Check[[#This Row],[מספר דירה]])</f>
        <v>O.P.4E.TN.Ap.323</v>
      </c>
      <c r="B662" s="13" t="str">
        <f>_xlfn.CONCAT(VLOOKUP(Check[[#This Row],[סטטוס]],Sold,2,FALSE),IF(Check[[#This Row],[סטטוס]]="פנויה",IF(N662="גמר מלא סטנדרט",".GMS",IF(N662="גמר מלא טיוב חומרים",".GMC",IF(N662="גמר מינימלי",".GM",IF(N662="דירת שיווק",".DS","")))),""),IF(M662="זומן לטרום",".ZLT",IF(M662="טרום מסירה",".TM",IF(M662="טרום מסירה מהנדס",".TMM",IF(M662="מסירת חזקה",".MH",IF(M662="מסירת חזקה מהנדס",".MHM",""))))),".",VLOOKUP(Check[[#This Row],[טיפוס]],Tipus[],5,FALSE),".",VLOOKUP(Check[[#This Row],[מגדל]],Tower,2,FALSE),".Ap.",Check[[#This Row],[מספר דירה]])</f>
        <v>O.P.4E.TN.Ap.323</v>
      </c>
      <c r="C662" s="3" t="s">
        <v>56</v>
      </c>
      <c r="D662" s="3">
        <v>47</v>
      </c>
      <c r="E662" s="4">
        <v>323</v>
      </c>
      <c r="F662" s="3">
        <v>4705</v>
      </c>
      <c r="G662" s="5" t="s">
        <v>28</v>
      </c>
      <c r="H662" s="5">
        <f>VLOOKUP(Check[[#This Row],[טיפוס]],Tipus[],2,FALSE)</f>
        <v>4</v>
      </c>
      <c r="I662" s="5" t="str">
        <f>VLOOKUP(Check[[#This Row],[טיפוס]],Tipus[],3,FALSE)</f>
        <v>פרימיום</v>
      </c>
      <c r="J662" s="5" t="str">
        <f>VLOOKUP(Check[[#This Row],[טיפוס]],Tipus[],4,FALSE)</f>
        <v>C+D</v>
      </c>
      <c r="K662" s="3" t="str">
        <f>IF(Check[[#This Row],[סטטוס2]]="הולד","פנויה",Check[[#This Row],[סטטוס2]])</f>
        <v>בעלים</v>
      </c>
      <c r="L662" s="382" t="s">
        <v>91</v>
      </c>
      <c r="M662" s="382"/>
      <c r="N662" s="383"/>
      <c r="O662" s="383"/>
      <c r="P662" s="411"/>
      <c r="Q662" s="411"/>
      <c r="R662" s="400"/>
      <c r="S662" s="390">
        <v>44040</v>
      </c>
      <c r="T662" s="390" t="s">
        <v>355</v>
      </c>
      <c r="U662" s="387" t="s">
        <v>356</v>
      </c>
      <c r="V662" s="387" t="s">
        <v>357</v>
      </c>
      <c r="W662" s="387" t="s">
        <v>358</v>
      </c>
    </row>
    <row r="663" spans="1:23" x14ac:dyDescent="0.2">
      <c r="A663" s="13" t="str">
        <f>_xlfn.CONCAT(VLOOKUP(Check[[#This Row],[סטטוס]],Sold,2,FALSE),IF(Check[[#This Row],[סטטוס]]="פנויה",IF(N663="גמר מלא סטנדרט",".GMS",IF(N663="גמר מלא טיוב חומרים",".GMC",IF(N663="גמר מינימלי",".GM",IF(N663="דירת שיווק",".DS","")))),""),".",VLOOKUP(Check[[#This Row],[טיפוס]],Tipus[],5,FALSE),".",VLOOKUP(Check[[#This Row],[מגדל]],Tower,2,FALSE),".Ap.",Check[[#This Row],[מספר דירה]])</f>
        <v>S.P.4F.TN.Ap.324</v>
      </c>
      <c r="B663" s="13" t="str">
        <f>_xlfn.CONCAT(VLOOKUP(Check[[#This Row],[סטטוס]],Sold,2,FALSE),IF(Check[[#This Row],[סטטוס]]="פנויה",IF(N663="גמר מלא סטנדרט",".GMS",IF(N663="גמר מלא טיוב חומרים",".GMC",IF(N663="גמר מינימלי",".GM",IF(N663="דירת שיווק",".DS","")))),""),IF(M663="זומן לטרום",".ZLT",IF(M663="טרום מסירה",".TM",IF(M663="טרום מסירה מהנדס",".TMM",IF(M663="מסירת חזקה",".MH",IF(M663="מסירת חזקה מהנדס",".MHM",""))))),".",VLOOKUP(Check[[#This Row],[טיפוס]],Tipus[],5,FALSE),".",VLOOKUP(Check[[#This Row],[מגדל]],Tower,2,FALSE),".Ap.",Check[[#This Row],[מספר דירה]])</f>
        <v>S.P.4F.TN.Ap.324</v>
      </c>
      <c r="C663" s="3" t="s">
        <v>56</v>
      </c>
      <c r="D663" s="3">
        <v>47</v>
      </c>
      <c r="E663" s="4">
        <v>324</v>
      </c>
      <c r="F663" s="3">
        <v>4704</v>
      </c>
      <c r="G663" s="5" t="s">
        <v>29</v>
      </c>
      <c r="H663" s="5">
        <f>VLOOKUP(Check[[#This Row],[טיפוס]],Tipus[],2,FALSE)</f>
        <v>4</v>
      </c>
      <c r="I663" s="5" t="str">
        <f>VLOOKUP(Check[[#This Row],[טיפוס]],Tipus[],3,FALSE)</f>
        <v>פרימיום</v>
      </c>
      <c r="J663" s="5" t="str">
        <f>VLOOKUP(Check[[#This Row],[טיפוס]],Tipus[],4,FALSE)</f>
        <v>A (P)</v>
      </c>
      <c r="K663" s="3" t="str">
        <f>IF(Check[[#This Row],[סטטוס2]]="הולד","פנויה",Check[[#This Row],[סטטוס2]])</f>
        <v>מכורה</v>
      </c>
      <c r="L663" s="382" t="s">
        <v>130</v>
      </c>
      <c r="M663" s="382"/>
      <c r="N663" s="383"/>
      <c r="O663" s="383"/>
      <c r="P663" s="411"/>
      <c r="Q663" s="411"/>
      <c r="R663" s="400"/>
      <c r="S663" s="390">
        <v>44258</v>
      </c>
      <c r="T663" s="390" t="s">
        <v>940</v>
      </c>
      <c r="U663" s="387" t="s">
        <v>941</v>
      </c>
      <c r="V663" s="387" t="s">
        <v>942</v>
      </c>
      <c r="W663" s="387"/>
    </row>
    <row r="664" spans="1:23" x14ac:dyDescent="0.2">
      <c r="A664" s="13" t="str">
        <f>_xlfn.CONCAT(VLOOKUP(Check[[#This Row],[סטטוס]],Sold,2,FALSE),IF(Check[[#This Row],[סטטוס]]="פנויה",IF(N664="גמר מלא סטנדרט",".GMS",IF(N664="גמר מלא טיוב חומרים",".GMC",IF(N664="גמר מינימלי",".GM",IF(N664="דירת שיווק",".DS","")))),""),".",VLOOKUP(Check[[#This Row],[טיפוס]],Tipus[],5,FALSE),".",VLOOKUP(Check[[#This Row],[מגדל]],Tower,2,FALSE),".Ap.",Check[[#This Row],[מספר דירה]])</f>
        <v>O.P.5AP.TN.Ap.325</v>
      </c>
      <c r="B664" s="13" t="str">
        <f>_xlfn.CONCAT(VLOOKUP(Check[[#This Row],[סטטוס]],Sold,2,FALSE),IF(Check[[#This Row],[סטטוס]]="פנויה",IF(N664="גמר מלא סטנדרט",".GMS",IF(N664="גמר מלא טיוב חומרים",".GMC",IF(N664="גמר מינימלי",".GM",IF(N664="דירת שיווק",".DS","")))),""),IF(M664="זומן לטרום",".ZLT",IF(M664="טרום מסירה",".TM",IF(M664="טרום מסירה מהנדס",".TMM",IF(M664="מסירת חזקה",".MH",IF(M664="מסירת חזקה מהנדס",".MHM",""))))),".",VLOOKUP(Check[[#This Row],[טיפוס]],Tipus[],5,FALSE),".",VLOOKUP(Check[[#This Row],[מגדל]],Tower,2,FALSE),".Ap.",Check[[#This Row],[מספר דירה]])</f>
        <v>O.P.5AP.TN.Ap.325</v>
      </c>
      <c r="C664" s="3" t="s">
        <v>56</v>
      </c>
      <c r="D664" s="3">
        <v>47</v>
      </c>
      <c r="E664" s="4">
        <v>325</v>
      </c>
      <c r="F664" s="3">
        <v>4703</v>
      </c>
      <c r="G664" s="5" t="s">
        <v>30</v>
      </c>
      <c r="H664" s="5">
        <f>VLOOKUP(Check[[#This Row],[טיפוס]],Tipus[],2,FALSE)</f>
        <v>5</v>
      </c>
      <c r="I664" s="5" t="str">
        <f>VLOOKUP(Check[[#This Row],[טיפוס]],Tipus[],3,FALSE)</f>
        <v>פרימיום</v>
      </c>
      <c r="J664" s="5" t="str">
        <f>VLOOKUP(Check[[#This Row],[טיפוס]],Tipus[],4,FALSE)</f>
        <v>J</v>
      </c>
      <c r="K664" s="3" t="str">
        <f>IF(Check[[#This Row],[סטטוס2]]="הולד","פנויה",Check[[#This Row],[סטטוס2]])</f>
        <v>בעלים</v>
      </c>
      <c r="L664" s="382" t="s">
        <v>91</v>
      </c>
      <c r="M664" s="382"/>
      <c r="N664" s="383"/>
      <c r="O664" s="383"/>
      <c r="P664" s="411"/>
      <c r="Q664" s="411"/>
      <c r="R664" s="400"/>
      <c r="S664" s="390">
        <v>44040</v>
      </c>
      <c r="T664" s="390" t="s">
        <v>359</v>
      </c>
      <c r="U664" s="387" t="s">
        <v>360</v>
      </c>
      <c r="V664" s="387" t="s">
        <v>361</v>
      </c>
      <c r="W664" s="387" t="s">
        <v>362</v>
      </c>
    </row>
    <row r="665" spans="1:23" x14ac:dyDescent="0.2">
      <c r="A665" s="13" t="str">
        <f>_xlfn.CONCAT(VLOOKUP(Check[[#This Row],[סטטוס]],Sold,2,FALSE),IF(Check[[#This Row],[סטטוס]]="פנויה",IF(N665="גמר מלא סטנדרט",".GMS",IF(N665="גמר מלא טיוב חומרים",".GMC",IF(N665="גמר מינימלי",".GM",IF(N665="דירת שיווק",".DS","")))),""),".",VLOOKUP(Check[[#This Row],[טיפוס]],Tipus[],5,FALSE),".",VLOOKUP(Check[[#This Row],[מגדל]],Tower,2,FALSE),".Ap.",Check[[#This Row],[מספר דירה]])</f>
        <v>O.P.5BP.TN.Ap.326</v>
      </c>
      <c r="B665" s="13" t="str">
        <f>_xlfn.CONCAT(VLOOKUP(Check[[#This Row],[סטטוס]],Sold,2,FALSE),IF(Check[[#This Row],[סטטוס]]="פנויה",IF(N665="גמר מלא סטנדרט",".GMS",IF(N665="גמר מלא טיוב חומרים",".GMC",IF(N665="גמר מינימלי",".GM",IF(N665="דירת שיווק",".DS","")))),""),IF(M665="זומן לטרום",".ZLT",IF(M665="טרום מסירה",".TM",IF(M665="טרום מסירה מהנדס",".TMM",IF(M665="מסירת חזקה",".MH",IF(M665="מסירת חזקה מהנדס",".MHM",""))))),".",VLOOKUP(Check[[#This Row],[טיפוס]],Tipus[],5,FALSE),".",VLOOKUP(Check[[#This Row],[מגדל]],Tower,2,FALSE),".Ap.",Check[[#This Row],[מספר דירה]])</f>
        <v>O.P.5BP.TN.Ap.326</v>
      </c>
      <c r="C665" s="3" t="s">
        <v>56</v>
      </c>
      <c r="D665" s="3">
        <v>47</v>
      </c>
      <c r="E665" s="4">
        <v>326</v>
      </c>
      <c r="F665" s="3">
        <v>4702</v>
      </c>
      <c r="G665" s="6" t="s">
        <v>31</v>
      </c>
      <c r="H665" s="6">
        <f>VLOOKUP(Check[[#This Row],[טיפוס]],Tipus[],2,FALSE)</f>
        <v>5</v>
      </c>
      <c r="I665" s="6" t="str">
        <f>VLOOKUP(Check[[#This Row],[טיפוס]],Tipus[],3,FALSE)</f>
        <v>פרימיום</v>
      </c>
      <c r="J665" s="6" t="str">
        <f>VLOOKUP(Check[[#This Row],[טיפוס]],Tipus[],4,FALSE)</f>
        <v>H</v>
      </c>
      <c r="K665" s="3" t="str">
        <f>IF(Check[[#This Row],[סטטוס2]]="הולד","פנויה",Check[[#This Row],[סטטוס2]])</f>
        <v>בעלים</v>
      </c>
      <c r="L665" s="382" t="s">
        <v>91</v>
      </c>
      <c r="M665" s="382"/>
      <c r="N665" s="383"/>
      <c r="O665" s="383"/>
      <c r="P665" s="411"/>
      <c r="Q665" s="411"/>
      <c r="R665" s="400"/>
      <c r="S665" s="390">
        <v>44040</v>
      </c>
      <c r="T665" s="390" t="s">
        <v>359</v>
      </c>
      <c r="U665" s="387" t="s">
        <v>363</v>
      </c>
      <c r="V665" s="387" t="s">
        <v>364</v>
      </c>
      <c r="W665" s="387" t="s">
        <v>214</v>
      </c>
    </row>
    <row r="666" spans="1:23" ht="32.25" thickBot="1" x14ac:dyDescent="0.25">
      <c r="A666" s="13" t="str">
        <f>_xlfn.CONCAT(VLOOKUP(Check[[#This Row],[סטטוס]],Sold,2,FALSE),IF(Check[[#This Row],[סטטוס]]="פנויה",IF(N666="גמר מלא סטנדרט",".GMS",IF(N666="גמר מלא טיוב חומרים",".GMC",IF(N666="גמר מינימלי",".GM",IF(N666="דירת שיווק",".DS","")))),""),".",VLOOKUP(Check[[#This Row],[טיפוס]],Tipus[],5,FALSE),".",VLOOKUP(Check[[#This Row],[מגדל]],Tower,2,FALSE),".Ap.",Check[[#This Row],[מספר דירה]])</f>
        <v>V.GM.PH1.TN.Ap.327</v>
      </c>
      <c r="B666" s="13" t="str">
        <f>_xlfn.CONCAT(VLOOKUP(Check[[#This Row],[סטטוס]],Sold,2,FALSE),IF(Check[[#This Row],[סטטוס]]="פנויה",IF(N666="גמר מלא סטנדרט",".GMS",IF(N666="גמר מלא טיוב חומרים",".GMC",IF(N666="גמר מינימלי",".GM",IF(N666="דירת שיווק",".DS","")))),""),IF(M666="זומן לטרום",".ZLT",IF(M666="טרום מסירה",".TM",IF(M666="טרום מסירה מהנדס",".TMM",IF(M666="מסירת חזקה",".MH",IF(M666="מסירת חזקה מהנדס",".MHM",""))))),".",VLOOKUP(Check[[#This Row],[טיפוס]],Tipus[],5,FALSE),".",VLOOKUP(Check[[#This Row],[מגדל]],Tower,2,FALSE),".Ap.",Check[[#This Row],[מספר דירה]])</f>
        <v>V.GM.PH1.TN.Ap.327</v>
      </c>
      <c r="C666" s="3" t="s">
        <v>56</v>
      </c>
      <c r="D666" s="3">
        <v>48</v>
      </c>
      <c r="E666" s="4">
        <v>327</v>
      </c>
      <c r="F666" s="3">
        <v>4802</v>
      </c>
      <c r="G666" s="5" t="s">
        <v>32</v>
      </c>
      <c r="H666" s="5">
        <f>VLOOKUP(Check[[#This Row],[טיפוס]],Tipus[],2,FALSE)</f>
        <v>6</v>
      </c>
      <c r="I666" s="5" t="str">
        <f>VLOOKUP(Check[[#This Row],[טיפוס]],Tipus[],3,FALSE)</f>
        <v>פנטהאוס</v>
      </c>
      <c r="J666" s="5" t="str">
        <f>VLOOKUP(Check[[#This Row],[טיפוס]],Tipus[],4,FALSE)</f>
        <v>PH1</v>
      </c>
      <c r="K666" s="3" t="str">
        <f>IF(Check[[#This Row],[סטטוס2]]="הולד","פנויה",Check[[#This Row],[סטטוס2]])</f>
        <v>פנויה</v>
      </c>
      <c r="L666" s="382" t="s">
        <v>108</v>
      </c>
      <c r="M666" s="382"/>
      <c r="N666" t="s">
        <v>1366</v>
      </c>
      <c r="O666" s="426" t="s">
        <v>1414</v>
      </c>
      <c r="P666" s="413" t="s">
        <v>1384</v>
      </c>
      <c r="Q666" s="428" t="s">
        <v>1413</v>
      </c>
      <c r="R666" s="400"/>
      <c r="S666" s="390"/>
      <c r="T666" s="390" t="s">
        <v>214</v>
      </c>
      <c r="U666" s="387"/>
      <c r="V666" s="387"/>
      <c r="W666" s="387"/>
    </row>
    <row r="667" spans="1:23" ht="32.25" thickBot="1" x14ac:dyDescent="0.25">
      <c r="A667" s="13" t="str">
        <f>_xlfn.CONCAT(VLOOKUP(Check[[#This Row],[סטטוס]],Sold,2,FALSE),IF(Check[[#This Row],[סטטוס]]="פנויה",IF(N667="גמר מלא סטנדרט",".GMS",IF(N667="גמר מלא טיוב חומרים",".GMC",IF(N667="גמר מינימלי",".GM",IF(N667="דירת שיווק",".DS","")))),""),".",VLOOKUP(Check[[#This Row],[טיפוס]],Tipus[],5,FALSE),".",VLOOKUP(Check[[#This Row],[מגדל]],Tower,2,FALSE),".Ap.",Check[[#This Row],[מספר דירה]])</f>
        <v>V.GM.PH2.TN.Ap.328</v>
      </c>
      <c r="B667" s="13" t="str">
        <f>_xlfn.CONCAT(VLOOKUP(Check[[#This Row],[סטטוס]],Sold,2,FALSE),IF(Check[[#This Row],[סטטוס]]="פנויה",IF(N667="גמר מלא סטנדרט",".GMS",IF(N667="גמר מלא טיוב חומרים",".GMC",IF(N667="גמר מינימלי",".GM",IF(N667="דירת שיווק",".DS","")))),""),IF(M667="זומן לטרום",".ZLT",IF(M667="טרום מסירה",".TM",IF(M667="טרום מסירה מהנדס",".TMM",IF(M667="מסירת חזקה",".MH",IF(M667="מסירת חזקה מהנדס",".MHM",""))))),".",VLOOKUP(Check[[#This Row],[טיפוס]],Tipus[],5,FALSE),".",VLOOKUP(Check[[#This Row],[מגדל]],Tower,2,FALSE),".Ap.",Check[[#This Row],[מספר דירה]])</f>
        <v>V.GM.PH2.TN.Ap.328</v>
      </c>
      <c r="C667" s="3" t="s">
        <v>56</v>
      </c>
      <c r="D667" s="3">
        <v>48</v>
      </c>
      <c r="E667" s="4">
        <v>328</v>
      </c>
      <c r="F667" s="3">
        <v>4801</v>
      </c>
      <c r="G667" s="5" t="s">
        <v>33</v>
      </c>
      <c r="H667" s="5">
        <f>VLOOKUP(Check[[#This Row],[טיפוס]],Tipus[],2,FALSE)</f>
        <v>6</v>
      </c>
      <c r="I667" s="5" t="str">
        <f>VLOOKUP(Check[[#This Row],[טיפוס]],Tipus[],3,FALSE)</f>
        <v>פנטהאוס</v>
      </c>
      <c r="J667" s="5" t="str">
        <f>VLOOKUP(Check[[#This Row],[טיפוס]],Tipus[],4,FALSE)</f>
        <v>PH2</v>
      </c>
      <c r="K667" s="3" t="str">
        <f>IF(Check[[#This Row],[סטטוס2]]="הולד","פנויה",Check[[#This Row],[סטטוס2]])</f>
        <v>פנויה</v>
      </c>
      <c r="L667" s="382" t="s">
        <v>108</v>
      </c>
      <c r="M667" s="382"/>
      <c r="N667" t="s">
        <v>1366</v>
      </c>
      <c r="O667" s="426" t="s">
        <v>1414</v>
      </c>
      <c r="P667" s="413" t="s">
        <v>1384</v>
      </c>
      <c r="Q667" s="428" t="s">
        <v>1413</v>
      </c>
      <c r="R667" s="400"/>
      <c r="S667" s="390"/>
      <c r="T667" s="390" t="s">
        <v>214</v>
      </c>
      <c r="U667" s="387"/>
      <c r="V667" s="387"/>
      <c r="W667" s="387"/>
    </row>
    <row r="668" spans="1:23" ht="32.25" thickBot="1" x14ac:dyDescent="0.25">
      <c r="A668" s="13" t="str">
        <f>_xlfn.CONCAT(VLOOKUP(Check[[#This Row],[סטטוס]],Sold,2,FALSE),IF(Check[[#This Row],[סטטוס]]="פנויה",IF(N668="גמר מלא סטנדרט",".GMS",IF(N668="גמר מלא טיוב חומרים",".GMC",IF(N668="גמר מינימלי",".GM",IF(N668="דירת שיווק",".DS","")))),""),".",VLOOKUP(Check[[#This Row],[טיפוס]],Tipus[],5,FALSE),".",VLOOKUP(Check[[#This Row],[מגדל]],Tower,2,FALSE),".Ap.",Check[[#This Row],[מספר דירה]])</f>
        <v>V.GM.PH3.TN.Ap.329</v>
      </c>
      <c r="B668" s="13" t="str">
        <f>_xlfn.CONCAT(VLOOKUP(Check[[#This Row],[סטטוס]],Sold,2,FALSE),IF(Check[[#This Row],[סטטוס]]="פנויה",IF(N668="גמר מלא סטנדרט",".GMS",IF(N668="גמר מלא טיוב חומרים",".GMC",IF(N668="גמר מינימלי",".GM",IF(N668="דירת שיווק",".DS","")))),""),IF(M668="זומן לטרום",".ZLT",IF(M668="טרום מסירה",".TM",IF(M668="טרום מסירה מהנדס",".TMM",IF(M668="מסירת חזקה",".MH",IF(M668="מסירת חזקה מהנדס",".MHM",""))))),".",VLOOKUP(Check[[#This Row],[טיפוס]],Tipus[],5,FALSE),".",VLOOKUP(Check[[#This Row],[מגדל]],Tower,2,FALSE),".Ap.",Check[[#This Row],[מספר דירה]])</f>
        <v>V.GM.PH3.TN.Ap.329</v>
      </c>
      <c r="C668" s="3" t="s">
        <v>56</v>
      </c>
      <c r="D668" s="3">
        <v>49</v>
      </c>
      <c r="E668" s="4">
        <v>329</v>
      </c>
      <c r="F668" s="3">
        <v>4902</v>
      </c>
      <c r="G668" s="5" t="s">
        <v>34</v>
      </c>
      <c r="H668" s="5">
        <f>VLOOKUP(Check[[#This Row],[טיפוס]],Tipus[],2,FALSE)</f>
        <v>5</v>
      </c>
      <c r="I668" s="5" t="str">
        <f>VLOOKUP(Check[[#This Row],[טיפוס]],Tipus[],3,FALSE)</f>
        <v>פנטהאוס</v>
      </c>
      <c r="J668" s="5" t="str">
        <f>VLOOKUP(Check[[#This Row],[טיפוס]],Tipus[],4,FALSE)</f>
        <v>PH3</v>
      </c>
      <c r="K668" s="3" t="str">
        <f>IF(Check[[#This Row],[סטטוס2]]="הולד","פנויה",Check[[#This Row],[סטטוס2]])</f>
        <v>פנויה</v>
      </c>
      <c r="L668" s="382" t="s">
        <v>108</v>
      </c>
      <c r="M668" s="382"/>
      <c r="N668" t="s">
        <v>1366</v>
      </c>
      <c r="O668" s="427" t="s">
        <v>1407</v>
      </c>
      <c r="P668" s="413" t="s">
        <v>1384</v>
      </c>
      <c r="Q668" s="428" t="s">
        <v>1413</v>
      </c>
      <c r="R668" s="400"/>
      <c r="S668" s="390"/>
      <c r="T668" s="390" t="s">
        <v>214</v>
      </c>
      <c r="U668" s="387"/>
      <c r="V668" s="387"/>
      <c r="W668" s="387"/>
    </row>
    <row r="669" spans="1:23" ht="32.25" thickBot="1" x14ac:dyDescent="0.25">
      <c r="A669" s="13" t="str">
        <f>_xlfn.CONCAT(VLOOKUP(Check[[#This Row],[סטטוס]],Sold,2,FALSE),IF(Check[[#This Row],[סטטוס]]="פנויה",IF(N669="גמר מלא סטנדרט",".GMS",IF(N669="גמר מלא טיוב חומרים",".GMC",IF(N669="גמר מינימלי",".GM",IF(N669="דירת שיווק",".DS","")))),""),".",VLOOKUP(Check[[#This Row],[טיפוס]],Tipus[],5,FALSE),".",VLOOKUP(Check[[#This Row],[מגדל]],Tower,2,FALSE),".Ap.",Check[[#This Row],[מספר דירה]])</f>
        <v>V.GM.PH4.TN.Ap.330</v>
      </c>
      <c r="B669" s="13" t="str">
        <f>_xlfn.CONCAT(VLOOKUP(Check[[#This Row],[סטטוס]],Sold,2,FALSE),IF(Check[[#This Row],[סטטוס]]="פנויה",IF(N669="גמר מלא סטנדרט",".GMS",IF(N669="גמר מלא טיוב חומרים",".GMC",IF(N669="גמר מינימלי",".GM",IF(N669="דירת שיווק",".DS","")))),""),IF(M669="זומן לטרום",".ZLT",IF(M669="טרום מסירה",".TM",IF(M669="טרום מסירה מהנדס",".TMM",IF(M669="מסירת חזקה",".MH",IF(M669="מסירת חזקה מהנדס",".MHM",""))))),".",VLOOKUP(Check[[#This Row],[טיפוס]],Tipus[],5,FALSE),".",VLOOKUP(Check[[#This Row],[מגדל]],Tower,2,FALSE),".Ap.",Check[[#This Row],[מספר דירה]])</f>
        <v>V.GM.PH4.TN.Ap.330</v>
      </c>
      <c r="C669" s="3" t="s">
        <v>56</v>
      </c>
      <c r="D669" s="3">
        <v>49</v>
      </c>
      <c r="E669" s="4">
        <v>330</v>
      </c>
      <c r="F669" s="3">
        <v>4901</v>
      </c>
      <c r="G669" s="6" t="s">
        <v>35</v>
      </c>
      <c r="H669" s="6">
        <f>VLOOKUP(Check[[#This Row],[טיפוס]],Tipus[],2,FALSE)</f>
        <v>5</v>
      </c>
      <c r="I669" s="6" t="str">
        <f>VLOOKUP(Check[[#This Row],[טיפוס]],Tipus[],3,FALSE)</f>
        <v>פנטהאוס</v>
      </c>
      <c r="J669" s="6" t="str">
        <f>VLOOKUP(Check[[#This Row],[טיפוס]],Tipus[],4,FALSE)</f>
        <v>PH4</v>
      </c>
      <c r="K669" s="3" t="str">
        <f>IF(Check[[#This Row],[סטטוס2]]="הולד","פנויה",Check[[#This Row],[סטטוס2]])</f>
        <v>פנויה</v>
      </c>
      <c r="L669" s="382" t="s">
        <v>108</v>
      </c>
      <c r="M669" s="382"/>
      <c r="N669" t="s">
        <v>1366</v>
      </c>
      <c r="O669" s="426" t="s">
        <v>1414</v>
      </c>
      <c r="P669" s="413" t="s">
        <v>1384</v>
      </c>
      <c r="Q669" s="428" t="s">
        <v>1413</v>
      </c>
      <c r="R669" s="400"/>
      <c r="S669" s="390"/>
      <c r="T669" s="390" t="s">
        <v>214</v>
      </c>
      <c r="U669" s="387"/>
      <c r="V669" s="387"/>
      <c r="W669" s="387"/>
    </row>
    <row r="670" spans="1:23" x14ac:dyDescent="0.2">
      <c r="A670" s="13" t="str">
        <f>_xlfn.CONCAT(VLOOKUP(Check[[#This Row],[סטטוס]],Sold,2,FALSE),IF(Check[[#This Row],[סטטוס]]="פנויה",IF(N670="גמר מלא סטנדרט",".GMS",IF(N670="גמר מלא טיוב חומרים",".GMC",IF(N670="גמר מינימלי",".GM",IF(N670="דירת שיווק",".DS","")))),""),".",VLOOKUP(Check[[#This Row],[טיפוס]],Tipus[],5,FALSE),".",VLOOKUP(Check[[#This Row],[מגדל]],Tower,2,FALSE),".Ap.",Check[[#This Row],[מספר דירה]])</f>
        <v>S.PH5.TN.Ap.331</v>
      </c>
      <c r="B670" s="13" t="str">
        <f>_xlfn.CONCAT(VLOOKUP(Check[[#This Row],[סטטוס]],Sold,2,FALSE),IF(Check[[#This Row],[סטטוס]]="פנויה",IF(N670="גמר מלא סטנדרט",".GMS",IF(N670="גמר מלא טיוב חומרים",".GMC",IF(N670="גמר מינימלי",".GM",IF(N670="דירת שיווק",".DS","")))),""),IF(M670="זומן לטרום",".ZLT",IF(M670="טרום מסירה",".TM",IF(M670="טרום מסירה מהנדס",".TMM",IF(M670="מסירת חזקה",".MH",IF(M670="מסירת חזקה מהנדס",".MHM",""))))),".",VLOOKUP(Check[[#This Row],[טיפוס]],Tipus[],5,FALSE),".",VLOOKUP(Check[[#This Row],[מגדל]],Tower,2,FALSE),".Ap.",Check[[#This Row],[מספר דירה]])</f>
        <v>S.PH5.TN.Ap.331</v>
      </c>
      <c r="C670" s="3" t="s">
        <v>56</v>
      </c>
      <c r="D670" s="3">
        <v>50</v>
      </c>
      <c r="E670" s="4">
        <v>331</v>
      </c>
      <c r="F670" s="3">
        <v>5001</v>
      </c>
      <c r="G670" s="3" t="s">
        <v>5</v>
      </c>
      <c r="H670" s="3">
        <f>VLOOKUP(Check[[#This Row],[טיפוס]],Tipus[],2,FALSE)</f>
        <v>5</v>
      </c>
      <c r="I670" s="3" t="str">
        <f>VLOOKUP(Check[[#This Row],[טיפוס]],Tipus[],3,FALSE)</f>
        <v>פנטהאוס</v>
      </c>
      <c r="J670" s="3" t="str">
        <f>VLOOKUP(Check[[#This Row],[טיפוס]],Tipus[],4,FALSE)</f>
        <v>PH5</v>
      </c>
      <c r="K670" s="3" t="str">
        <f>IF(Check[[#This Row],[סטטוס2]]="הולד","פנויה",Check[[#This Row],[סטטוס2]])</f>
        <v>מכורה</v>
      </c>
      <c r="L670" s="382" t="s">
        <v>130</v>
      </c>
      <c r="M670" s="382"/>
      <c r="N670" s="383"/>
      <c r="O670" s="383"/>
      <c r="P670" s="411"/>
      <c r="Q670" s="411"/>
      <c r="R670" s="400"/>
      <c r="S670" s="390">
        <v>44290</v>
      </c>
      <c r="T670" s="390" t="s">
        <v>1196</v>
      </c>
      <c r="U670" s="387" t="s">
        <v>943</v>
      </c>
      <c r="V670" s="387" t="s">
        <v>944</v>
      </c>
      <c r="W670" s="387" t="s">
        <v>945</v>
      </c>
    </row>
  </sheetData>
  <sheetProtection sort="0" autoFilter="0"/>
  <phoneticPr fontId="2" type="noConversion"/>
  <conditionalFormatting sqref="C3:C670">
    <cfRule type="containsText" dxfId="224" priority="419" operator="containsText" text="דרומי">
      <formula>NOT(ISERROR(SEARCH("דרומי",C3)))</formula>
    </cfRule>
    <cfRule type="containsText" dxfId="223" priority="418" operator="containsText" text="צפוני">
      <formula>NOT(ISERROR(SEARCH("צפוני",C3)))</formula>
    </cfRule>
  </conditionalFormatting>
  <conditionalFormatting sqref="K1:Q1 K2:R10 M3:M24 K11:L11 R11:R12 K12:M12 K13:R17 K18:M18 R18 K19:R19 K20:M20 R20 K21:R21 K22:M22 R22 K23:R27 K28:M28 R28 K29:R29 K30:M30 R30 K31:R31 K32:M32 R32 K33:R39 K40:M40 R40 K41:R41 K42:M42 R42 K43:R50 K51:M51 R51 K52:R59 K60:M63 R60:R63 K64:R70 K71:M72 R71:R72 K73:R79 K80:M82 R81:R84 K83:O97 P85:R97 K98:M101 R98:R101 K102:R105 K106:M107 R106:R107 K108:R108 K109:M109 R109 K110:R116 K117:M117 R117 K118:R122 K123:M123 R123 K124:R124 K125:M125 R125 K126:R132 K133:M133 R133 K134:R146 K147:M149 R147:R149 K150:R154 K155:M157 R155:R157 K158:R163 K164:M165 R164:R165 K166:R172 K173:M173 R173 K174:R179 K180:M180 K181:R182 K183:M183 R183 P184:R189 K184:O190 R190:R191 K191:M191 K192:R200 K201:M201 K202:R202 K203:M204 R203:R204 K205:R207 K208:M208 K209:R209 K210:M210 R210 K211:R216 K217:M218 R217:R218 K219:R221 K222:M222 K223:R223 K224:M225 R224:R225 K226:R228 K229:M229 K230:R230 K231:M233 R231:R233 K234:R235 K236:M236 K237:R237 K238:M239 R238:R239 K240:R241 O242:R242 K242:M246 R244:R246 K247:R248 O249:R249 K249:M251 R251 K252:R252 K253:M253 R253 K254:R255 K256:N256 R256:R257 K257:M257 K258:R259 K260:M260 R260 K261:R262 K263:N263 R263:R264 K264:M264 K265:R269 K270:M270 R270 K271:R272 K273:P273 R273:R275 O274:P274 K274:M275 K276:R277 K278:M279 R278:R279 K280:R293 K294:M294 K295:R297 K298:M300 R298:R300 K301:R304 K305:M305 R305 K306:R307 K308:N308 R308:R310 K309:M310 K311:R312 K313:N314 R313:R314 K315:R323 K324:M324 K325:R328 K329:M329 K330:R333 K334:M336 R335:R336 K337:R344 K345:M345 R345 K346:R353 K354:M354 R354 K355:R465 K466:M466 R466 K467:R481 K482:M482 R482 K483:R489 K490:M490 R490 K491:R501 K502:M502 O502:R502 K503:R504 K505:M505 R505 K506:R511 K512:M512 R512 K513:R518 K519:M519 R519 K520:R521 K522:M522 K523:O525 R523:R528 K526:M526 K527:O527 K528:M529 K530:R531 K532:M533 R532:R533 K534:R538 K539:M540 R539:R540 K541:R545 K546:M547 R546:R547 K548:R548 K549:M549 R549 K550:R552 K553:M553 R553 K554:R555 K556:M556 R556 K557:R559 R560:R563 K560:M564 K565:R566 K567:M567 O567 R567 K568:R569 R570 K570:M571 K572:R576 R577 K577:M578 K579:R591 K592:M592 K593:R595 K596:M596 R596 K597:R600 K601:M602 R602 K603:R605 K606:M606 R606 K607:R610 K611:M611 O612:O619 K612:N620 P612:R620 K621:M621 K622:R625 K626:M626 R626 K627:R630 K631:M631 K632:R635 K636:M636 R636 K637:R639 K640:M641 K642:R649 K650:M650 K651:R654 K655:M656 K657:R659 K660:M661 K662:R665 K666:M669 R666:R669 K670:R670 K671:Q1048576">
    <cfRule type="containsText" dxfId="222" priority="422" operator="containsText" text="בעלים">
      <formula>NOT(ISERROR(SEARCH("בעלים",K1)))</formula>
    </cfRule>
    <cfRule type="containsText" dxfId="221" priority="420" operator="containsText" text="הולד">
      <formula>NOT(ISERROR(SEARCH("הולד",K1)))</formula>
    </cfRule>
    <cfRule type="containsText" dxfId="220" priority="423" operator="containsText" text="מכורה">
      <formula>NOT(ISERROR(SEARCH("מכורה",K1)))</formula>
    </cfRule>
  </conditionalFormatting>
  <conditionalFormatting sqref="O11:O12">
    <cfRule type="containsText" dxfId="219" priority="4" operator="containsText" text="הולד">
      <formula>NOT(ISERROR(SEARCH("הולד",O11)))</formula>
    </cfRule>
    <cfRule type="containsText" dxfId="218" priority="5" operator="containsText" text="בעלים">
      <formula>NOT(ISERROR(SEARCH("בעלים",O11)))</formula>
    </cfRule>
    <cfRule type="containsText" dxfId="217" priority="6" operator="containsText" text="מכורה">
      <formula>NOT(ISERROR(SEARCH("מכורה",O11)))</formula>
    </cfRule>
  </conditionalFormatting>
  <conditionalFormatting sqref="O18">
    <cfRule type="containsText" dxfId="216" priority="23" operator="containsText" text="בעלים">
      <formula>NOT(ISERROR(SEARCH("בעלים",O18)))</formula>
    </cfRule>
    <cfRule type="containsText" dxfId="215" priority="22" operator="containsText" text="הולד">
      <formula>NOT(ISERROR(SEARCH("הולד",O18)))</formula>
    </cfRule>
    <cfRule type="containsText" dxfId="214" priority="24" operator="containsText" text="מכורה">
      <formula>NOT(ISERROR(SEARCH("מכורה",O18)))</formula>
    </cfRule>
  </conditionalFormatting>
  <conditionalFormatting sqref="O20">
    <cfRule type="containsText" dxfId="213" priority="19" operator="containsText" text="הולד">
      <formula>NOT(ISERROR(SEARCH("הולד",O20)))</formula>
    </cfRule>
    <cfRule type="containsText" dxfId="212" priority="20" operator="containsText" text="בעלים">
      <formula>NOT(ISERROR(SEARCH("בעלים",O20)))</formula>
    </cfRule>
    <cfRule type="containsText" dxfId="211" priority="21" operator="containsText" text="מכורה">
      <formula>NOT(ISERROR(SEARCH("מכורה",O20)))</formula>
    </cfRule>
  </conditionalFormatting>
  <conditionalFormatting sqref="O22">
    <cfRule type="containsText" dxfId="210" priority="16" operator="containsText" text="הולד">
      <formula>NOT(ISERROR(SEARCH("הולד",O22)))</formula>
    </cfRule>
    <cfRule type="containsText" dxfId="209" priority="17" operator="containsText" text="בעלים">
      <formula>NOT(ISERROR(SEARCH("בעלים",O22)))</formula>
    </cfRule>
    <cfRule type="containsText" dxfId="208" priority="18" operator="containsText" text="מכורה">
      <formula>NOT(ISERROR(SEARCH("מכורה",O22)))</formula>
    </cfRule>
  </conditionalFormatting>
  <conditionalFormatting sqref="O28">
    <cfRule type="containsText" dxfId="207" priority="13" operator="containsText" text="הולד">
      <formula>NOT(ISERROR(SEARCH("הולד",O28)))</formula>
    </cfRule>
    <cfRule type="containsText" dxfId="206" priority="14" operator="containsText" text="בעלים">
      <formula>NOT(ISERROR(SEARCH("בעלים",O28)))</formula>
    </cfRule>
    <cfRule type="containsText" dxfId="205" priority="15" operator="containsText" text="מכורה">
      <formula>NOT(ISERROR(SEARCH("מכורה",O28)))</formula>
    </cfRule>
  </conditionalFormatting>
  <conditionalFormatting sqref="O30">
    <cfRule type="containsText" dxfId="204" priority="10" operator="containsText" text="הולד">
      <formula>NOT(ISERROR(SEARCH("הולד",O30)))</formula>
    </cfRule>
    <cfRule type="containsText" dxfId="203" priority="11" operator="containsText" text="בעלים">
      <formula>NOT(ISERROR(SEARCH("בעלים",O30)))</formula>
    </cfRule>
    <cfRule type="containsText" dxfId="202" priority="12" operator="containsText" text="מכורה">
      <formula>NOT(ISERROR(SEARCH("מכורה",O30)))</formula>
    </cfRule>
  </conditionalFormatting>
  <conditionalFormatting sqref="O32">
    <cfRule type="containsText" dxfId="201" priority="8" operator="containsText" text="בעלים">
      <formula>NOT(ISERROR(SEARCH("בעלים",O32)))</formula>
    </cfRule>
    <cfRule type="containsText" dxfId="200" priority="9" operator="containsText" text="מכורה">
      <formula>NOT(ISERROR(SEARCH("מכורה",O32)))</formula>
    </cfRule>
    <cfRule type="containsText" dxfId="199" priority="7" operator="containsText" text="הולד">
      <formula>NOT(ISERROR(SEARCH("הולד",O32)))</formula>
    </cfRule>
  </conditionalFormatting>
  <conditionalFormatting sqref="O40">
    <cfRule type="containsText" dxfId="198" priority="28" operator="containsText" text="הולד">
      <formula>NOT(ISERROR(SEARCH("הולד",O40)))</formula>
    </cfRule>
    <cfRule type="containsText" dxfId="197" priority="29" operator="containsText" text="בעלים">
      <formula>NOT(ISERROR(SEARCH("בעלים",O40)))</formula>
    </cfRule>
    <cfRule type="containsText" dxfId="196" priority="30" operator="containsText" text="מכורה">
      <formula>NOT(ISERROR(SEARCH("מכורה",O40)))</formula>
    </cfRule>
  </conditionalFormatting>
  <conditionalFormatting sqref="O42">
    <cfRule type="containsText" dxfId="195" priority="27" operator="containsText" text="מכורה">
      <formula>NOT(ISERROR(SEARCH("מכורה",O42)))</formula>
    </cfRule>
    <cfRule type="containsText" dxfId="194" priority="25" operator="containsText" text="הולד">
      <formula>NOT(ISERROR(SEARCH("הולד",O42)))</formula>
    </cfRule>
    <cfRule type="containsText" dxfId="193" priority="26" operator="containsText" text="בעלים">
      <formula>NOT(ISERROR(SEARCH("בעלים",O42)))</formula>
    </cfRule>
  </conditionalFormatting>
  <conditionalFormatting sqref="O51">
    <cfRule type="containsText" dxfId="192" priority="33" operator="containsText" text="מכורה">
      <formula>NOT(ISERROR(SEARCH("מכורה",O51)))</formula>
    </cfRule>
    <cfRule type="containsText" dxfId="191" priority="31" operator="containsText" text="הולד">
      <formula>NOT(ISERROR(SEARCH("הולד",O51)))</formula>
    </cfRule>
    <cfRule type="containsText" dxfId="190" priority="32" operator="containsText" text="בעלים">
      <formula>NOT(ISERROR(SEARCH("בעלים",O51)))</formula>
    </cfRule>
  </conditionalFormatting>
  <conditionalFormatting sqref="O60:O63">
    <cfRule type="containsText" dxfId="189" priority="34" operator="containsText" text="הולד">
      <formula>NOT(ISERROR(SEARCH("הולד",O60)))</formula>
    </cfRule>
    <cfRule type="containsText" dxfId="188" priority="35" operator="containsText" text="בעלים">
      <formula>NOT(ISERROR(SEARCH("בעלים",O60)))</formula>
    </cfRule>
    <cfRule type="containsText" dxfId="187" priority="36" operator="containsText" text="מכורה">
      <formula>NOT(ISERROR(SEARCH("מכורה",O60)))</formula>
    </cfRule>
  </conditionalFormatting>
  <conditionalFormatting sqref="O71:O72">
    <cfRule type="containsText" dxfId="186" priority="37" operator="containsText" text="הולד">
      <formula>NOT(ISERROR(SEARCH("הולד",O71)))</formula>
    </cfRule>
    <cfRule type="containsText" dxfId="185" priority="39" operator="containsText" text="מכורה">
      <formula>NOT(ISERROR(SEARCH("מכורה",O71)))</formula>
    </cfRule>
    <cfRule type="containsText" dxfId="184" priority="38" operator="containsText" text="בעלים">
      <formula>NOT(ISERROR(SEARCH("בעלים",O71)))</formula>
    </cfRule>
  </conditionalFormatting>
  <conditionalFormatting sqref="O81:O82">
    <cfRule type="containsText" dxfId="183" priority="40" operator="containsText" text="הולד">
      <formula>NOT(ISERROR(SEARCH("הולד",O81)))</formula>
    </cfRule>
    <cfRule type="containsText" dxfId="182" priority="41" operator="containsText" text="בעלים">
      <formula>NOT(ISERROR(SEARCH("בעלים",O81)))</formula>
    </cfRule>
    <cfRule type="containsText" dxfId="181" priority="42" operator="containsText" text="מכורה">
      <formula>NOT(ISERROR(SEARCH("מכורה",O81)))</formula>
    </cfRule>
  </conditionalFormatting>
  <conditionalFormatting sqref="O98:O101">
    <cfRule type="containsText" dxfId="180" priority="43" operator="containsText" text="הולד">
      <formula>NOT(ISERROR(SEARCH("הולד",O98)))</formula>
    </cfRule>
    <cfRule type="containsText" dxfId="179" priority="45" operator="containsText" text="מכורה">
      <formula>NOT(ISERROR(SEARCH("מכורה",O98)))</formula>
    </cfRule>
    <cfRule type="containsText" dxfId="178" priority="44" operator="containsText" text="בעלים">
      <formula>NOT(ISERROR(SEARCH("בעלים",O98)))</formula>
    </cfRule>
  </conditionalFormatting>
  <conditionalFormatting sqref="O106:O107">
    <cfRule type="containsText" dxfId="177" priority="49" operator="containsText" text="הולד">
      <formula>NOT(ISERROR(SEARCH("הולד",O106)))</formula>
    </cfRule>
    <cfRule type="containsText" dxfId="176" priority="50" operator="containsText" text="בעלים">
      <formula>NOT(ISERROR(SEARCH("בעלים",O106)))</formula>
    </cfRule>
    <cfRule type="containsText" dxfId="175" priority="51" operator="containsText" text="מכורה">
      <formula>NOT(ISERROR(SEARCH("מכורה",O106)))</formula>
    </cfRule>
  </conditionalFormatting>
  <conditionalFormatting sqref="O109">
    <cfRule type="containsText" dxfId="174" priority="48" operator="containsText" text="מכורה">
      <formula>NOT(ISERROR(SEARCH("מכורה",O109)))</formula>
    </cfRule>
    <cfRule type="containsText" dxfId="173" priority="46" operator="containsText" text="הולד">
      <formula>NOT(ISERROR(SEARCH("הולד",O109)))</formula>
    </cfRule>
    <cfRule type="containsText" dxfId="172" priority="47" operator="containsText" text="בעלים">
      <formula>NOT(ISERROR(SEARCH("בעלים",O109)))</formula>
    </cfRule>
  </conditionalFormatting>
  <conditionalFormatting sqref="O117">
    <cfRule type="containsText" dxfId="171" priority="55" operator="containsText" text="הולד">
      <formula>NOT(ISERROR(SEARCH("הולד",O117)))</formula>
    </cfRule>
    <cfRule type="containsText" dxfId="170" priority="56" operator="containsText" text="בעלים">
      <formula>NOT(ISERROR(SEARCH("בעלים",O117)))</formula>
    </cfRule>
    <cfRule type="containsText" dxfId="169" priority="57" operator="containsText" text="מכורה">
      <formula>NOT(ISERROR(SEARCH("מכורה",O117)))</formula>
    </cfRule>
  </conditionalFormatting>
  <conditionalFormatting sqref="O123">
    <cfRule type="containsText" dxfId="168" priority="58" operator="containsText" text="הולד">
      <formula>NOT(ISERROR(SEARCH("הולד",O123)))</formula>
    </cfRule>
    <cfRule type="containsText" dxfId="167" priority="59" operator="containsText" text="בעלים">
      <formula>NOT(ISERROR(SEARCH("בעלים",O123)))</formula>
    </cfRule>
    <cfRule type="containsText" dxfId="166" priority="60" operator="containsText" text="מכורה">
      <formula>NOT(ISERROR(SEARCH("מכורה",O123)))</formula>
    </cfRule>
  </conditionalFormatting>
  <conditionalFormatting sqref="O125">
    <cfRule type="containsText" dxfId="165" priority="54" operator="containsText" text="מכורה">
      <formula>NOT(ISERROR(SEARCH("מכורה",O125)))</formula>
    </cfRule>
    <cfRule type="containsText" dxfId="164" priority="53" operator="containsText" text="בעלים">
      <formula>NOT(ISERROR(SEARCH("בעלים",O125)))</formula>
    </cfRule>
    <cfRule type="containsText" dxfId="163" priority="52" operator="containsText" text="הולד">
      <formula>NOT(ISERROR(SEARCH("הולד",O125)))</formula>
    </cfRule>
  </conditionalFormatting>
  <conditionalFormatting sqref="O133">
    <cfRule type="containsText" dxfId="162" priority="61" operator="containsText" text="הולד">
      <formula>NOT(ISERROR(SEARCH("הולד",O133)))</formula>
    </cfRule>
    <cfRule type="containsText" dxfId="161" priority="62" operator="containsText" text="בעלים">
      <formula>NOT(ISERROR(SEARCH("בעלים",O133)))</formula>
    </cfRule>
    <cfRule type="containsText" dxfId="160" priority="63" operator="containsText" text="מכורה">
      <formula>NOT(ISERROR(SEARCH("מכורה",O133)))</formula>
    </cfRule>
  </conditionalFormatting>
  <conditionalFormatting sqref="O149">
    <cfRule type="containsText" dxfId="159" priority="64" operator="containsText" text="הולד">
      <formula>NOT(ISERROR(SEARCH("הולד",O149)))</formula>
    </cfRule>
    <cfRule type="containsText" dxfId="158" priority="65" operator="containsText" text="בעלים">
      <formula>NOT(ISERROR(SEARCH("בעלים",O149)))</formula>
    </cfRule>
    <cfRule type="containsText" dxfId="157" priority="66" operator="containsText" text="מכורה">
      <formula>NOT(ISERROR(SEARCH("מכורה",O149)))</formula>
    </cfRule>
  </conditionalFormatting>
  <conditionalFormatting sqref="O157">
    <cfRule type="containsText" dxfId="156" priority="245" operator="containsText" text="בעלים">
      <formula>NOT(ISERROR(SEARCH("בעלים",O157)))</formula>
    </cfRule>
    <cfRule type="containsText" dxfId="155" priority="244" operator="containsText" text="הולד">
      <formula>NOT(ISERROR(SEARCH("הולד",O157)))</formula>
    </cfRule>
    <cfRule type="containsText" dxfId="154" priority="246" operator="containsText" text="מכורה">
      <formula>NOT(ISERROR(SEARCH("מכורה",O157)))</formula>
    </cfRule>
  </conditionalFormatting>
  <conditionalFormatting sqref="O164:O165">
    <cfRule type="containsText" dxfId="153" priority="67" operator="containsText" text="הולד">
      <formula>NOT(ISERROR(SEARCH("הולד",O164)))</formula>
    </cfRule>
    <cfRule type="containsText" dxfId="152" priority="68" operator="containsText" text="בעלים">
      <formula>NOT(ISERROR(SEARCH("בעלים",O164)))</formula>
    </cfRule>
    <cfRule type="containsText" dxfId="151" priority="69" operator="containsText" text="מכורה">
      <formula>NOT(ISERROR(SEARCH("מכורה",O164)))</formula>
    </cfRule>
  </conditionalFormatting>
  <conditionalFormatting sqref="O173">
    <cfRule type="containsText" dxfId="150" priority="71" operator="containsText" text="בעלים">
      <formula>NOT(ISERROR(SEARCH("בעלים",O173)))</formula>
    </cfRule>
    <cfRule type="containsText" dxfId="149" priority="72" operator="containsText" text="מכורה">
      <formula>NOT(ISERROR(SEARCH("מכורה",O173)))</formula>
    </cfRule>
    <cfRule type="containsText" dxfId="148" priority="70" operator="containsText" text="הולד">
      <formula>NOT(ISERROR(SEARCH("הולד",O173)))</formula>
    </cfRule>
  </conditionalFormatting>
  <conditionalFormatting sqref="O183">
    <cfRule type="containsText" dxfId="147" priority="75" operator="containsText" text="מכורה">
      <formula>NOT(ISERROR(SEARCH("מכורה",O183)))</formula>
    </cfRule>
    <cfRule type="containsText" dxfId="146" priority="73" operator="containsText" text="הולד">
      <formula>NOT(ISERROR(SEARCH("הולד",O183)))</formula>
    </cfRule>
    <cfRule type="containsText" dxfId="145" priority="74" operator="containsText" text="בעלים">
      <formula>NOT(ISERROR(SEARCH("בעלים",O183)))</formula>
    </cfRule>
  </conditionalFormatting>
  <conditionalFormatting sqref="O203:O204">
    <cfRule type="containsText" dxfId="144" priority="76" operator="containsText" text="הולד">
      <formula>NOT(ISERROR(SEARCH("הולד",O203)))</formula>
    </cfRule>
    <cfRule type="containsText" dxfId="143" priority="77" operator="containsText" text="בעלים">
      <formula>NOT(ISERROR(SEARCH("בעלים",O203)))</formula>
    </cfRule>
    <cfRule type="containsText" dxfId="142" priority="78" operator="containsText" text="מכורה">
      <formula>NOT(ISERROR(SEARCH("מכורה",O203)))</formula>
    </cfRule>
  </conditionalFormatting>
  <conditionalFormatting sqref="O210">
    <cfRule type="containsText" dxfId="141" priority="82" operator="containsText" text="הולד">
      <formula>NOT(ISERROR(SEARCH("הולד",O210)))</formula>
    </cfRule>
    <cfRule type="containsText" dxfId="140" priority="83" operator="containsText" text="בעלים">
      <formula>NOT(ISERROR(SEARCH("בעלים",O210)))</formula>
    </cfRule>
    <cfRule type="containsText" dxfId="139" priority="84" operator="containsText" text="מכורה">
      <formula>NOT(ISERROR(SEARCH("מכורה",O210)))</formula>
    </cfRule>
  </conditionalFormatting>
  <conditionalFormatting sqref="O217:O218">
    <cfRule type="containsText" dxfId="138" priority="79" operator="containsText" text="הולד">
      <formula>NOT(ISERROR(SEARCH("הולד",O217)))</formula>
    </cfRule>
    <cfRule type="containsText" dxfId="137" priority="80" operator="containsText" text="בעלים">
      <formula>NOT(ISERROR(SEARCH("בעלים",O217)))</formula>
    </cfRule>
    <cfRule type="containsText" dxfId="136" priority="81" operator="containsText" text="מכורה">
      <formula>NOT(ISERROR(SEARCH("מכורה",O217)))</formula>
    </cfRule>
  </conditionalFormatting>
  <conditionalFormatting sqref="O224:O225">
    <cfRule type="containsText" dxfId="135" priority="85" operator="containsText" text="הולד">
      <formula>NOT(ISERROR(SEARCH("הולד",O224)))</formula>
    </cfRule>
    <cfRule type="containsText" dxfId="134" priority="86" operator="containsText" text="בעלים">
      <formula>NOT(ISERROR(SEARCH("בעלים",O224)))</formula>
    </cfRule>
    <cfRule type="containsText" dxfId="133" priority="87" operator="containsText" text="מכורה">
      <formula>NOT(ISERROR(SEARCH("מכורה",O224)))</formula>
    </cfRule>
  </conditionalFormatting>
  <conditionalFormatting sqref="O231">
    <cfRule type="containsText" dxfId="132" priority="277" operator="containsText" text="הולד">
      <formula>NOT(ISERROR(SEARCH("הולד",O231)))</formula>
    </cfRule>
    <cfRule type="containsText" dxfId="131" priority="278" operator="containsText" text="בעלים">
      <formula>NOT(ISERROR(SEARCH("בעלים",O231)))</formula>
    </cfRule>
    <cfRule type="containsText" dxfId="130" priority="279" operator="containsText" text="מכורה">
      <formula>NOT(ISERROR(SEARCH("מכורה",O231)))</formula>
    </cfRule>
  </conditionalFormatting>
  <conditionalFormatting sqref="O238:O239">
    <cfRule type="containsText" dxfId="129" priority="88" operator="containsText" text="הולד">
      <formula>NOT(ISERROR(SEARCH("הולד",O238)))</formula>
    </cfRule>
    <cfRule type="containsText" dxfId="128" priority="89" operator="containsText" text="בעלים">
      <formula>NOT(ISERROR(SEARCH("בעלים",O238)))</formula>
    </cfRule>
    <cfRule type="containsText" dxfId="127" priority="90" operator="containsText" text="מכורה">
      <formula>NOT(ISERROR(SEARCH("מכורה",O238)))</formula>
    </cfRule>
  </conditionalFormatting>
  <conditionalFormatting sqref="O244:O246">
    <cfRule type="containsText" dxfId="126" priority="91" operator="containsText" text="הולד">
      <formula>NOT(ISERROR(SEARCH("הולד",O244)))</formula>
    </cfRule>
    <cfRule type="containsText" dxfId="125" priority="92" operator="containsText" text="בעלים">
      <formula>NOT(ISERROR(SEARCH("בעלים",O244)))</formula>
    </cfRule>
    <cfRule type="containsText" dxfId="124" priority="93" operator="containsText" text="מכורה">
      <formula>NOT(ISERROR(SEARCH("מכורה",O244)))</formula>
    </cfRule>
  </conditionalFormatting>
  <conditionalFormatting sqref="O251">
    <cfRule type="containsText" dxfId="123" priority="94" operator="containsText" text="הולד">
      <formula>NOT(ISERROR(SEARCH("הולד",O251)))</formula>
    </cfRule>
    <cfRule type="containsText" dxfId="122" priority="95" operator="containsText" text="בעלים">
      <formula>NOT(ISERROR(SEARCH("בעלים",O251)))</formula>
    </cfRule>
    <cfRule type="containsText" dxfId="121" priority="96" operator="containsText" text="מכורה">
      <formula>NOT(ISERROR(SEARCH("מכורה",O251)))</formula>
    </cfRule>
  </conditionalFormatting>
  <conditionalFormatting sqref="O253">
    <cfRule type="containsText" dxfId="120" priority="97" operator="containsText" text="הולד">
      <formula>NOT(ISERROR(SEARCH("הולד",O253)))</formula>
    </cfRule>
    <cfRule type="containsText" dxfId="119" priority="98" operator="containsText" text="בעלים">
      <formula>NOT(ISERROR(SEARCH("בעלים",O253)))</formula>
    </cfRule>
    <cfRule type="containsText" dxfId="118" priority="99" operator="containsText" text="מכורה">
      <formula>NOT(ISERROR(SEARCH("מכורה",O253)))</formula>
    </cfRule>
  </conditionalFormatting>
  <conditionalFormatting sqref="O260">
    <cfRule type="containsText" dxfId="117" priority="3" operator="containsText" text="מכורה">
      <formula>NOT(ISERROR(SEARCH("מכורה",O260)))</formula>
    </cfRule>
    <cfRule type="containsText" dxfId="116" priority="1" operator="containsText" text="הולד">
      <formula>NOT(ISERROR(SEARCH("הולד",O260)))</formula>
    </cfRule>
    <cfRule type="containsText" dxfId="115" priority="2" operator="containsText" text="בעלים">
      <formula>NOT(ISERROR(SEARCH("בעלים",O260)))</formula>
    </cfRule>
  </conditionalFormatting>
  <conditionalFormatting sqref="O263">
    <cfRule type="containsText" dxfId="114" priority="404" operator="containsText" text="בעלים">
      <formula>NOT(ISERROR(SEARCH("בעלים",O263)))</formula>
    </cfRule>
    <cfRule type="containsText" dxfId="113" priority="405" operator="containsText" text="מכורה">
      <formula>NOT(ISERROR(SEARCH("מכורה",O263)))</formula>
    </cfRule>
    <cfRule type="containsText" dxfId="112" priority="403" operator="containsText" text="הולד">
      <formula>NOT(ISERROR(SEARCH("הולד",O263)))</formula>
    </cfRule>
  </conditionalFormatting>
  <conditionalFormatting sqref="O270">
    <cfRule type="containsText" dxfId="111" priority="105" operator="containsText" text="מכורה">
      <formula>NOT(ISERROR(SEARCH("מכורה",O270)))</formula>
    </cfRule>
    <cfRule type="containsText" dxfId="110" priority="104" operator="containsText" text="בעלים">
      <formula>NOT(ISERROR(SEARCH("בעלים",O270)))</formula>
    </cfRule>
    <cfRule type="containsText" dxfId="109" priority="103" operator="containsText" text="הולד">
      <formula>NOT(ISERROR(SEARCH("הולד",O270)))</formula>
    </cfRule>
  </conditionalFormatting>
  <conditionalFormatting sqref="O275">
    <cfRule type="containsText" dxfId="108" priority="101" operator="containsText" text="בעלים">
      <formula>NOT(ISERROR(SEARCH("בעלים",O275)))</formula>
    </cfRule>
    <cfRule type="containsText" dxfId="107" priority="102" operator="containsText" text="מכורה">
      <formula>NOT(ISERROR(SEARCH("מכורה",O275)))</formula>
    </cfRule>
    <cfRule type="containsText" dxfId="106" priority="100" operator="containsText" text="הולד">
      <formula>NOT(ISERROR(SEARCH("הולד",O275)))</formula>
    </cfRule>
  </conditionalFormatting>
  <conditionalFormatting sqref="O300">
    <cfRule type="containsText" dxfId="105" priority="309" operator="containsText" text="מכורה">
      <formula>NOT(ISERROR(SEARCH("מכורה",O300)))</formula>
    </cfRule>
    <cfRule type="containsText" dxfId="104" priority="308" operator="containsText" text="בעלים">
      <formula>NOT(ISERROR(SEARCH("בעלים",O300)))</formula>
    </cfRule>
    <cfRule type="containsText" dxfId="103" priority="307" operator="containsText" text="הולד">
      <formula>NOT(ISERROR(SEARCH("הולד",O300)))</formula>
    </cfRule>
  </conditionalFormatting>
  <conditionalFormatting sqref="O305">
    <cfRule type="containsText" dxfId="102" priority="180" operator="containsText" text="מכורה">
      <formula>NOT(ISERROR(SEARCH("מכורה",O305)))</formula>
    </cfRule>
    <cfRule type="containsText" dxfId="101" priority="179" operator="containsText" text="בעלים">
      <formula>NOT(ISERROR(SEARCH("בעלים",O305)))</formula>
    </cfRule>
    <cfRule type="containsText" dxfId="100" priority="178" operator="containsText" text="הולד">
      <formula>NOT(ISERROR(SEARCH("הולד",O305)))</formula>
    </cfRule>
  </conditionalFormatting>
  <conditionalFormatting sqref="O310">
    <cfRule type="containsText" dxfId="99" priority="177" operator="containsText" text="מכורה">
      <formula>NOT(ISERROR(SEARCH("מכורה",O310)))</formula>
    </cfRule>
    <cfRule type="containsText" dxfId="98" priority="176" operator="containsText" text="בעלים">
      <formula>NOT(ISERROR(SEARCH("בעלים",O310)))</formula>
    </cfRule>
    <cfRule type="containsText" dxfId="97" priority="175" operator="containsText" text="הולד">
      <formula>NOT(ISERROR(SEARCH("הולד",O310)))</formula>
    </cfRule>
  </conditionalFormatting>
  <conditionalFormatting sqref="O345">
    <cfRule type="containsText" dxfId="96" priority="174" operator="containsText" text="מכורה">
      <formula>NOT(ISERROR(SEARCH("מכורה",O345)))</formula>
    </cfRule>
    <cfRule type="containsText" dxfId="95" priority="173" operator="containsText" text="בעלים">
      <formula>NOT(ISERROR(SEARCH("בעלים",O345)))</formula>
    </cfRule>
    <cfRule type="containsText" dxfId="94" priority="172" operator="containsText" text="הולד">
      <formula>NOT(ISERROR(SEARCH("הולד",O345)))</formula>
    </cfRule>
  </conditionalFormatting>
  <conditionalFormatting sqref="O354">
    <cfRule type="containsText" dxfId="93" priority="171" operator="containsText" text="מכורה">
      <formula>NOT(ISERROR(SEARCH("מכורה",O354)))</formula>
    </cfRule>
    <cfRule type="containsText" dxfId="92" priority="170" operator="containsText" text="בעלים">
      <formula>NOT(ISERROR(SEARCH("בעלים",O354)))</formula>
    </cfRule>
    <cfRule type="containsText" dxfId="91" priority="169" operator="containsText" text="הולד">
      <formula>NOT(ISERROR(SEARCH("הולד",O354)))</formula>
    </cfRule>
  </conditionalFormatting>
  <conditionalFormatting sqref="O466">
    <cfRule type="containsText" dxfId="90" priority="168" operator="containsText" text="מכורה">
      <formula>NOT(ISERROR(SEARCH("מכורה",O466)))</formula>
    </cfRule>
    <cfRule type="containsText" dxfId="89" priority="167" operator="containsText" text="בעלים">
      <formula>NOT(ISERROR(SEARCH("בעלים",O466)))</formula>
    </cfRule>
    <cfRule type="containsText" dxfId="88" priority="166" operator="containsText" text="הולד">
      <formula>NOT(ISERROR(SEARCH("הולד",O466)))</formula>
    </cfRule>
  </conditionalFormatting>
  <conditionalFormatting sqref="O482">
    <cfRule type="containsText" dxfId="87" priority="164" operator="containsText" text="בעלים">
      <formula>NOT(ISERROR(SEARCH("בעלים",O482)))</formula>
    </cfRule>
    <cfRule type="containsText" dxfId="86" priority="163" operator="containsText" text="הולד">
      <formula>NOT(ISERROR(SEARCH("הולד",O482)))</formula>
    </cfRule>
    <cfRule type="containsText" dxfId="85" priority="165" operator="containsText" text="מכורה">
      <formula>NOT(ISERROR(SEARCH("מכורה",O482)))</formula>
    </cfRule>
  </conditionalFormatting>
  <conditionalFormatting sqref="O490">
    <cfRule type="containsText" dxfId="84" priority="160" operator="containsText" text="הולד">
      <formula>NOT(ISERROR(SEARCH("הולד",O490)))</formula>
    </cfRule>
    <cfRule type="containsText" dxfId="83" priority="161" operator="containsText" text="בעלים">
      <formula>NOT(ISERROR(SEARCH("בעלים",O490)))</formula>
    </cfRule>
    <cfRule type="containsText" dxfId="82" priority="162" operator="containsText" text="מכורה">
      <formula>NOT(ISERROR(SEARCH("מכורה",O490)))</formula>
    </cfRule>
  </conditionalFormatting>
  <conditionalFormatting sqref="O505">
    <cfRule type="containsText" dxfId="81" priority="157" operator="containsText" text="הולד">
      <formula>NOT(ISERROR(SEARCH("הולד",O505)))</formula>
    </cfRule>
    <cfRule type="containsText" dxfId="80" priority="158" operator="containsText" text="בעלים">
      <formula>NOT(ISERROR(SEARCH("בעלים",O505)))</formula>
    </cfRule>
    <cfRule type="containsText" dxfId="79" priority="159" operator="containsText" text="מכורה">
      <formula>NOT(ISERROR(SEARCH("מכורה",O505)))</formula>
    </cfRule>
  </conditionalFormatting>
  <conditionalFormatting sqref="O512">
    <cfRule type="containsText" dxfId="78" priority="156" operator="containsText" text="מכורה">
      <formula>NOT(ISERROR(SEARCH("מכורה",O512)))</formula>
    </cfRule>
    <cfRule type="containsText" dxfId="77" priority="154" operator="containsText" text="הולד">
      <formula>NOT(ISERROR(SEARCH("הולד",O512)))</formula>
    </cfRule>
    <cfRule type="containsText" dxfId="76" priority="155" operator="containsText" text="בעלים">
      <formula>NOT(ISERROR(SEARCH("בעלים",O512)))</formula>
    </cfRule>
  </conditionalFormatting>
  <conditionalFormatting sqref="O519">
    <cfRule type="containsText" dxfId="75" priority="153" operator="containsText" text="מכורה">
      <formula>NOT(ISERROR(SEARCH("מכורה",O519)))</formula>
    </cfRule>
    <cfRule type="containsText" dxfId="74" priority="152" operator="containsText" text="בעלים">
      <formula>NOT(ISERROR(SEARCH("בעלים",O519)))</formula>
    </cfRule>
    <cfRule type="containsText" dxfId="73" priority="151" operator="containsText" text="הולד">
      <formula>NOT(ISERROR(SEARCH("הולד",O519)))</formula>
    </cfRule>
  </conditionalFormatting>
  <conditionalFormatting sqref="O526">
    <cfRule type="containsText" dxfId="72" priority="107" operator="containsText" text="בעלים">
      <formula>NOT(ISERROR(SEARCH("בעלים",O526)))</formula>
    </cfRule>
    <cfRule type="containsText" dxfId="71" priority="108" operator="containsText" text="מכורה">
      <formula>NOT(ISERROR(SEARCH("מכורה",O526)))</formula>
    </cfRule>
    <cfRule type="containsText" dxfId="70" priority="106" operator="containsText" text="הולד">
      <formula>NOT(ISERROR(SEARCH("הולד",O526)))</formula>
    </cfRule>
  </conditionalFormatting>
  <conditionalFormatting sqref="O528">
    <cfRule type="containsText" dxfId="69" priority="345" operator="containsText" text="מכורה">
      <formula>NOT(ISERROR(SEARCH("מכורה",O528)))</formula>
    </cfRule>
    <cfRule type="containsText" dxfId="68" priority="344" operator="containsText" text="בעלים">
      <formula>NOT(ISERROR(SEARCH("בעלים",O528)))</formula>
    </cfRule>
    <cfRule type="containsText" dxfId="67" priority="343" operator="containsText" text="הולד">
      <formula>NOT(ISERROR(SEARCH("הולד",O528)))</formula>
    </cfRule>
  </conditionalFormatting>
  <conditionalFormatting sqref="O532:O533">
    <cfRule type="containsText" dxfId="66" priority="150" operator="containsText" text="מכורה">
      <formula>NOT(ISERROR(SEARCH("מכורה",O532)))</formula>
    </cfRule>
    <cfRule type="containsText" dxfId="65" priority="149" operator="containsText" text="בעלים">
      <formula>NOT(ISERROR(SEARCH("בעלים",O532)))</formula>
    </cfRule>
    <cfRule type="containsText" dxfId="64" priority="148" operator="containsText" text="הולד">
      <formula>NOT(ISERROR(SEARCH("הולד",O532)))</formula>
    </cfRule>
  </conditionalFormatting>
  <conditionalFormatting sqref="O539:O540">
    <cfRule type="containsText" dxfId="63" priority="147" operator="containsText" text="מכורה">
      <formula>NOT(ISERROR(SEARCH("מכורה",O539)))</formula>
    </cfRule>
    <cfRule type="containsText" dxfId="62" priority="146" operator="containsText" text="בעלים">
      <formula>NOT(ISERROR(SEARCH("בעלים",O539)))</formula>
    </cfRule>
    <cfRule type="containsText" dxfId="61" priority="145" operator="containsText" text="הולד">
      <formula>NOT(ISERROR(SEARCH("הולד",O539)))</formula>
    </cfRule>
  </conditionalFormatting>
  <conditionalFormatting sqref="O546:O547">
    <cfRule type="containsText" dxfId="60" priority="143" operator="containsText" text="בעלים">
      <formula>NOT(ISERROR(SEARCH("בעלים",O546)))</formula>
    </cfRule>
    <cfRule type="containsText" dxfId="59" priority="142" operator="containsText" text="הולד">
      <formula>NOT(ISERROR(SEARCH("הולד",O546)))</formula>
    </cfRule>
    <cfRule type="containsText" dxfId="58" priority="144" operator="containsText" text="מכורה">
      <formula>NOT(ISERROR(SEARCH("מכורה",O546)))</formula>
    </cfRule>
  </conditionalFormatting>
  <conditionalFormatting sqref="O549">
    <cfRule type="containsText" dxfId="57" priority="111" operator="containsText" text="מכורה">
      <formula>NOT(ISERROR(SEARCH("מכורה",O549)))</formula>
    </cfRule>
    <cfRule type="containsText" dxfId="56" priority="110" operator="containsText" text="בעלים">
      <formula>NOT(ISERROR(SEARCH("בעלים",O549)))</formula>
    </cfRule>
    <cfRule type="containsText" dxfId="55" priority="109" operator="containsText" text="הולד">
      <formula>NOT(ISERROR(SEARCH("הולד",O549)))</formula>
    </cfRule>
  </conditionalFormatting>
  <conditionalFormatting sqref="O553">
    <cfRule type="containsText" dxfId="54" priority="140" operator="containsText" text="בעלים">
      <formula>NOT(ISERROR(SEARCH("בעלים",O553)))</formula>
    </cfRule>
    <cfRule type="containsText" dxfId="53" priority="141" operator="containsText" text="מכורה">
      <formula>NOT(ISERROR(SEARCH("מכורה",O553)))</formula>
    </cfRule>
    <cfRule type="containsText" dxfId="52" priority="139" operator="containsText" text="הולד">
      <formula>NOT(ISERROR(SEARCH("הולד",O553)))</formula>
    </cfRule>
  </conditionalFormatting>
  <conditionalFormatting sqref="O556">
    <cfRule type="containsText" dxfId="51" priority="137" operator="containsText" text="בעלים">
      <formula>NOT(ISERROR(SEARCH("בעלים",O556)))</formula>
    </cfRule>
    <cfRule type="containsText" dxfId="50" priority="138" operator="containsText" text="מכורה">
      <formula>NOT(ISERROR(SEARCH("מכורה",O556)))</formula>
    </cfRule>
    <cfRule type="containsText" dxfId="49" priority="136" operator="containsText" text="הולד">
      <formula>NOT(ISERROR(SEARCH("הולד",O556)))</formula>
    </cfRule>
  </conditionalFormatting>
  <conditionalFormatting sqref="O560:O563">
    <cfRule type="containsText" dxfId="48" priority="113" operator="containsText" text="בעלים">
      <formula>NOT(ISERROR(SEARCH("בעלים",O560)))</formula>
    </cfRule>
    <cfRule type="containsText" dxfId="47" priority="114" operator="containsText" text="מכורה">
      <formula>NOT(ISERROR(SEARCH("מכורה",O560)))</formula>
    </cfRule>
    <cfRule type="containsText" dxfId="46" priority="112" operator="containsText" text="הולד">
      <formula>NOT(ISERROR(SEARCH("הולד",O560)))</formula>
    </cfRule>
  </conditionalFormatting>
  <conditionalFormatting sqref="O570">
    <cfRule type="containsText" dxfId="45" priority="115" operator="containsText" text="הולד">
      <formula>NOT(ISERROR(SEARCH("הולד",O570)))</formula>
    </cfRule>
    <cfRule type="containsText" dxfId="44" priority="116" operator="containsText" text="בעלים">
      <formula>NOT(ISERROR(SEARCH("בעלים",O570)))</formula>
    </cfRule>
    <cfRule type="containsText" dxfId="43" priority="117" operator="containsText" text="מכורה">
      <formula>NOT(ISERROR(SEARCH("מכורה",O570)))</formula>
    </cfRule>
  </conditionalFormatting>
  <conditionalFormatting sqref="O577">
    <cfRule type="containsText" dxfId="42" priority="134" operator="containsText" text="בעלים">
      <formula>NOT(ISERROR(SEARCH("בעלים",O577)))</formula>
    </cfRule>
    <cfRule type="containsText" dxfId="41" priority="133" operator="containsText" text="הולד">
      <formula>NOT(ISERROR(SEARCH("הולד",O577)))</formula>
    </cfRule>
    <cfRule type="containsText" dxfId="40" priority="135" operator="containsText" text="מכורה">
      <formula>NOT(ISERROR(SEARCH("מכורה",O577)))</formula>
    </cfRule>
  </conditionalFormatting>
  <conditionalFormatting sqref="O596">
    <cfRule type="containsText" dxfId="39" priority="131" operator="containsText" text="בעלים">
      <formula>NOT(ISERROR(SEARCH("בעלים",O596)))</formula>
    </cfRule>
    <cfRule type="containsText" dxfId="38" priority="132" operator="containsText" text="מכורה">
      <formula>NOT(ISERROR(SEARCH("מכורה",O596)))</formula>
    </cfRule>
    <cfRule type="containsText" dxfId="37" priority="130" operator="containsText" text="הולד">
      <formula>NOT(ISERROR(SEARCH("הולד",O596)))</formula>
    </cfRule>
  </conditionalFormatting>
  <conditionalFormatting sqref="O602">
    <cfRule type="containsText" dxfId="36" priority="128" operator="containsText" text="בעלים">
      <formula>NOT(ISERROR(SEARCH("בעלים",O602)))</formula>
    </cfRule>
    <cfRule type="containsText" dxfId="35" priority="127" operator="containsText" text="הולד">
      <formula>NOT(ISERROR(SEARCH("הולד",O602)))</formula>
    </cfRule>
    <cfRule type="containsText" dxfId="34" priority="129" operator="containsText" text="מכורה">
      <formula>NOT(ISERROR(SEARCH("מכורה",O602)))</formula>
    </cfRule>
  </conditionalFormatting>
  <conditionalFormatting sqref="O606">
    <cfRule type="containsText" dxfId="33" priority="126" operator="containsText" text="מכורה">
      <formula>NOT(ISERROR(SEARCH("מכורה",O606)))</formula>
    </cfRule>
    <cfRule type="containsText" dxfId="32" priority="125" operator="containsText" text="בעלים">
      <formula>NOT(ISERROR(SEARCH("בעלים",O606)))</formula>
    </cfRule>
    <cfRule type="containsText" dxfId="31" priority="124" operator="containsText" text="הולד">
      <formula>NOT(ISERROR(SEARCH("הולד",O606)))</formula>
    </cfRule>
  </conditionalFormatting>
  <conditionalFormatting sqref="O626">
    <cfRule type="containsText" dxfId="30" priority="123" operator="containsText" text="מכורה">
      <formula>NOT(ISERROR(SEARCH("מכורה",O626)))</formula>
    </cfRule>
    <cfRule type="containsText" dxfId="29" priority="122" operator="containsText" text="בעלים">
      <formula>NOT(ISERROR(SEARCH("בעלים",O626)))</formula>
    </cfRule>
    <cfRule type="containsText" dxfId="28" priority="121" operator="containsText" text="הולד">
      <formula>NOT(ISERROR(SEARCH("הולד",O626)))</formula>
    </cfRule>
  </conditionalFormatting>
  <conditionalFormatting sqref="O636">
    <cfRule type="containsText" dxfId="27" priority="120" operator="containsText" text="מכורה">
      <formula>NOT(ISERROR(SEARCH("מכורה",O636)))</formula>
    </cfRule>
    <cfRule type="containsText" dxfId="26" priority="119" operator="containsText" text="בעלים">
      <formula>NOT(ISERROR(SEARCH("בעלים",O636)))</formula>
    </cfRule>
    <cfRule type="containsText" dxfId="25" priority="118" operator="containsText" text="הולד">
      <formula>NOT(ISERROR(SEARCH("הולד",O636)))</formula>
    </cfRule>
  </conditionalFormatting>
  <conditionalFormatting sqref="O256:Q256">
    <cfRule type="containsText" dxfId="24" priority="417" operator="containsText" text="מכורה">
      <formula>NOT(ISERROR(SEARCH("מכורה",O256)))</formula>
    </cfRule>
    <cfRule type="containsText" dxfId="23" priority="416" operator="containsText" text="בעלים">
      <formula>NOT(ISERROR(SEARCH("בעלים",O256)))</formula>
    </cfRule>
    <cfRule type="containsText" dxfId="22" priority="415" operator="containsText" text="הולד">
      <formula>NOT(ISERROR(SEARCH("הולד",O256)))</formula>
    </cfRule>
  </conditionalFormatting>
  <conditionalFormatting sqref="O308:Q308">
    <cfRule type="containsText" dxfId="21" priority="406" operator="containsText" text="הולד">
      <formula>NOT(ISERROR(SEARCH("הולד",O308)))</formula>
    </cfRule>
    <cfRule type="containsText" dxfId="20" priority="407" operator="containsText" text="בעלים">
      <formula>NOT(ISERROR(SEARCH("בעלים",O308)))</formula>
    </cfRule>
    <cfRule type="containsText" dxfId="19" priority="408" operator="containsText" text="מכורה">
      <formula>NOT(ISERROR(SEARCH("מכורה",O308)))</formula>
    </cfRule>
  </conditionalFormatting>
  <conditionalFormatting sqref="O313:Q313">
    <cfRule type="containsText" dxfId="18" priority="402" operator="containsText" text="מכורה">
      <formula>NOT(ISERROR(SEARCH("מכורה",O313)))</formula>
    </cfRule>
    <cfRule type="containsText" dxfId="17" priority="400" operator="containsText" text="הולד">
      <formula>NOT(ISERROR(SEARCH("הולד",O313)))</formula>
    </cfRule>
    <cfRule type="containsText" dxfId="16" priority="401" operator="containsText" text="בעלים">
      <formula>NOT(ISERROR(SEARCH("בעלים",O313)))</formula>
    </cfRule>
  </conditionalFormatting>
  <conditionalFormatting sqref="P263:Q263">
    <cfRule type="containsText" dxfId="15" priority="413" operator="containsText" text="בעלים">
      <formula>NOT(ISERROR(SEARCH("בעלים",P263)))</formula>
    </cfRule>
    <cfRule type="containsText" dxfId="14" priority="414" operator="containsText" text="מכורה">
      <formula>NOT(ISERROR(SEARCH("מכורה",P263)))</formula>
    </cfRule>
    <cfRule type="containsText" dxfId="13" priority="412" operator="containsText" text="הולד">
      <formula>NOT(ISERROR(SEARCH("הולד",P263)))</formula>
    </cfRule>
  </conditionalFormatting>
  <dataValidations count="1">
    <dataValidation type="list" allowBlank="1" showInputMessage="1" showErrorMessage="1" sqref="M1:M1048576" xr:uid="{FDCF24F3-5AF8-4297-8A39-076125066EAC}">
      <formula1>"זומן לטרום,טרום מסירה,טרום מסירה מהנדס,מסירת חזקה,מסירת חזקה מהנדס"</formula1>
    </dataValidation>
  </dataValidations>
  <pageMargins left="0.7" right="0.7" top="0.75" bottom="0.75" header="0.3" footer="0.3"/>
  <pageSetup paperSize="8" scale="29" fitToHeight="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E2A8-DF10-4642-A5AC-56E203493B14}">
  <sheetPr>
    <pageSetUpPr fitToPage="1"/>
  </sheetPr>
  <dimension ref="A1:BP228"/>
  <sheetViews>
    <sheetView rightToLeft="1" tabSelected="1" topLeftCell="A86" zoomScale="55" zoomScaleNormal="55" workbookViewId="0">
      <selection activeCell="AC117" sqref="AC117"/>
    </sheetView>
  </sheetViews>
  <sheetFormatPr defaultColWidth="9" defaultRowHeight="16.5" x14ac:dyDescent="0.3"/>
  <cols>
    <col min="1" max="1" width="9" style="432"/>
    <col min="2" max="2" width="10.625" style="432" customWidth="1"/>
    <col min="3" max="3" width="7.125" style="432" customWidth="1"/>
    <col min="4" max="11" width="2.625" style="432" customWidth="1"/>
    <col min="12" max="12" width="8.875" style="432" customWidth="1"/>
    <col min="13" max="14" width="4.75" style="432" customWidth="1"/>
    <col min="15" max="15" width="8.875" style="432" customWidth="1"/>
    <col min="16" max="16" width="12.875" style="432" customWidth="1"/>
    <col min="17" max="20" width="4.75" style="432" customWidth="1"/>
    <col min="21" max="21" width="8.875" style="432" customWidth="1"/>
    <col min="22" max="22" width="12.875" style="432" customWidth="1"/>
    <col min="23" max="25" width="4.75" style="432" customWidth="1"/>
    <col min="26" max="26" width="12.875" style="432" customWidth="1"/>
    <col min="27" max="28" width="4.75" style="432" customWidth="1"/>
    <col min="29" max="29" width="7.125" style="432" customWidth="1"/>
    <col min="30" max="30" width="14.375" style="432" customWidth="1"/>
    <col min="31" max="31" width="9.625" style="432" customWidth="1"/>
    <col min="32" max="32" width="9.375" style="432" customWidth="1"/>
    <col min="33" max="33" width="12" style="432" customWidth="1"/>
    <col min="34" max="36" width="9.625" style="432" customWidth="1"/>
    <col min="37" max="37" width="12.5" style="432" customWidth="1"/>
    <col min="38" max="38" width="11.375" style="432" customWidth="1"/>
    <col min="39" max="39" width="7.125" style="432" customWidth="1"/>
    <col min="40" max="40" width="4.75" style="432" customWidth="1"/>
    <col min="41" max="41" width="17" style="432" customWidth="1"/>
    <col min="42" max="43" width="4.75" style="432" customWidth="1"/>
    <col min="44" max="44" width="17" style="432" customWidth="1"/>
    <col min="45" max="45" width="8.875" style="432" customWidth="1"/>
    <col min="46" max="49" width="4.75" style="432" customWidth="1"/>
    <col min="50" max="50" width="12.875" style="432" customWidth="1"/>
    <col min="51" max="54" width="4.75" style="432" customWidth="1"/>
    <col min="55" max="55" width="8.875" style="432" customWidth="1"/>
    <col min="56" max="63" width="2.625" style="432" customWidth="1"/>
    <col min="64" max="64" width="7.125" style="432" customWidth="1"/>
    <col min="65" max="65" width="10.625" style="432" customWidth="1"/>
    <col min="66" max="66" width="9" style="432"/>
    <col min="67" max="67" width="9" style="432" customWidth="1"/>
    <col min="68" max="68" width="17.375" style="432" hidden="1" customWidth="1"/>
    <col min="69" max="69" width="9" style="432" customWidth="1"/>
    <col min="70" max="16384" width="9" style="432"/>
  </cols>
  <sheetData>
    <row r="1" spans="1:68" ht="51.75" x14ac:dyDescent="0.85">
      <c r="A1" s="934" t="s">
        <v>1197</v>
      </c>
      <c r="B1" s="934"/>
      <c r="C1" s="934"/>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430"/>
      <c r="BP1" s="431" t="s">
        <v>1079</v>
      </c>
    </row>
    <row r="2" spans="1:68" ht="68.25" x14ac:dyDescent="1.1000000000000001">
      <c r="A2" s="935" t="str">
        <f>"סטטוס דירות מכורות - "&amp;TEXT('טבלת סטטוס'!D1,"dd/mm/yyyy")</f>
        <v>סטטוס דירות מכורות - 00/01/1900</v>
      </c>
      <c r="B2" s="935"/>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c r="AH2" s="935"/>
      <c r="AI2" s="935"/>
      <c r="AJ2" s="935"/>
      <c r="AK2" s="935"/>
      <c r="AL2" s="935"/>
      <c r="AM2" s="935"/>
      <c r="AN2" s="935"/>
      <c r="AO2" s="935"/>
      <c r="AP2" s="935"/>
      <c r="AQ2" s="935"/>
      <c r="AR2" s="935"/>
      <c r="AS2" s="935"/>
      <c r="AT2" s="935"/>
      <c r="AU2" s="935"/>
      <c r="AV2" s="935"/>
      <c r="AW2" s="935"/>
      <c r="AX2" s="935"/>
      <c r="AY2" s="935"/>
      <c r="AZ2" s="935"/>
      <c r="BA2" s="935"/>
      <c r="BB2" s="935"/>
      <c r="BC2" s="935"/>
      <c r="BD2" s="935"/>
      <c r="BE2" s="935"/>
      <c r="BF2" s="935"/>
      <c r="BG2" s="935"/>
      <c r="BH2" s="935"/>
      <c r="BI2" s="935"/>
      <c r="BJ2" s="935"/>
      <c r="BK2" s="935"/>
      <c r="BL2" s="935"/>
      <c r="BM2" s="935"/>
      <c r="BN2" s="935"/>
      <c r="BO2" s="430"/>
      <c r="BP2" s="431" t="s">
        <v>1079</v>
      </c>
    </row>
    <row r="3" spans="1:68" ht="17.25" x14ac:dyDescent="0.3">
      <c r="B3" s="433"/>
      <c r="C3" s="433"/>
      <c r="D3" s="434"/>
      <c r="E3" s="434"/>
      <c r="F3" s="434"/>
      <c r="G3" s="434"/>
      <c r="H3" s="435"/>
      <c r="I3" s="435"/>
      <c r="J3" s="435"/>
      <c r="K3" s="435"/>
      <c r="BD3" s="435"/>
      <c r="BE3" s="435"/>
      <c r="BF3" s="435"/>
      <c r="BG3" s="434"/>
      <c r="BH3" s="434"/>
      <c r="BI3" s="434"/>
      <c r="BJ3" s="434"/>
      <c r="BK3" s="434"/>
      <c r="BL3" s="436"/>
      <c r="BM3" s="437"/>
      <c r="BP3" s="438" t="s">
        <v>1080</v>
      </c>
    </row>
    <row r="4" spans="1:68" ht="43.5" thickBot="1" x14ac:dyDescent="0.75">
      <c r="A4" s="439"/>
      <c r="B4" s="440"/>
      <c r="C4" s="440"/>
      <c r="D4" s="441"/>
      <c r="E4" s="441"/>
      <c r="F4" s="441"/>
      <c r="G4" s="441"/>
      <c r="H4" s="440"/>
      <c r="I4" s="440"/>
      <c r="J4" s="441"/>
      <c r="K4" s="441"/>
      <c r="L4" s="441" t="s">
        <v>145</v>
      </c>
      <c r="M4" s="441"/>
      <c r="N4" s="441"/>
      <c r="O4" s="441"/>
      <c r="P4" s="441"/>
      <c r="Q4" s="441"/>
      <c r="R4" s="441"/>
      <c r="S4" s="441"/>
      <c r="T4" s="441"/>
      <c r="U4" s="441"/>
      <c r="V4" s="441"/>
      <c r="W4" s="441"/>
      <c r="X4" s="441"/>
      <c r="Y4" s="441"/>
      <c r="Z4" s="441"/>
      <c r="AA4" s="441"/>
      <c r="AB4" s="439"/>
      <c r="AC4" s="439"/>
      <c r="AD4" s="439"/>
      <c r="AE4" s="439"/>
      <c r="AF4" s="439"/>
      <c r="AG4" s="439"/>
      <c r="AH4" s="442" t="s">
        <v>133</v>
      </c>
      <c r="AI4" s="439"/>
      <c r="AJ4" s="439"/>
      <c r="AK4" s="439"/>
      <c r="AL4" s="439"/>
      <c r="AM4" s="439"/>
      <c r="AN4" s="439"/>
      <c r="AO4" s="441" t="s">
        <v>146</v>
      </c>
      <c r="AP4" s="441"/>
      <c r="AQ4" s="441"/>
      <c r="AR4" s="441"/>
      <c r="AS4" s="441"/>
      <c r="AT4" s="441"/>
      <c r="AU4" s="441"/>
      <c r="AV4" s="441"/>
      <c r="AW4" s="441"/>
      <c r="AX4" s="441"/>
      <c r="AY4" s="441"/>
      <c r="AZ4" s="441"/>
      <c r="BA4" s="441"/>
      <c r="BB4" s="441"/>
      <c r="BC4" s="441"/>
      <c r="BD4" s="441"/>
      <c r="BE4" s="441"/>
      <c r="BF4" s="441"/>
      <c r="BG4" s="441"/>
      <c r="BH4" s="441"/>
      <c r="BI4" s="441"/>
      <c r="BJ4" s="441"/>
      <c r="BK4" s="441"/>
      <c r="BL4" s="443"/>
      <c r="BM4" s="444"/>
      <c r="BN4" s="439"/>
      <c r="BO4" s="430"/>
      <c r="BP4" s="445" t="s">
        <v>1080</v>
      </c>
    </row>
    <row r="5" spans="1:68" ht="18" thickTop="1" thickBot="1" x14ac:dyDescent="0.35">
      <c r="B5" s="446" t="s">
        <v>180</v>
      </c>
      <c r="C5" s="446" t="s">
        <v>180</v>
      </c>
      <c r="D5" s="446" t="s">
        <v>180</v>
      </c>
      <c r="E5" s="446" t="s">
        <v>180</v>
      </c>
      <c r="F5" s="446" t="s">
        <v>180</v>
      </c>
      <c r="G5" s="446" t="s">
        <v>180</v>
      </c>
      <c r="H5" s="446" t="s">
        <v>180</v>
      </c>
      <c r="I5" s="446"/>
      <c r="J5" s="446" t="s">
        <v>180</v>
      </c>
      <c r="K5" s="446" t="s">
        <v>180</v>
      </c>
      <c r="L5" s="446" t="s">
        <v>180</v>
      </c>
      <c r="M5" s="446" t="s">
        <v>180</v>
      </c>
      <c r="N5" s="446" t="s">
        <v>180</v>
      </c>
      <c r="O5" s="446" t="s">
        <v>180</v>
      </c>
      <c r="P5" s="446" t="s">
        <v>180</v>
      </c>
      <c r="Q5" s="446" t="s">
        <v>180</v>
      </c>
      <c r="R5" s="446" t="s">
        <v>180</v>
      </c>
      <c r="S5" s="446" t="s">
        <v>180</v>
      </c>
      <c r="T5" s="446" t="s">
        <v>180</v>
      </c>
      <c r="U5" s="446" t="s">
        <v>180</v>
      </c>
      <c r="V5" s="446" t="s">
        <v>180</v>
      </c>
      <c r="W5" s="446" t="s">
        <v>180</v>
      </c>
      <c r="X5" s="446" t="s">
        <v>180</v>
      </c>
      <c r="Y5" s="446" t="s">
        <v>180</v>
      </c>
      <c r="Z5" s="446" t="s">
        <v>180</v>
      </c>
      <c r="AA5" s="446" t="s">
        <v>180</v>
      </c>
      <c r="AB5" s="446" t="s">
        <v>180</v>
      </c>
      <c r="AC5" s="446" t="s">
        <v>180</v>
      </c>
      <c r="AD5" s="446" t="s">
        <v>180</v>
      </c>
      <c r="AE5" s="446" t="s">
        <v>180</v>
      </c>
      <c r="AF5" s="446" t="s">
        <v>180</v>
      </c>
      <c r="AG5" s="446" t="s">
        <v>180</v>
      </c>
      <c r="AI5" s="446" t="s">
        <v>179</v>
      </c>
      <c r="AJ5" s="446" t="s">
        <v>179</v>
      </c>
      <c r="AK5" s="446" t="s">
        <v>179</v>
      </c>
      <c r="AL5" s="446" t="s">
        <v>179</v>
      </c>
      <c r="AM5" s="446" t="s">
        <v>179</v>
      </c>
      <c r="AN5" s="446" t="s">
        <v>179</v>
      </c>
      <c r="AO5" s="446" t="s">
        <v>179</v>
      </c>
      <c r="AP5" s="446" t="s">
        <v>179</v>
      </c>
      <c r="AQ5" s="446" t="s">
        <v>179</v>
      </c>
      <c r="AR5" s="446" t="s">
        <v>179</v>
      </c>
      <c r="AS5" s="446" t="s">
        <v>179</v>
      </c>
      <c r="AT5" s="446" t="s">
        <v>179</v>
      </c>
      <c r="AU5" s="446" t="s">
        <v>179</v>
      </c>
      <c r="AV5" s="446" t="s">
        <v>179</v>
      </c>
      <c r="AW5" s="446" t="s">
        <v>179</v>
      </c>
      <c r="AX5" s="446" t="s">
        <v>179</v>
      </c>
      <c r="AY5" s="446" t="s">
        <v>179</v>
      </c>
      <c r="AZ5" s="446"/>
      <c r="BA5" s="446" t="s">
        <v>179</v>
      </c>
      <c r="BB5" s="446" t="s">
        <v>179</v>
      </c>
      <c r="BC5" s="446" t="s">
        <v>179</v>
      </c>
      <c r="BD5" s="446" t="s">
        <v>179</v>
      </c>
      <c r="BE5" s="446" t="s">
        <v>179</v>
      </c>
      <c r="BF5" s="446" t="s">
        <v>179</v>
      </c>
      <c r="BG5" s="446" t="s">
        <v>179</v>
      </c>
      <c r="BH5" s="446" t="s">
        <v>179</v>
      </c>
      <c r="BI5" s="446" t="s">
        <v>179</v>
      </c>
      <c r="BJ5" s="446" t="s">
        <v>179</v>
      </c>
      <c r="BK5" s="446" t="s">
        <v>179</v>
      </c>
      <c r="BL5" s="446" t="s">
        <v>179</v>
      </c>
      <c r="BM5" s="446" t="s">
        <v>179</v>
      </c>
      <c r="BP5" s="438" t="s">
        <v>1080</v>
      </c>
    </row>
    <row r="6" spans="1:68" ht="66" thickBot="1" x14ac:dyDescent="0.35">
      <c r="A6" s="447"/>
      <c r="B6" s="448"/>
      <c r="C6" s="448"/>
      <c r="D6" s="449"/>
      <c r="E6" s="449"/>
      <c r="F6" s="449"/>
      <c r="G6" s="449"/>
      <c r="H6" s="450"/>
      <c r="I6" s="450"/>
      <c r="J6" s="450"/>
      <c r="K6" s="450"/>
      <c r="L6" s="447"/>
      <c r="M6" s="447"/>
      <c r="N6" s="447"/>
      <c r="O6" s="447"/>
      <c r="P6" s="447"/>
      <c r="Q6" s="447"/>
      <c r="R6" s="447"/>
      <c r="S6" s="447"/>
      <c r="T6" s="447"/>
      <c r="U6" s="447"/>
      <c r="V6" s="447"/>
      <c r="W6" s="447"/>
      <c r="X6" s="447"/>
      <c r="Y6" s="447"/>
      <c r="Z6" s="447"/>
      <c r="AA6" s="447"/>
      <c r="AB6" s="451"/>
      <c r="AC6" s="451"/>
      <c r="AD6" s="451"/>
      <c r="AE6" s="452" t="s">
        <v>1418</v>
      </c>
      <c r="AF6" s="451"/>
      <c r="AG6" s="453" t="s">
        <v>1368</v>
      </c>
      <c r="AH6" s="442"/>
      <c r="AI6" s="454" t="s">
        <v>1367</v>
      </c>
      <c r="AJ6" s="451"/>
      <c r="AK6" s="455" t="s">
        <v>1366</v>
      </c>
      <c r="AL6" s="451"/>
      <c r="AM6" s="451"/>
      <c r="AN6" s="451"/>
      <c r="AO6" s="447"/>
      <c r="AP6" s="447"/>
      <c r="AQ6" s="447"/>
      <c r="AR6" s="447"/>
      <c r="AS6" s="447"/>
      <c r="AT6" s="447"/>
      <c r="AU6" s="447"/>
      <c r="AV6" s="447"/>
      <c r="AW6" s="447"/>
      <c r="AX6" s="447"/>
      <c r="AY6" s="447"/>
      <c r="AZ6" s="447"/>
      <c r="BA6" s="447"/>
      <c r="BB6" s="447"/>
      <c r="BC6" s="447"/>
      <c r="BD6" s="450"/>
      <c r="BE6" s="450"/>
      <c r="BF6" s="450"/>
      <c r="BG6" s="456"/>
      <c r="BH6" s="456"/>
      <c r="BI6" s="456"/>
      <c r="BJ6" s="449"/>
      <c r="BK6" s="456"/>
      <c r="BL6" s="447"/>
      <c r="BM6" s="448"/>
      <c r="BN6" s="447"/>
      <c r="BP6" s="457" t="s">
        <v>1080</v>
      </c>
    </row>
    <row r="7" spans="1:68" ht="26.25" thickTop="1" x14ac:dyDescent="0.45">
      <c r="A7" s="936" t="s">
        <v>63</v>
      </c>
      <c r="B7" s="458" t="str">
        <f t="shared" ref="B7" si="0">_xlfn.CONCAT("קומה ",B8)</f>
        <v>קומה 50</v>
      </c>
      <c r="C7" s="459" t="s">
        <v>0</v>
      </c>
      <c r="D7" s="939" t="s">
        <v>74</v>
      </c>
      <c r="E7" s="942" t="s">
        <v>73</v>
      </c>
      <c r="F7" s="942" t="s">
        <v>72</v>
      </c>
      <c r="G7" s="945" t="s">
        <v>71</v>
      </c>
      <c r="H7" s="460">
        <v>337</v>
      </c>
      <c r="I7" s="461"/>
      <c r="J7" s="461"/>
      <c r="K7" s="461"/>
      <c r="L7" s="461"/>
      <c r="M7" s="461"/>
      <c r="N7" s="461"/>
      <c r="O7" s="462"/>
      <c r="P7" s="462"/>
      <c r="Q7" s="462"/>
      <c r="R7" s="462"/>
      <c r="S7" s="462"/>
      <c r="T7" s="462"/>
      <c r="U7" s="463"/>
      <c r="V7" s="463"/>
      <c r="W7" s="463"/>
      <c r="X7" s="463"/>
      <c r="Y7" s="463"/>
      <c r="Z7" s="463"/>
      <c r="AA7" s="463"/>
      <c r="AB7" s="464"/>
      <c r="AC7" s="464"/>
      <c r="AD7" s="464"/>
      <c r="AE7" s="464"/>
      <c r="AF7" s="464"/>
      <c r="AG7" s="464"/>
      <c r="AH7" s="464"/>
      <c r="AI7" s="464"/>
      <c r="AJ7" s="464"/>
      <c r="AK7" s="464"/>
      <c r="AL7" s="464"/>
      <c r="AM7" s="464"/>
      <c r="AN7" s="464"/>
      <c r="AO7" s="465">
        <v>331</v>
      </c>
      <c r="AP7" s="461"/>
      <c r="AQ7" s="461"/>
      <c r="AR7" s="461"/>
      <c r="AS7" s="461"/>
      <c r="AT7" s="461"/>
      <c r="AU7" s="461"/>
      <c r="AV7" s="461"/>
      <c r="AW7" s="461"/>
      <c r="AX7" s="461"/>
      <c r="AY7" s="461"/>
      <c r="AZ7" s="461"/>
      <c r="BA7" s="461"/>
      <c r="BB7" s="461"/>
      <c r="BC7" s="461"/>
      <c r="BD7" s="466"/>
      <c r="BE7" s="466"/>
      <c r="BF7" s="466"/>
      <c r="BG7" s="467"/>
      <c r="BH7" s="948" t="s">
        <v>79</v>
      </c>
      <c r="BI7" s="950" t="s">
        <v>80</v>
      </c>
      <c r="BJ7" s="952" t="s">
        <v>81</v>
      </c>
      <c r="BK7" s="953" t="s">
        <v>82</v>
      </c>
      <c r="BL7" s="468" t="s">
        <v>0</v>
      </c>
      <c r="BM7" s="469" t="str">
        <f t="shared" ref="BM7" si="1">_xlfn.CONCAT("קומה ",BM8)</f>
        <v>קומה 50</v>
      </c>
      <c r="BN7" s="955" t="s">
        <v>63</v>
      </c>
      <c r="BO7" s="470"/>
      <c r="BP7" s="471" t="s">
        <v>0</v>
      </c>
    </row>
    <row r="8" spans="1:68" ht="21.75" hidden="1" x14ac:dyDescent="0.3">
      <c r="A8" s="937"/>
      <c r="B8" s="472">
        <f t="shared" ref="B8:B16" si="2">B12+1</f>
        <v>50</v>
      </c>
      <c r="C8" s="473" t="s">
        <v>89</v>
      </c>
      <c r="D8" s="940"/>
      <c r="E8" s="943"/>
      <c r="F8" s="943"/>
      <c r="G8" s="946"/>
      <c r="H8" s="475" t="str">
        <f>VLOOKUP("*"&amp;H$5&amp;".Ap."&amp;H7,Check2,1,FALSE)</f>
        <v>O.PH5.TS.Ap.337</v>
      </c>
      <c r="I8" s="476" t="str">
        <f t="shared" ref="I8:V8" si="3">H8</f>
        <v>O.PH5.TS.Ap.337</v>
      </c>
      <c r="J8" s="476" t="str">
        <f t="shared" si="3"/>
        <v>O.PH5.TS.Ap.337</v>
      </c>
      <c r="K8" s="476" t="str">
        <f t="shared" si="3"/>
        <v>O.PH5.TS.Ap.337</v>
      </c>
      <c r="L8" s="476" t="str">
        <f t="shared" si="3"/>
        <v>O.PH5.TS.Ap.337</v>
      </c>
      <c r="M8" s="476" t="str">
        <f t="shared" si="3"/>
        <v>O.PH5.TS.Ap.337</v>
      </c>
      <c r="N8" s="476" t="str">
        <f t="shared" si="3"/>
        <v>O.PH5.TS.Ap.337</v>
      </c>
      <c r="O8" s="477" t="str">
        <f t="shared" si="3"/>
        <v>O.PH5.TS.Ap.337</v>
      </c>
      <c r="P8" s="477" t="str">
        <f t="shared" si="3"/>
        <v>O.PH5.TS.Ap.337</v>
      </c>
      <c r="Q8" s="477" t="str">
        <f t="shared" si="3"/>
        <v>O.PH5.TS.Ap.337</v>
      </c>
      <c r="R8" s="477" t="str">
        <f t="shared" si="3"/>
        <v>O.PH5.TS.Ap.337</v>
      </c>
      <c r="S8" s="477" t="str">
        <f t="shared" si="3"/>
        <v>O.PH5.TS.Ap.337</v>
      </c>
      <c r="T8" s="477" t="str">
        <f t="shared" si="3"/>
        <v>O.PH5.TS.Ap.337</v>
      </c>
      <c r="U8" s="478" t="str">
        <f t="shared" si="3"/>
        <v>O.PH5.TS.Ap.337</v>
      </c>
      <c r="V8" s="478" t="str">
        <f t="shared" si="3"/>
        <v>O.PH5.TS.Ap.337</v>
      </c>
      <c r="W8" s="478" t="str">
        <f t="shared" ref="W8:X8" si="4">U8</f>
        <v>O.PH5.TS.Ap.337</v>
      </c>
      <c r="X8" s="478" t="str">
        <f t="shared" si="4"/>
        <v>O.PH5.TS.Ap.337</v>
      </c>
      <c r="Y8" s="478" t="str">
        <f t="shared" ref="Y8" si="5">X8</f>
        <v>O.PH5.TS.Ap.337</v>
      </c>
      <c r="Z8" s="478" t="str">
        <f t="shared" ref="Z8:AA8" si="6">X8</f>
        <v>O.PH5.TS.Ap.337</v>
      </c>
      <c r="AA8" s="478" t="str">
        <f t="shared" si="6"/>
        <v>O.PH5.TS.Ap.337</v>
      </c>
      <c r="AB8" s="479"/>
      <c r="AC8" s="479"/>
      <c r="AD8" s="479"/>
      <c r="AE8" s="479"/>
      <c r="AF8" s="479"/>
      <c r="AG8" s="479"/>
      <c r="AH8" s="479"/>
      <c r="AI8" s="479"/>
      <c r="AJ8" s="479"/>
      <c r="AK8" s="479"/>
      <c r="AL8" s="479"/>
      <c r="AM8" s="479"/>
      <c r="AN8" s="479"/>
      <c r="AO8" s="480" t="str">
        <f>VLOOKUP("*"&amp;AO$5&amp;".Ap."&amp;AO7,Check2,1,FALSE)</f>
        <v>S.PH5.TN.Ap.331</v>
      </c>
      <c r="AP8" s="476" t="str">
        <f>AO8</f>
        <v>S.PH5.TN.Ap.331</v>
      </c>
      <c r="AQ8" s="476" t="str">
        <f>AP8</f>
        <v>S.PH5.TN.Ap.331</v>
      </c>
      <c r="AR8" s="476" t="str">
        <f>AQ8</f>
        <v>S.PH5.TN.Ap.331</v>
      </c>
      <c r="AS8" s="476" t="str">
        <f t="shared" ref="AS8" si="7">AR8</f>
        <v>S.PH5.TN.Ap.331</v>
      </c>
      <c r="AT8" s="476" t="str">
        <f>AS8</f>
        <v>S.PH5.TN.Ap.331</v>
      </c>
      <c r="AU8" s="476" t="str">
        <f>AT8</f>
        <v>S.PH5.TN.Ap.331</v>
      </c>
      <c r="AV8" s="476" t="str">
        <f>AU8</f>
        <v>S.PH5.TN.Ap.331</v>
      </c>
      <c r="AW8" s="476" t="str">
        <f t="shared" ref="AW8:BG8" si="8">AV8</f>
        <v>S.PH5.TN.Ap.331</v>
      </c>
      <c r="AX8" s="476" t="str">
        <f t="shared" si="8"/>
        <v>S.PH5.TN.Ap.331</v>
      </c>
      <c r="AY8" s="476" t="str">
        <f t="shared" si="8"/>
        <v>S.PH5.TN.Ap.331</v>
      </c>
      <c r="AZ8" s="476" t="str">
        <f t="shared" si="8"/>
        <v>S.PH5.TN.Ap.331</v>
      </c>
      <c r="BA8" s="476" t="str">
        <f t="shared" si="8"/>
        <v>S.PH5.TN.Ap.331</v>
      </c>
      <c r="BB8" s="476" t="str">
        <f t="shared" si="8"/>
        <v>S.PH5.TN.Ap.331</v>
      </c>
      <c r="BC8" s="476" t="str">
        <f t="shared" si="8"/>
        <v>S.PH5.TN.Ap.331</v>
      </c>
      <c r="BD8" s="481" t="str">
        <f t="shared" si="8"/>
        <v>S.PH5.TN.Ap.331</v>
      </c>
      <c r="BE8" s="481" t="str">
        <f t="shared" si="8"/>
        <v>S.PH5.TN.Ap.331</v>
      </c>
      <c r="BF8" s="481" t="str">
        <f t="shared" si="8"/>
        <v>S.PH5.TN.Ap.331</v>
      </c>
      <c r="BG8" s="482" t="str">
        <f t="shared" si="8"/>
        <v>S.PH5.TN.Ap.331</v>
      </c>
      <c r="BH8" s="948"/>
      <c r="BI8" s="950"/>
      <c r="BJ8" s="950"/>
      <c r="BK8" s="953"/>
      <c r="BL8" s="483" t="s">
        <v>89</v>
      </c>
      <c r="BM8" s="472">
        <f t="shared" ref="BM8:BM16" si="9">BM12+1</f>
        <v>50</v>
      </c>
      <c r="BN8" s="955"/>
      <c r="BO8" s="484"/>
      <c r="BP8" s="485" t="s">
        <v>89</v>
      </c>
    </row>
    <row r="9" spans="1:68" ht="21.75" x14ac:dyDescent="0.3">
      <c r="A9" s="937"/>
      <c r="B9" s="486"/>
      <c r="C9" s="487" t="s">
        <v>65</v>
      </c>
      <c r="D9" s="940"/>
      <c r="E9" s="943"/>
      <c r="F9" s="943"/>
      <c r="G9" s="946"/>
      <c r="H9" s="488">
        <f>VLOOKUP(H8,Check2,5,FALSE)</f>
        <v>5001</v>
      </c>
      <c r="I9" s="489"/>
      <c r="J9" s="489"/>
      <c r="K9" s="489"/>
      <c r="L9" s="489"/>
      <c r="M9" s="489"/>
      <c r="N9" s="489"/>
      <c r="O9" s="490"/>
      <c r="P9" s="490"/>
      <c r="Q9" s="490"/>
      <c r="R9" s="490"/>
      <c r="S9" s="490"/>
      <c r="T9" s="490"/>
      <c r="U9" s="491"/>
      <c r="V9" s="491"/>
      <c r="W9" s="491"/>
      <c r="X9" s="491"/>
      <c r="Y9" s="491"/>
      <c r="Z9" s="491"/>
      <c r="AA9" s="491"/>
      <c r="AB9" s="449"/>
      <c r="AC9" s="449"/>
      <c r="AD9" s="449"/>
      <c r="AE9" s="449"/>
      <c r="AF9" s="449"/>
      <c r="AG9" s="449"/>
      <c r="AH9" s="449"/>
      <c r="AI9" s="449"/>
      <c r="AJ9" s="449"/>
      <c r="AK9" s="449"/>
      <c r="AL9" s="449"/>
      <c r="AM9" s="449"/>
      <c r="AN9" s="449"/>
      <c r="AO9" s="492">
        <f>VLOOKUP(AO8,Check2,5,FALSE)</f>
        <v>5001</v>
      </c>
      <c r="AP9" s="489"/>
      <c r="AQ9" s="489"/>
      <c r="AR9" s="489"/>
      <c r="AS9" s="489"/>
      <c r="AT9" s="489"/>
      <c r="AU9" s="489"/>
      <c r="AV9" s="489"/>
      <c r="AW9" s="489"/>
      <c r="AX9" s="489"/>
      <c r="AY9" s="489"/>
      <c r="AZ9" s="489"/>
      <c r="BA9" s="489"/>
      <c r="BB9" s="489"/>
      <c r="BC9" s="489"/>
      <c r="BD9" s="493"/>
      <c r="BE9" s="493"/>
      <c r="BF9" s="493"/>
      <c r="BG9" s="494"/>
      <c r="BH9" s="948"/>
      <c r="BI9" s="950"/>
      <c r="BJ9" s="950"/>
      <c r="BK9" s="953"/>
      <c r="BL9" s="495" t="s">
        <v>65</v>
      </c>
      <c r="BM9" s="486"/>
      <c r="BN9" s="955"/>
      <c r="BO9" s="434"/>
      <c r="BP9" s="496" t="s">
        <v>1078</v>
      </c>
    </row>
    <row r="10" spans="1:68" ht="22.5" thickBot="1" x14ac:dyDescent="0.45">
      <c r="A10" s="938"/>
      <c r="B10" s="497">
        <f>B14+4</f>
        <v>183.48</v>
      </c>
      <c r="C10" s="498" t="s">
        <v>1</v>
      </c>
      <c r="D10" s="941"/>
      <c r="E10" s="944"/>
      <c r="F10" s="944"/>
      <c r="G10" s="947"/>
      <c r="H10" s="499" t="str">
        <f>VLOOKUP(H8,Check2,6,FALSE)</f>
        <v>PH5</v>
      </c>
      <c r="I10" s="500"/>
      <c r="J10" s="500"/>
      <c r="K10" s="500"/>
      <c r="L10" s="500"/>
      <c r="M10" s="500"/>
      <c r="N10" s="500"/>
      <c r="O10" s="501"/>
      <c r="P10" s="501"/>
      <c r="Q10" s="501"/>
      <c r="R10" s="501"/>
      <c r="S10" s="501"/>
      <c r="T10" s="501"/>
      <c r="U10" s="502"/>
      <c r="V10" s="502"/>
      <c r="W10" s="502"/>
      <c r="X10" s="502"/>
      <c r="Y10" s="502"/>
      <c r="Z10" s="502"/>
      <c r="AA10" s="502"/>
      <c r="AB10" s="503"/>
      <c r="AC10" s="503"/>
      <c r="AD10" s="503"/>
      <c r="AE10" s="503"/>
      <c r="AF10" s="504"/>
      <c r="AG10" s="503"/>
      <c r="AH10" s="503"/>
      <c r="AI10" s="503"/>
      <c r="AJ10" s="504"/>
      <c r="AK10" s="503"/>
      <c r="AL10" s="503"/>
      <c r="AM10" s="503"/>
      <c r="AN10" s="503"/>
      <c r="AO10" s="505" t="str">
        <f>VLOOKUP(AO8,Check2,6,FALSE)</f>
        <v>PH5</v>
      </c>
      <c r="AP10" s="500"/>
      <c r="AQ10" s="500"/>
      <c r="AR10" s="500"/>
      <c r="AS10" s="500"/>
      <c r="AT10" s="500"/>
      <c r="AU10" s="500"/>
      <c r="AV10" s="500"/>
      <c r="AW10" s="500"/>
      <c r="AX10" s="500"/>
      <c r="AY10" s="500"/>
      <c r="AZ10" s="500"/>
      <c r="BA10" s="500"/>
      <c r="BB10" s="500"/>
      <c r="BC10" s="500"/>
      <c r="BD10" s="506"/>
      <c r="BE10" s="506"/>
      <c r="BF10" s="506"/>
      <c r="BG10" s="507"/>
      <c r="BH10" s="949"/>
      <c r="BI10" s="951"/>
      <c r="BJ10" s="951"/>
      <c r="BK10" s="954"/>
      <c r="BL10" s="508" t="s">
        <v>1</v>
      </c>
      <c r="BM10" s="497">
        <f>BM14+4</f>
        <v>183.48</v>
      </c>
      <c r="BN10" s="956"/>
      <c r="BO10" s="509"/>
      <c r="BP10" s="510" t="s">
        <v>1</v>
      </c>
    </row>
    <row r="11" spans="1:68" ht="26.25" thickTop="1" x14ac:dyDescent="0.45">
      <c r="A11" s="957" t="s">
        <v>62</v>
      </c>
      <c r="B11" s="511" t="str">
        <f t="shared" ref="B11" si="10">_xlfn.CONCAT("קומה ",B12)</f>
        <v>קומה 49</v>
      </c>
      <c r="C11" s="512" t="s">
        <v>0</v>
      </c>
      <c r="D11" s="960" t="s">
        <v>1075</v>
      </c>
      <c r="E11" s="961" t="s">
        <v>70</v>
      </c>
      <c r="F11" s="513"/>
      <c r="G11" s="513"/>
      <c r="H11" s="962">
        <v>336</v>
      </c>
      <c r="I11" s="962"/>
      <c r="J11" s="962"/>
      <c r="K11" s="962"/>
      <c r="L11" s="962"/>
      <c r="M11" s="962"/>
      <c r="N11" s="962"/>
      <c r="O11" s="963"/>
      <c r="P11" s="514">
        <v>335</v>
      </c>
      <c r="Q11" s="514"/>
      <c r="R11" s="462"/>
      <c r="S11" s="462"/>
      <c r="T11" s="462"/>
      <c r="U11" s="462"/>
      <c r="V11" s="462"/>
      <c r="W11" s="514"/>
      <c r="X11" s="514"/>
      <c r="Y11" s="964">
        <v>336</v>
      </c>
      <c r="Z11" s="965"/>
      <c r="AA11" s="966"/>
      <c r="AB11" s="464"/>
      <c r="AC11" s="464"/>
      <c r="AD11" s="464"/>
      <c r="AE11" s="464"/>
      <c r="AF11" s="515" t="s">
        <v>0</v>
      </c>
      <c r="AG11" s="515" t="s">
        <v>1237</v>
      </c>
      <c r="AH11" s="515" t="s">
        <v>0</v>
      </c>
      <c r="AI11" s="516" t="s">
        <v>0</v>
      </c>
      <c r="AJ11" s="517" t="s">
        <v>1238</v>
      </c>
      <c r="AK11" s="464"/>
      <c r="AL11" s="464"/>
      <c r="AM11" s="464"/>
      <c r="AN11" s="518"/>
      <c r="AO11" s="967">
        <v>330</v>
      </c>
      <c r="AP11" s="968"/>
      <c r="AQ11" s="519">
        <v>329</v>
      </c>
      <c r="AR11" s="461"/>
      <c r="AS11" s="461"/>
      <c r="AT11" s="461"/>
      <c r="AU11" s="461"/>
      <c r="AV11" s="461"/>
      <c r="AW11" s="461"/>
      <c r="AX11" s="520"/>
      <c r="AY11" s="969">
        <v>330</v>
      </c>
      <c r="AZ11" s="970"/>
      <c r="BA11" s="970"/>
      <c r="BB11" s="970"/>
      <c r="BC11" s="970"/>
      <c r="BD11" s="970"/>
      <c r="BE11" s="970"/>
      <c r="BF11" s="970"/>
      <c r="BG11" s="971"/>
      <c r="BH11" s="521"/>
      <c r="BI11" s="521"/>
      <c r="BJ11" s="972" t="s">
        <v>70</v>
      </c>
      <c r="BK11" s="973" t="s">
        <v>1075</v>
      </c>
      <c r="BL11" s="522" t="s">
        <v>0</v>
      </c>
      <c r="BM11" s="511" t="str">
        <f t="shared" ref="BM11" si="11">_xlfn.CONCAT("קומה ",BM12)</f>
        <v>קומה 49</v>
      </c>
      <c r="BN11" s="979" t="s">
        <v>62</v>
      </c>
      <c r="BO11" s="470"/>
      <c r="BP11" s="471" t="s">
        <v>0</v>
      </c>
    </row>
    <row r="12" spans="1:68" ht="22.5" hidden="1" x14ac:dyDescent="0.3">
      <c r="A12" s="957"/>
      <c r="B12" s="523">
        <f t="shared" si="2"/>
        <v>49</v>
      </c>
      <c r="C12" s="512" t="s">
        <v>89</v>
      </c>
      <c r="D12" s="940"/>
      <c r="E12" s="943"/>
      <c r="F12" s="524"/>
      <c r="G12" s="524"/>
      <c r="H12" s="475" t="str">
        <f>VLOOKUP("*"&amp;H$5&amp;".Ap."&amp;H11,Check2,1,FALSE)</f>
        <v>O.PH4.TS.Ap.336</v>
      </c>
      <c r="I12" s="475"/>
      <c r="J12" s="525" t="str">
        <f>H12</f>
        <v>O.PH4.TS.Ap.336</v>
      </c>
      <c r="K12" s="525" t="str">
        <f t="shared" ref="K12:O12" si="12">J12</f>
        <v>O.PH4.TS.Ap.336</v>
      </c>
      <c r="L12" s="477" t="str">
        <f t="shared" si="12"/>
        <v>O.PH4.TS.Ap.336</v>
      </c>
      <c r="M12" s="525" t="str">
        <f t="shared" si="12"/>
        <v>O.PH4.TS.Ap.336</v>
      </c>
      <c r="N12" s="477" t="str">
        <f t="shared" si="12"/>
        <v>O.PH4.TS.Ap.336</v>
      </c>
      <c r="O12" s="477" t="str">
        <f t="shared" si="12"/>
        <v>O.PH4.TS.Ap.336</v>
      </c>
      <c r="P12" s="525" t="str">
        <f>VLOOKUP("*"&amp;P$5&amp;".Ap."&amp;P11,Check2,1,FALSE)</f>
        <v>O.PH3.TS.Ap.335</v>
      </c>
      <c r="Q12" s="525" t="str">
        <f t="shared" ref="Q12:V12" si="13">P12</f>
        <v>O.PH3.TS.Ap.335</v>
      </c>
      <c r="R12" s="477" t="str">
        <f t="shared" si="13"/>
        <v>O.PH3.TS.Ap.335</v>
      </c>
      <c r="S12" s="477" t="str">
        <f t="shared" si="13"/>
        <v>O.PH3.TS.Ap.335</v>
      </c>
      <c r="T12" s="477" t="str">
        <f t="shared" si="13"/>
        <v>O.PH3.TS.Ap.335</v>
      </c>
      <c r="U12" s="477" t="str">
        <f t="shared" si="13"/>
        <v>O.PH3.TS.Ap.335</v>
      </c>
      <c r="V12" s="477" t="str">
        <f t="shared" si="13"/>
        <v>O.PH3.TS.Ap.335</v>
      </c>
      <c r="W12" s="525" t="str">
        <f t="shared" ref="W12:X12" si="14">U12</f>
        <v>O.PH3.TS.Ap.335</v>
      </c>
      <c r="X12" s="525" t="str">
        <f t="shared" si="14"/>
        <v>O.PH3.TS.Ap.335</v>
      </c>
      <c r="Y12" s="526" t="str">
        <f>VLOOKUP("*"&amp;Y$5&amp;".Ap."&amp;Y11,Check2,1,FALSE)</f>
        <v>O.PH4.TS.Ap.336</v>
      </c>
      <c r="Z12" s="527" t="str">
        <f t="shared" ref="Z12:AA12" si="15">X12</f>
        <v>O.PH3.TS.Ap.335</v>
      </c>
      <c r="AA12" s="527" t="str">
        <f t="shared" si="15"/>
        <v>O.PH4.TS.Ap.336</v>
      </c>
      <c r="AB12" s="479"/>
      <c r="AC12" s="479"/>
      <c r="AD12" s="479"/>
      <c r="AE12" s="479"/>
      <c r="AF12" s="525" t="s">
        <v>1239</v>
      </c>
      <c r="AG12" s="525" t="s">
        <v>1240</v>
      </c>
      <c r="AH12" s="525" t="s">
        <v>1241</v>
      </c>
      <c r="AI12" s="528" t="s">
        <v>1242</v>
      </c>
      <c r="AJ12" s="529" t="s">
        <v>1239</v>
      </c>
      <c r="AK12" s="479"/>
      <c r="AL12" s="479"/>
      <c r="AM12" s="479"/>
      <c r="AN12" s="530"/>
      <c r="AO12" s="531" t="str">
        <f>VLOOKUP("*"&amp;AO$5&amp;".Ap."&amp;AO11,Check2,1,FALSE)</f>
        <v>V.GM.PH4.TN.Ap.330</v>
      </c>
      <c r="AP12" s="525" t="str">
        <f t="shared" ref="AP12" si="16">AO12</f>
        <v>V.GM.PH4.TN.Ap.330</v>
      </c>
      <c r="AQ12" s="532" t="str">
        <f>VLOOKUP("*"&amp;AQ$5&amp;".Ap."&amp;AQ11,Check2,1,FALSE)</f>
        <v>V.GM.PH3.TN.Ap.329</v>
      </c>
      <c r="AR12" s="476" t="str">
        <f>AQ12</f>
        <v>V.GM.PH3.TN.Ap.329</v>
      </c>
      <c r="AS12" s="476" t="str">
        <f>AR12</f>
        <v>V.GM.PH3.TN.Ap.329</v>
      </c>
      <c r="AT12" s="476" t="str">
        <f>AS12</f>
        <v>V.GM.PH3.TN.Ap.329</v>
      </c>
      <c r="AU12" s="476" t="str">
        <f>AT12</f>
        <v>V.GM.PH3.TN.Ap.329</v>
      </c>
      <c r="AV12" s="476" t="str">
        <f>AU12</f>
        <v>V.GM.PH3.TN.Ap.329</v>
      </c>
      <c r="AW12" s="476" t="str">
        <f t="shared" ref="AW12:AX12" si="17">AV12</f>
        <v>V.GM.PH3.TN.Ap.329</v>
      </c>
      <c r="AX12" s="477" t="str">
        <f t="shared" si="17"/>
        <v>V.GM.PH3.TN.Ap.329</v>
      </c>
      <c r="AY12" s="533" t="str">
        <f>VLOOKUP("*"&amp;AY$5&amp;".Ap."&amp;AY11,Check2,1,FALSE)</f>
        <v>V.GM.PH4.TN.Ap.330</v>
      </c>
      <c r="AZ12" s="532"/>
      <c r="BA12" s="476" t="str">
        <f>AY12</f>
        <v>V.GM.PH4.TN.Ap.330</v>
      </c>
      <c r="BB12" s="476" t="str">
        <f>BA12</f>
        <v>V.GM.PH4.TN.Ap.330</v>
      </c>
      <c r="BC12" s="481" t="str">
        <f>BB12</f>
        <v>V.GM.PH4.TN.Ap.330</v>
      </c>
      <c r="BD12" s="481" t="str">
        <f t="shared" ref="BD12:BF12" si="18">BC12</f>
        <v>V.GM.PH4.TN.Ap.330</v>
      </c>
      <c r="BE12" s="481" t="str">
        <f t="shared" si="18"/>
        <v>V.GM.PH4.TN.Ap.330</v>
      </c>
      <c r="BF12" s="534" t="str">
        <f t="shared" si="18"/>
        <v>V.GM.PH4.TN.Ap.330</v>
      </c>
      <c r="BG12" s="535"/>
      <c r="BH12" s="536"/>
      <c r="BI12" s="536"/>
      <c r="BJ12" s="950"/>
      <c r="BK12" s="953"/>
      <c r="BL12" s="522" t="s">
        <v>89</v>
      </c>
      <c r="BM12" s="523">
        <f t="shared" si="9"/>
        <v>49</v>
      </c>
      <c r="BN12" s="979"/>
      <c r="BO12" s="484"/>
      <c r="BP12" s="485" t="s">
        <v>89</v>
      </c>
    </row>
    <row r="13" spans="1:68" ht="19.5" customHeight="1" x14ac:dyDescent="0.3">
      <c r="A13" s="957"/>
      <c r="B13" s="537"/>
      <c r="C13" s="538" t="s">
        <v>65</v>
      </c>
      <c r="D13" s="940"/>
      <c r="E13" s="943"/>
      <c r="F13" s="524"/>
      <c r="G13" s="524"/>
      <c r="H13" s="982">
        <f>VLOOKUP(H12,Check2,5,FALSE)</f>
        <v>4901</v>
      </c>
      <c r="I13" s="982"/>
      <c r="J13" s="982"/>
      <c r="K13" s="982"/>
      <c r="L13" s="982"/>
      <c r="M13" s="982"/>
      <c r="N13" s="982"/>
      <c r="O13" s="983"/>
      <c r="P13" s="539">
        <f>VLOOKUP(P12,Check2,5,FALSE)</f>
        <v>4902</v>
      </c>
      <c r="Q13" s="539"/>
      <c r="R13" s="490"/>
      <c r="S13" s="490"/>
      <c r="T13" s="490"/>
      <c r="U13" s="490"/>
      <c r="V13" s="490"/>
      <c r="W13" s="539"/>
      <c r="X13" s="539"/>
      <c r="Y13" s="984">
        <f>VLOOKUP(Y12,Check2,5,FALSE)</f>
        <v>4901</v>
      </c>
      <c r="Z13" s="985"/>
      <c r="AA13" s="986"/>
      <c r="AB13" s="449"/>
      <c r="AC13" s="449"/>
      <c r="AD13" s="449"/>
      <c r="AE13" s="449"/>
      <c r="AF13" s="987" t="s">
        <v>130</v>
      </c>
      <c r="AG13" s="987" t="s">
        <v>91</v>
      </c>
      <c r="AH13" s="987" t="s">
        <v>108</v>
      </c>
      <c r="AI13" s="989" t="s">
        <v>1243</v>
      </c>
      <c r="AJ13" s="991" t="s">
        <v>1244</v>
      </c>
      <c r="AK13" s="449"/>
      <c r="AL13" s="449"/>
      <c r="AM13" s="449"/>
      <c r="AN13" s="541"/>
      <c r="AO13" s="993">
        <f>VLOOKUP(AO12,Check2,5,FALSE)</f>
        <v>4901</v>
      </c>
      <c r="AP13" s="994"/>
      <c r="AQ13" s="542">
        <f>VLOOKUP(AQ12,Check2,5,FALSE)</f>
        <v>4902</v>
      </c>
      <c r="AR13" s="489"/>
      <c r="AS13" s="489"/>
      <c r="AT13" s="489"/>
      <c r="AU13" s="489"/>
      <c r="AV13" s="489"/>
      <c r="AW13" s="489"/>
      <c r="AX13" s="543"/>
      <c r="AY13" s="995">
        <f>VLOOKUP(AY12,Check2,5,FALSE)</f>
        <v>4901</v>
      </c>
      <c r="AZ13" s="996"/>
      <c r="BA13" s="996"/>
      <c r="BB13" s="996"/>
      <c r="BC13" s="996"/>
      <c r="BD13" s="996"/>
      <c r="BE13" s="996"/>
      <c r="BF13" s="996"/>
      <c r="BG13" s="997"/>
      <c r="BH13" s="536"/>
      <c r="BI13" s="536"/>
      <c r="BJ13" s="950"/>
      <c r="BK13" s="953"/>
      <c r="BL13" s="544" t="s">
        <v>65</v>
      </c>
      <c r="BM13" s="537"/>
      <c r="BN13" s="979"/>
      <c r="BO13" s="434"/>
      <c r="BP13" s="496" t="s">
        <v>1078</v>
      </c>
    </row>
    <row r="14" spans="1:68" ht="20.25" customHeight="1" thickBot="1" x14ac:dyDescent="0.45">
      <c r="A14" s="958"/>
      <c r="B14" s="545">
        <f>B18+4</f>
        <v>179.48</v>
      </c>
      <c r="C14" s="546" t="s">
        <v>1</v>
      </c>
      <c r="D14" s="941"/>
      <c r="E14" s="944"/>
      <c r="F14" s="547"/>
      <c r="G14" s="547"/>
      <c r="H14" s="998" t="str">
        <f>VLOOKUP(H12,Check2,6,FALSE)</f>
        <v>PH4</v>
      </c>
      <c r="I14" s="998"/>
      <c r="J14" s="998"/>
      <c r="K14" s="998"/>
      <c r="L14" s="998"/>
      <c r="M14" s="998"/>
      <c r="N14" s="998"/>
      <c r="O14" s="999"/>
      <c r="P14" s="548" t="str">
        <f>VLOOKUP(P12,Check2,6,FALSE)</f>
        <v>PH3</v>
      </c>
      <c r="Q14" s="548"/>
      <c r="R14" s="549"/>
      <c r="S14" s="549"/>
      <c r="T14" s="549"/>
      <c r="U14" s="549"/>
      <c r="V14" s="549"/>
      <c r="W14" s="548"/>
      <c r="X14" s="548"/>
      <c r="Y14" s="1000" t="str">
        <f>VLOOKUP(Y12,Check2,6,FALSE)</f>
        <v>PH4</v>
      </c>
      <c r="Z14" s="1001"/>
      <c r="AA14" s="1002"/>
      <c r="AB14" s="503"/>
      <c r="AC14" s="503"/>
      <c r="AD14" s="503"/>
      <c r="AE14" s="503"/>
      <c r="AF14" s="988"/>
      <c r="AG14" s="988"/>
      <c r="AH14" s="988"/>
      <c r="AI14" s="990"/>
      <c r="AJ14" s="992"/>
      <c r="AK14" s="503"/>
      <c r="AL14" s="503"/>
      <c r="AM14" s="503"/>
      <c r="AN14" s="550"/>
      <c r="AO14" s="1003" t="str">
        <f>VLOOKUP(AO12,Check2,6,FALSE)</f>
        <v>PH4</v>
      </c>
      <c r="AP14" s="1004"/>
      <c r="AQ14" s="551" t="str">
        <f>VLOOKUP(AQ12,Check2,6,FALSE)</f>
        <v>PH3</v>
      </c>
      <c r="AR14" s="552"/>
      <c r="AS14" s="552"/>
      <c r="AT14" s="552"/>
      <c r="AU14" s="552"/>
      <c r="AV14" s="552"/>
      <c r="AW14" s="552"/>
      <c r="AX14" s="553"/>
      <c r="AY14" s="1005" t="str">
        <f>VLOOKUP(AY12,Check2,6,FALSE)</f>
        <v>PH4</v>
      </c>
      <c r="AZ14" s="1006"/>
      <c r="BA14" s="1006"/>
      <c r="BB14" s="1006"/>
      <c r="BC14" s="1006"/>
      <c r="BD14" s="1006"/>
      <c r="BE14" s="1006"/>
      <c r="BF14" s="1006"/>
      <c r="BG14" s="1007"/>
      <c r="BH14" s="554"/>
      <c r="BI14" s="554"/>
      <c r="BJ14" s="951"/>
      <c r="BK14" s="954"/>
      <c r="BL14" s="555" t="s">
        <v>1</v>
      </c>
      <c r="BM14" s="545">
        <f>BM18+4</f>
        <v>179.48</v>
      </c>
      <c r="BN14" s="980"/>
      <c r="BO14" s="509"/>
      <c r="BP14" s="510" t="s">
        <v>1</v>
      </c>
    </row>
    <row r="15" spans="1:68" ht="25.5" x14ac:dyDescent="0.45">
      <c r="A15" s="957"/>
      <c r="B15" s="511" t="str">
        <f t="shared" ref="B15" si="19">_xlfn.CONCAT("קומה ",B16)</f>
        <v>קומה 48</v>
      </c>
      <c r="C15" s="512" t="s">
        <v>0</v>
      </c>
      <c r="D15" s="556"/>
      <c r="E15" s="557"/>
      <c r="F15" s="557"/>
      <c r="G15" s="557"/>
      <c r="H15" s="962">
        <v>334</v>
      </c>
      <c r="I15" s="962"/>
      <c r="J15" s="962"/>
      <c r="K15" s="962"/>
      <c r="L15" s="962"/>
      <c r="M15" s="962"/>
      <c r="N15" s="962"/>
      <c r="O15" s="963"/>
      <c r="P15" s="514">
        <v>333</v>
      </c>
      <c r="Q15" s="514"/>
      <c r="R15" s="462"/>
      <c r="S15" s="462"/>
      <c r="T15" s="462"/>
      <c r="U15" s="462"/>
      <c r="V15" s="462"/>
      <c r="W15" s="514"/>
      <c r="X15" s="514"/>
      <c r="Y15" s="964">
        <v>334</v>
      </c>
      <c r="Z15" s="965"/>
      <c r="AA15" s="966"/>
      <c r="AB15" s="464"/>
      <c r="AC15" s="464"/>
      <c r="AD15" s="464"/>
      <c r="AE15" s="464"/>
      <c r="AF15" s="464"/>
      <c r="AG15" s="464"/>
      <c r="AH15" s="464"/>
      <c r="AI15" s="464"/>
      <c r="AJ15" s="464"/>
      <c r="AK15" s="464"/>
      <c r="AL15" s="464"/>
      <c r="AM15" s="464"/>
      <c r="AN15" s="558"/>
      <c r="AO15" s="967">
        <v>328</v>
      </c>
      <c r="AP15" s="968"/>
      <c r="AQ15" s="519">
        <v>327</v>
      </c>
      <c r="AR15" s="461"/>
      <c r="AS15" s="461"/>
      <c r="AT15" s="461"/>
      <c r="AU15" s="461"/>
      <c r="AV15" s="461"/>
      <c r="AW15" s="461"/>
      <c r="AX15" s="520"/>
      <c r="AY15" s="969">
        <v>328</v>
      </c>
      <c r="AZ15" s="970"/>
      <c r="BA15" s="970"/>
      <c r="BB15" s="970"/>
      <c r="BC15" s="970"/>
      <c r="BD15" s="970"/>
      <c r="BE15" s="970"/>
      <c r="BF15" s="970"/>
      <c r="BG15" s="971"/>
      <c r="BH15" s="557"/>
      <c r="BI15" s="557"/>
      <c r="BJ15" s="557"/>
      <c r="BK15" s="559"/>
      <c r="BL15" s="522" t="s">
        <v>0</v>
      </c>
      <c r="BM15" s="511" t="str">
        <f t="shared" ref="BM15" si="20">_xlfn.CONCAT("קומה ",BM16)</f>
        <v>קומה 48</v>
      </c>
      <c r="BN15" s="979"/>
      <c r="BO15" s="470"/>
      <c r="BP15" s="471" t="s">
        <v>0</v>
      </c>
    </row>
    <row r="16" spans="1:68" ht="21.75" hidden="1" x14ac:dyDescent="0.3">
      <c r="A16" s="957"/>
      <c r="B16" s="523">
        <f t="shared" si="2"/>
        <v>48</v>
      </c>
      <c r="C16" s="512" t="s">
        <v>89</v>
      </c>
      <c r="D16" s="560"/>
      <c r="E16" s="535"/>
      <c r="F16" s="535"/>
      <c r="G16" s="535"/>
      <c r="H16" s="475" t="str">
        <f>VLOOKUP("*"&amp;H$5&amp;".Ap."&amp;H15,Check2,1,FALSE)</f>
        <v>V.GM.PH2.TS.Ap.334</v>
      </c>
      <c r="I16" s="475"/>
      <c r="J16" s="525" t="str">
        <f>H16</f>
        <v>V.GM.PH2.TS.Ap.334</v>
      </c>
      <c r="K16" s="525" t="str">
        <f t="shared" ref="K16:O16" si="21">J16</f>
        <v>V.GM.PH2.TS.Ap.334</v>
      </c>
      <c r="L16" s="477" t="str">
        <f t="shared" si="21"/>
        <v>V.GM.PH2.TS.Ap.334</v>
      </c>
      <c r="M16" s="525" t="str">
        <f t="shared" si="21"/>
        <v>V.GM.PH2.TS.Ap.334</v>
      </c>
      <c r="N16" s="477" t="str">
        <f t="shared" si="21"/>
        <v>V.GM.PH2.TS.Ap.334</v>
      </c>
      <c r="O16" s="477" t="str">
        <f t="shared" si="21"/>
        <v>V.GM.PH2.TS.Ap.334</v>
      </c>
      <c r="P16" s="525" t="str">
        <f>VLOOKUP("*"&amp;P$5&amp;".Ap."&amp;P15,Check2,1,FALSE)</f>
        <v>V.GM.PH1.TS.Ap.333</v>
      </c>
      <c r="Q16" s="525" t="str">
        <f t="shared" ref="Q16:V16" si="22">P16</f>
        <v>V.GM.PH1.TS.Ap.333</v>
      </c>
      <c r="R16" s="477" t="str">
        <f t="shared" si="22"/>
        <v>V.GM.PH1.TS.Ap.333</v>
      </c>
      <c r="S16" s="477" t="str">
        <f t="shared" si="22"/>
        <v>V.GM.PH1.TS.Ap.333</v>
      </c>
      <c r="T16" s="477" t="str">
        <f t="shared" si="22"/>
        <v>V.GM.PH1.TS.Ap.333</v>
      </c>
      <c r="U16" s="477" t="str">
        <f t="shared" si="22"/>
        <v>V.GM.PH1.TS.Ap.333</v>
      </c>
      <c r="V16" s="477" t="str">
        <f t="shared" si="22"/>
        <v>V.GM.PH1.TS.Ap.333</v>
      </c>
      <c r="W16" s="525" t="str">
        <f t="shared" ref="W16:X16" si="23">U16</f>
        <v>V.GM.PH1.TS.Ap.333</v>
      </c>
      <c r="X16" s="525" t="str">
        <f t="shared" si="23"/>
        <v>V.GM.PH1.TS.Ap.333</v>
      </c>
      <c r="Y16" s="526" t="str">
        <f>VLOOKUP("*"&amp;Y$5&amp;".Ap."&amp;Y15,Check2,1,FALSE)</f>
        <v>V.GM.PH2.TS.Ap.334</v>
      </c>
      <c r="Z16" s="527" t="str">
        <f t="shared" ref="Z16:AA16" si="24">X16</f>
        <v>V.GM.PH1.TS.Ap.333</v>
      </c>
      <c r="AA16" s="527" t="str">
        <f t="shared" si="24"/>
        <v>V.GM.PH2.TS.Ap.334</v>
      </c>
      <c r="AB16" s="479"/>
      <c r="AC16" s="479"/>
      <c r="AD16" s="479"/>
      <c r="AE16" s="479"/>
      <c r="AF16" s="479"/>
      <c r="AG16" s="479"/>
      <c r="AH16" s="479"/>
      <c r="AI16" s="479"/>
      <c r="AJ16" s="479"/>
      <c r="AK16" s="479"/>
      <c r="AL16" s="479"/>
      <c r="AM16" s="479"/>
      <c r="AN16" s="530"/>
      <c r="AO16" s="531" t="str">
        <f>VLOOKUP("*"&amp;AO$5&amp;".Ap."&amp;AO15,Check2,1,FALSE)</f>
        <v>V.GM.PH2.TN.Ap.328</v>
      </c>
      <c r="AP16" s="525" t="str">
        <f t="shared" ref="AP16" si="25">AO16</f>
        <v>V.GM.PH2.TN.Ap.328</v>
      </c>
      <c r="AQ16" s="532" t="str">
        <f>VLOOKUP("*"&amp;AQ$5&amp;".Ap."&amp;AQ15,Check2,1,FALSE)</f>
        <v>V.GM.PH1.TN.Ap.327</v>
      </c>
      <c r="AR16" s="476" t="str">
        <f>AQ16</f>
        <v>V.GM.PH1.TN.Ap.327</v>
      </c>
      <c r="AS16" s="476" t="str">
        <f>AR16</f>
        <v>V.GM.PH1.TN.Ap.327</v>
      </c>
      <c r="AT16" s="476" t="str">
        <f>AS16</f>
        <v>V.GM.PH1.TN.Ap.327</v>
      </c>
      <c r="AU16" s="476" t="str">
        <f>AT16</f>
        <v>V.GM.PH1.TN.Ap.327</v>
      </c>
      <c r="AV16" s="476" t="str">
        <f>AU16</f>
        <v>V.GM.PH1.TN.Ap.327</v>
      </c>
      <c r="AW16" s="476" t="str">
        <f t="shared" ref="AW16:AX16" si="26">AV16</f>
        <v>V.GM.PH1.TN.Ap.327</v>
      </c>
      <c r="AX16" s="477" t="str">
        <f t="shared" si="26"/>
        <v>V.GM.PH1.TN.Ap.327</v>
      </c>
      <c r="AY16" s="533" t="str">
        <f>VLOOKUP("*"&amp;AY$5&amp;".Ap."&amp;AY15,Check2,1,FALSE)</f>
        <v>V.GM.PH2.TN.Ap.328</v>
      </c>
      <c r="AZ16" s="532"/>
      <c r="BA16" s="476" t="str">
        <f>AY16</f>
        <v>V.GM.PH2.TN.Ap.328</v>
      </c>
      <c r="BB16" s="476" t="str">
        <f>BA16</f>
        <v>V.GM.PH2.TN.Ap.328</v>
      </c>
      <c r="BC16" s="481" t="str">
        <f>BB16</f>
        <v>V.GM.PH2.TN.Ap.328</v>
      </c>
      <c r="BD16" s="481" t="str">
        <f t="shared" ref="BD16:BF16" si="27">BC16</f>
        <v>V.GM.PH2.TN.Ap.328</v>
      </c>
      <c r="BE16" s="481" t="str">
        <f t="shared" si="27"/>
        <v>V.GM.PH2.TN.Ap.328</v>
      </c>
      <c r="BF16" s="534" t="str">
        <f t="shared" si="27"/>
        <v>V.GM.PH2.TN.Ap.328</v>
      </c>
      <c r="BG16" s="535"/>
      <c r="BH16" s="535"/>
      <c r="BI16" s="535"/>
      <c r="BJ16" s="535"/>
      <c r="BK16" s="561"/>
      <c r="BL16" s="522" t="s">
        <v>89</v>
      </c>
      <c r="BM16" s="523">
        <f t="shared" si="9"/>
        <v>48</v>
      </c>
      <c r="BN16" s="979"/>
      <c r="BO16" s="484"/>
      <c r="BP16" s="485" t="s">
        <v>89</v>
      </c>
    </row>
    <row r="17" spans="1:68" ht="21.75" x14ac:dyDescent="0.3">
      <c r="A17" s="957"/>
      <c r="B17" s="537"/>
      <c r="C17" s="538" t="s">
        <v>65</v>
      </c>
      <c r="D17" s="562"/>
      <c r="E17" s="563"/>
      <c r="F17" s="563"/>
      <c r="G17" s="563"/>
      <c r="H17" s="982">
        <f>VLOOKUP(H16,Check2,5,FALSE)</f>
        <v>4801</v>
      </c>
      <c r="I17" s="982"/>
      <c r="J17" s="982"/>
      <c r="K17" s="982"/>
      <c r="L17" s="982"/>
      <c r="M17" s="982"/>
      <c r="N17" s="982"/>
      <c r="O17" s="983"/>
      <c r="P17" s="539">
        <f>VLOOKUP(P16,Check2,5,FALSE)</f>
        <v>4802</v>
      </c>
      <c r="Q17" s="539"/>
      <c r="R17" s="490"/>
      <c r="S17" s="490"/>
      <c r="T17" s="490"/>
      <c r="U17" s="490"/>
      <c r="V17" s="490"/>
      <c r="W17" s="539"/>
      <c r="X17" s="539"/>
      <c r="Y17" s="984">
        <f>VLOOKUP(Y16,Check2,5,FALSE)</f>
        <v>4801</v>
      </c>
      <c r="Z17" s="985"/>
      <c r="AA17" s="986"/>
      <c r="AB17" s="449"/>
      <c r="AC17" s="449"/>
      <c r="AD17" s="449"/>
      <c r="AE17" s="449"/>
      <c r="AF17" s="449"/>
      <c r="AG17" s="449"/>
      <c r="AH17" s="449"/>
      <c r="AI17" s="449"/>
      <c r="AJ17" s="449"/>
      <c r="AK17" s="449"/>
      <c r="AL17" s="449"/>
      <c r="AM17" s="449"/>
      <c r="AN17" s="541"/>
      <c r="AO17" s="993">
        <f>VLOOKUP(AO16,Check2,5,FALSE)</f>
        <v>4801</v>
      </c>
      <c r="AP17" s="994"/>
      <c r="AQ17" s="542">
        <f>VLOOKUP(AQ16,Check2,5,FALSE)</f>
        <v>4802</v>
      </c>
      <c r="AR17" s="489"/>
      <c r="AS17" s="489"/>
      <c r="AT17" s="489"/>
      <c r="AU17" s="489"/>
      <c r="AV17" s="489"/>
      <c r="AW17" s="489"/>
      <c r="AX17" s="543"/>
      <c r="AY17" s="995">
        <f>VLOOKUP(AY16,Check2,5,FALSE)</f>
        <v>4801</v>
      </c>
      <c r="AZ17" s="996"/>
      <c r="BA17" s="996"/>
      <c r="BB17" s="996"/>
      <c r="BC17" s="996"/>
      <c r="BD17" s="996"/>
      <c r="BE17" s="996"/>
      <c r="BF17" s="996"/>
      <c r="BG17" s="997"/>
      <c r="BH17" s="563"/>
      <c r="BI17" s="563"/>
      <c r="BJ17" s="563"/>
      <c r="BK17" s="564"/>
      <c r="BL17" s="544" t="s">
        <v>65</v>
      </c>
      <c r="BM17" s="537"/>
      <c r="BN17" s="979"/>
      <c r="BO17" s="434"/>
      <c r="BP17" s="496" t="s">
        <v>1078</v>
      </c>
    </row>
    <row r="18" spans="1:68" ht="22.5" thickBot="1" x14ac:dyDescent="0.45">
      <c r="A18" s="959"/>
      <c r="B18" s="565">
        <f>B22+3.84</f>
        <v>175.48</v>
      </c>
      <c r="C18" s="566" t="s">
        <v>1</v>
      </c>
      <c r="D18" s="567"/>
      <c r="E18" s="568"/>
      <c r="F18" s="568"/>
      <c r="G18" s="568"/>
      <c r="H18" s="1008" t="str">
        <f>VLOOKUP(H16,Check2,6,FALSE)</f>
        <v>PH2</v>
      </c>
      <c r="I18" s="1009"/>
      <c r="J18" s="1009"/>
      <c r="K18" s="1009"/>
      <c r="L18" s="1009"/>
      <c r="M18" s="1009"/>
      <c r="N18" s="1009"/>
      <c r="O18" s="1010"/>
      <c r="P18" s="569" t="str">
        <f>VLOOKUP(P16,Check2,6,FALSE)</f>
        <v>PH1</v>
      </c>
      <c r="Q18" s="569"/>
      <c r="R18" s="501"/>
      <c r="S18" s="501"/>
      <c r="T18" s="501"/>
      <c r="U18" s="501"/>
      <c r="V18" s="501"/>
      <c r="W18" s="569"/>
      <c r="X18" s="569"/>
      <c r="Y18" s="1011" t="str">
        <f>VLOOKUP(Y16,Check2,6,FALSE)</f>
        <v>PH2</v>
      </c>
      <c r="Z18" s="1012"/>
      <c r="AA18" s="1013"/>
      <c r="AB18" s="503"/>
      <c r="AC18" s="503"/>
      <c r="AD18" s="503"/>
      <c r="AE18" s="503"/>
      <c r="AF18" s="503"/>
      <c r="AG18" s="503"/>
      <c r="AH18" s="503"/>
      <c r="AI18" s="503"/>
      <c r="AJ18" s="503"/>
      <c r="AK18" s="503"/>
      <c r="AL18" s="503"/>
      <c r="AM18" s="503"/>
      <c r="AN18" s="550"/>
      <c r="AO18" s="974" t="str">
        <f>VLOOKUP(AO16,Check2,6,FALSE)</f>
        <v>PH2</v>
      </c>
      <c r="AP18" s="975"/>
      <c r="AQ18" s="570" t="str">
        <f>VLOOKUP(AQ16,Check2,6,FALSE)</f>
        <v>PH1</v>
      </c>
      <c r="AR18" s="500"/>
      <c r="AS18" s="500"/>
      <c r="AT18" s="500"/>
      <c r="AU18" s="500"/>
      <c r="AV18" s="500"/>
      <c r="AW18" s="500"/>
      <c r="AX18" s="571"/>
      <c r="AY18" s="976" t="str">
        <f>VLOOKUP(AY16,Check2,6,FALSE)</f>
        <v>PH2</v>
      </c>
      <c r="AZ18" s="977"/>
      <c r="BA18" s="977"/>
      <c r="BB18" s="977"/>
      <c r="BC18" s="977"/>
      <c r="BD18" s="977"/>
      <c r="BE18" s="977"/>
      <c r="BF18" s="977"/>
      <c r="BG18" s="978"/>
      <c r="BH18" s="568"/>
      <c r="BI18" s="568"/>
      <c r="BJ18" s="568"/>
      <c r="BK18" s="572"/>
      <c r="BL18" s="573" t="s">
        <v>1</v>
      </c>
      <c r="BM18" s="565">
        <f>BM22+3.84</f>
        <v>175.48</v>
      </c>
      <c r="BN18" s="981"/>
      <c r="BO18" s="509"/>
      <c r="BP18" s="510" t="s">
        <v>1</v>
      </c>
    </row>
    <row r="19" spans="1:68" ht="26.25" thickTop="1" x14ac:dyDescent="0.45">
      <c r="A19" s="937" t="s">
        <v>61</v>
      </c>
      <c r="B19" s="469" t="str">
        <f t="shared" ref="B19" si="28">_xlfn.CONCAT("קומה ",B20)</f>
        <v>קומה 47</v>
      </c>
      <c r="C19" s="473" t="s">
        <v>0</v>
      </c>
      <c r="D19" s="556"/>
      <c r="E19" s="557"/>
      <c r="F19" s="557"/>
      <c r="G19" s="557"/>
      <c r="H19" s="460">
        <f t="shared" ref="H19" si="29">H23+5</f>
        <v>328</v>
      </c>
      <c r="I19" s="574"/>
      <c r="J19" s="574"/>
      <c r="K19" s="574"/>
      <c r="L19" s="574"/>
      <c r="M19" s="574"/>
      <c r="N19" s="520"/>
      <c r="O19" s="514">
        <f t="shared" ref="O19" si="30">O23+5</f>
        <v>329</v>
      </c>
      <c r="P19" s="514"/>
      <c r="Q19" s="462"/>
      <c r="R19" s="514">
        <f t="shared" ref="R19" si="31">R23+5</f>
        <v>330</v>
      </c>
      <c r="S19" s="514"/>
      <c r="T19" s="462"/>
      <c r="U19" s="462"/>
      <c r="V19" s="514">
        <f t="shared" ref="V19" si="32">V23+5</f>
        <v>331</v>
      </c>
      <c r="W19" s="514"/>
      <c r="X19" s="514"/>
      <c r="Y19" s="575">
        <f t="shared" ref="Y19" si="33">Y23+5</f>
        <v>332</v>
      </c>
      <c r="Z19" s="576"/>
      <c r="AA19" s="576"/>
      <c r="AB19" s="470"/>
      <c r="AC19" s="464"/>
      <c r="AD19" s="464"/>
      <c r="AE19" s="464"/>
      <c r="AF19" s="464"/>
      <c r="AG19" s="464"/>
      <c r="AH19" s="464"/>
      <c r="AI19" s="464"/>
      <c r="AJ19" s="464"/>
      <c r="AK19" s="464"/>
      <c r="AL19" s="464"/>
      <c r="AM19" s="464"/>
      <c r="AN19" s="577"/>
      <c r="AO19" s="465">
        <f t="shared" ref="AO19" si="34">AO23+5</f>
        <v>326</v>
      </c>
      <c r="AP19" s="520"/>
      <c r="AQ19" s="578">
        <f t="shared" ref="AQ19" si="35">AQ23+5</f>
        <v>325</v>
      </c>
      <c r="AR19" s="520"/>
      <c r="AS19" s="578">
        <f t="shared" ref="AS19" si="36">AS23+5</f>
        <v>324</v>
      </c>
      <c r="AT19" s="461"/>
      <c r="AU19" s="461"/>
      <c r="AV19" s="520"/>
      <c r="AW19" s="578">
        <f t="shared" ref="AW19" si="37">AW23+5</f>
        <v>323</v>
      </c>
      <c r="AX19" s="461"/>
      <c r="AY19" s="520"/>
      <c r="AZ19" s="520"/>
      <c r="BA19" s="578">
        <f t="shared" ref="BA19" si="38">BA23+5</f>
        <v>322</v>
      </c>
      <c r="BB19" s="461"/>
      <c r="BC19" s="466"/>
      <c r="BD19" s="466"/>
      <c r="BE19" s="466"/>
      <c r="BF19" s="466"/>
      <c r="BG19" s="579"/>
      <c r="BH19" s="557"/>
      <c r="BI19" s="557"/>
      <c r="BJ19" s="557"/>
      <c r="BK19" s="559"/>
      <c r="BL19" s="483" t="s">
        <v>0</v>
      </c>
      <c r="BM19" s="469" t="str">
        <f t="shared" ref="BM19" si="39">_xlfn.CONCAT("קומה ",BM20)</f>
        <v>קומה 47</v>
      </c>
      <c r="BN19" s="955" t="s">
        <v>61</v>
      </c>
      <c r="BO19" s="470"/>
      <c r="BP19" s="471" t="s">
        <v>0</v>
      </c>
    </row>
    <row r="20" spans="1:68" ht="21.75" hidden="1" x14ac:dyDescent="0.3">
      <c r="A20" s="937"/>
      <c r="B20" s="472">
        <f t="shared" ref="B20:B64" si="40">B24+1</f>
        <v>47</v>
      </c>
      <c r="C20" s="473" t="s">
        <v>89</v>
      </c>
      <c r="D20" s="560"/>
      <c r="E20" s="535"/>
      <c r="F20" s="535"/>
      <c r="G20" s="535"/>
      <c r="H20" s="475" t="str">
        <f>VLOOKUP("*"&amp;H$5&amp;".Ap."&amp;H19,Check2,1,FALSE)</f>
        <v>O.P.4D.TS.Ap.328</v>
      </c>
      <c r="I20" s="525" t="str">
        <f t="shared" ref="I20:N20" si="41">H20</f>
        <v>O.P.4D.TS.Ap.328</v>
      </c>
      <c r="J20" s="525" t="str">
        <f t="shared" si="41"/>
        <v>O.P.4D.TS.Ap.328</v>
      </c>
      <c r="K20" s="525" t="str">
        <f t="shared" si="41"/>
        <v>O.P.4D.TS.Ap.328</v>
      </c>
      <c r="L20" s="525" t="str">
        <f t="shared" si="41"/>
        <v>O.P.4D.TS.Ap.328</v>
      </c>
      <c r="M20" s="525" t="str">
        <f t="shared" si="41"/>
        <v>O.P.4D.TS.Ap.328</v>
      </c>
      <c r="N20" s="477" t="str">
        <f t="shared" si="41"/>
        <v>O.P.4D.TS.Ap.328</v>
      </c>
      <c r="O20" s="525" t="str">
        <f>VLOOKUP("*"&amp;O$5&amp;".Ap."&amp;O19,Check2,1,FALSE)</f>
        <v>O.P.4E.TS.Ap.329</v>
      </c>
      <c r="P20" s="525" t="str">
        <f t="shared" ref="P20:Q20" si="42">O20</f>
        <v>O.P.4E.TS.Ap.329</v>
      </c>
      <c r="Q20" s="477" t="str">
        <f t="shared" si="42"/>
        <v>O.P.4E.TS.Ap.329</v>
      </c>
      <c r="R20" s="525" t="str">
        <f>VLOOKUP("*"&amp;R$5&amp;".Ap."&amp;R19,Check2,1,FALSE)</f>
        <v>O.P.4F.TS.Ap.330</v>
      </c>
      <c r="S20" s="525" t="str">
        <f t="shared" ref="S20:U20" si="43">R20</f>
        <v>O.P.4F.TS.Ap.330</v>
      </c>
      <c r="T20" s="477" t="str">
        <f t="shared" si="43"/>
        <v>O.P.4F.TS.Ap.330</v>
      </c>
      <c r="U20" s="477" t="str">
        <f t="shared" si="43"/>
        <v>O.P.4F.TS.Ap.330</v>
      </c>
      <c r="V20" s="525" t="str">
        <f>VLOOKUP("*"&amp;V$5&amp;".Ap."&amp;V19,Check2,1,FALSE)</f>
        <v>O.P.5AP.TS.Ap.331</v>
      </c>
      <c r="W20" s="525" t="str">
        <f t="shared" ref="W20:W64" si="44">V20</f>
        <v>O.P.5AP.TS.Ap.331</v>
      </c>
      <c r="X20" s="525" t="str">
        <f t="shared" ref="X20" si="45">V20</f>
        <v>O.P.5AP.TS.Ap.331</v>
      </c>
      <c r="Y20" s="580" t="str">
        <f>VLOOKUP("*"&amp;Y$5&amp;".Ap."&amp;Y19,Check2,1,FALSE)</f>
        <v>V.GMC.P.5BP.TS.Ap.332</v>
      </c>
      <c r="Z20" s="581" t="str">
        <f t="shared" ref="Z20:Z64" si="46">Y20</f>
        <v>V.GMC.P.5BP.TS.Ap.332</v>
      </c>
      <c r="AA20" s="581" t="str">
        <f t="shared" ref="AA20" si="47">Y20</f>
        <v>V.GMC.P.5BP.TS.Ap.332</v>
      </c>
      <c r="AB20" s="484"/>
      <c r="AC20" s="479"/>
      <c r="AD20" s="479"/>
      <c r="AE20" s="479"/>
      <c r="AF20" s="479"/>
      <c r="AG20" s="479"/>
      <c r="AH20" s="479"/>
      <c r="AI20" s="479"/>
      <c r="AJ20" s="479"/>
      <c r="AK20" s="479"/>
      <c r="AL20" s="479"/>
      <c r="AM20" s="479"/>
      <c r="AN20" s="582"/>
      <c r="AO20" s="480" t="str">
        <f>VLOOKUP("*"&amp;AO$5&amp;".Ap."&amp;AO19,Check2,1,FALSE)</f>
        <v>O.P.5BP.TN.Ap.326</v>
      </c>
      <c r="AP20" s="477" t="str">
        <f t="shared" ref="AP20" si="48">AO20</f>
        <v>O.P.5BP.TN.Ap.326</v>
      </c>
      <c r="AQ20" s="533" t="str">
        <f>VLOOKUP("*"&amp;AQ$5&amp;".Ap."&amp;AQ19,Check2,1,FALSE)</f>
        <v>O.P.5AP.TN.Ap.325</v>
      </c>
      <c r="AR20" s="477" t="str">
        <f t="shared" ref="AR20" si="49">AQ20</f>
        <v>O.P.5AP.TN.Ap.325</v>
      </c>
      <c r="AS20" s="533" t="str">
        <f>VLOOKUP("*"&amp;AS$5&amp;".Ap."&amp;AS19,Check2,1,FALSE)</f>
        <v>S.P.4F.TN.Ap.324</v>
      </c>
      <c r="AT20" s="476" t="str">
        <f t="shared" ref="AT20:AV20" si="50">AS20</f>
        <v>S.P.4F.TN.Ap.324</v>
      </c>
      <c r="AU20" s="476" t="str">
        <f t="shared" si="50"/>
        <v>S.P.4F.TN.Ap.324</v>
      </c>
      <c r="AV20" s="477" t="str">
        <f t="shared" si="50"/>
        <v>S.P.4F.TN.Ap.324</v>
      </c>
      <c r="AW20" s="533" t="str">
        <f>VLOOKUP("*"&amp;AW$5&amp;".Ap."&amp;AW19,Check2,1,FALSE)</f>
        <v>O.P.4E.TN.Ap.323</v>
      </c>
      <c r="AX20" s="476" t="str">
        <f t="shared" ref="AX20:AZ20" si="51">AW20</f>
        <v>O.P.4E.TN.Ap.323</v>
      </c>
      <c r="AY20" s="477" t="str">
        <f t="shared" si="51"/>
        <v>O.P.4E.TN.Ap.323</v>
      </c>
      <c r="AZ20" s="477" t="str">
        <f t="shared" si="51"/>
        <v>O.P.4E.TN.Ap.323</v>
      </c>
      <c r="BA20" s="533" t="str">
        <f>VLOOKUP("*"&amp;BA$5&amp;".Ap."&amp;BA19,Check2,1,FALSE)</f>
        <v>V.GMS.P.4D.TN.Ap.322</v>
      </c>
      <c r="BB20" s="476" t="str">
        <f t="shared" ref="BB20:BG20" si="52">BA20</f>
        <v>V.GMS.P.4D.TN.Ap.322</v>
      </c>
      <c r="BC20" s="481" t="str">
        <f t="shared" si="52"/>
        <v>V.GMS.P.4D.TN.Ap.322</v>
      </c>
      <c r="BD20" s="481" t="str">
        <f t="shared" si="52"/>
        <v>V.GMS.P.4D.TN.Ap.322</v>
      </c>
      <c r="BE20" s="481" t="str">
        <f t="shared" si="52"/>
        <v>V.GMS.P.4D.TN.Ap.322</v>
      </c>
      <c r="BF20" s="481" t="str">
        <f t="shared" si="52"/>
        <v>V.GMS.P.4D.TN.Ap.322</v>
      </c>
      <c r="BG20" s="534" t="str">
        <f t="shared" si="52"/>
        <v>V.GMS.P.4D.TN.Ap.322</v>
      </c>
      <c r="BH20" s="535"/>
      <c r="BI20" s="535"/>
      <c r="BJ20" s="535"/>
      <c r="BK20" s="561"/>
      <c r="BL20" s="483" t="s">
        <v>89</v>
      </c>
      <c r="BM20" s="472">
        <f t="shared" ref="BM20:BM64" si="53">BM24+1</f>
        <v>47</v>
      </c>
      <c r="BN20" s="955"/>
      <c r="BO20" s="484"/>
      <c r="BP20" s="485" t="s">
        <v>89</v>
      </c>
    </row>
    <row r="21" spans="1:68" ht="21.75" x14ac:dyDescent="0.3">
      <c r="A21" s="937"/>
      <c r="B21" s="486"/>
      <c r="C21" s="487" t="s">
        <v>65</v>
      </c>
      <c r="D21" s="562"/>
      <c r="E21" s="563"/>
      <c r="F21" s="563"/>
      <c r="G21" s="563"/>
      <c r="H21" s="488">
        <f>VLOOKUP(H20,Check2,5,FALSE)</f>
        <v>4701</v>
      </c>
      <c r="I21" s="583"/>
      <c r="J21" s="583"/>
      <c r="K21" s="583"/>
      <c r="L21" s="583"/>
      <c r="M21" s="583"/>
      <c r="N21" s="584"/>
      <c r="O21" s="539">
        <f>VLOOKUP(O20,Check2,5,FALSE)</f>
        <v>4702</v>
      </c>
      <c r="P21" s="539"/>
      <c r="Q21" s="490"/>
      <c r="R21" s="539">
        <f>VLOOKUP(R20,Check2,5,FALSE)</f>
        <v>4703</v>
      </c>
      <c r="S21" s="539"/>
      <c r="T21" s="490"/>
      <c r="U21" s="490"/>
      <c r="V21" s="539">
        <f>VLOOKUP(V20,Check2,5,FALSE)</f>
        <v>4704</v>
      </c>
      <c r="W21" s="539"/>
      <c r="X21" s="539"/>
      <c r="Y21" s="585">
        <f>VLOOKUP(Y20,Check2,5,FALSE)</f>
        <v>4705</v>
      </c>
      <c r="Z21" s="586"/>
      <c r="AA21" s="586"/>
      <c r="AB21" s="587"/>
      <c r="AC21" s="449"/>
      <c r="AD21" s="449"/>
      <c r="AE21" s="449"/>
      <c r="AF21" s="449"/>
      <c r="AG21" s="449"/>
      <c r="AH21" s="449"/>
      <c r="AI21" s="449"/>
      <c r="AJ21" s="449"/>
      <c r="AK21" s="449"/>
      <c r="AL21" s="449"/>
      <c r="AM21" s="449"/>
      <c r="AN21" s="588" t="s">
        <v>109</v>
      </c>
      <c r="AO21" s="492">
        <f>VLOOKUP(AO20,Check2,5,FALSE)</f>
        <v>4702</v>
      </c>
      <c r="AP21" s="543"/>
      <c r="AQ21" s="589">
        <f>VLOOKUP(AQ20,Check2,5,FALSE)</f>
        <v>4703</v>
      </c>
      <c r="AR21" s="543"/>
      <c r="AS21" s="589">
        <f>VLOOKUP(AS20,Check2,5,FALSE)</f>
        <v>4704</v>
      </c>
      <c r="AT21" s="489"/>
      <c r="AU21" s="489"/>
      <c r="AV21" s="543"/>
      <c r="AW21" s="589">
        <f>VLOOKUP(AW20,Check2,5,FALSE)</f>
        <v>4705</v>
      </c>
      <c r="AX21" s="590"/>
      <c r="AY21" s="584"/>
      <c r="AZ21" s="584"/>
      <c r="BA21" s="589">
        <f>VLOOKUP(BA20,Check2,5,FALSE)</f>
        <v>4701</v>
      </c>
      <c r="BB21" s="590"/>
      <c r="BC21" s="591"/>
      <c r="BD21" s="591"/>
      <c r="BE21" s="591"/>
      <c r="BF21" s="591"/>
      <c r="BG21" s="592"/>
      <c r="BH21" s="563"/>
      <c r="BI21" s="563"/>
      <c r="BJ21" s="563"/>
      <c r="BK21" s="564"/>
      <c r="BL21" s="495" t="s">
        <v>65</v>
      </c>
      <c r="BM21" s="486"/>
      <c r="BN21" s="955"/>
      <c r="BO21" s="434"/>
      <c r="BP21" s="496" t="s">
        <v>1078</v>
      </c>
    </row>
    <row r="22" spans="1:68" ht="22.5" thickBot="1" x14ac:dyDescent="0.45">
      <c r="A22" s="1014"/>
      <c r="B22" s="593">
        <f t="shared" ref="B22" si="54">B26+3.6</f>
        <v>171.64</v>
      </c>
      <c r="C22" s="594" t="s">
        <v>1</v>
      </c>
      <c r="D22" s="567"/>
      <c r="E22" s="568"/>
      <c r="F22" s="568"/>
      <c r="G22" s="568"/>
      <c r="H22" s="595" t="str">
        <f>VLOOKUP(H20,Check2,6,FALSE)</f>
        <v>4D</v>
      </c>
      <c r="I22" s="596"/>
      <c r="J22" s="596"/>
      <c r="K22" s="596"/>
      <c r="L22" s="596"/>
      <c r="M22" s="596"/>
      <c r="N22" s="597"/>
      <c r="O22" s="548" t="str">
        <f>VLOOKUP(O20,Check2,6,FALSE)</f>
        <v>4E</v>
      </c>
      <c r="P22" s="548"/>
      <c r="Q22" s="549"/>
      <c r="R22" s="548" t="str">
        <f>VLOOKUP(R20,Check2,6,FALSE)</f>
        <v>4F</v>
      </c>
      <c r="S22" s="548"/>
      <c r="T22" s="549"/>
      <c r="U22" s="549"/>
      <c r="V22" s="548" t="str">
        <f>VLOOKUP(V20,Check2,6,FALSE)</f>
        <v>5AP</v>
      </c>
      <c r="W22" s="548"/>
      <c r="X22" s="548"/>
      <c r="Y22" s="598" t="str">
        <f>VLOOKUP(Y20,Check2,6,FALSE)</f>
        <v>5BP</v>
      </c>
      <c r="Z22" s="599"/>
      <c r="AA22" s="599"/>
      <c r="AB22" s="600"/>
      <c r="AC22" s="504"/>
      <c r="AD22" s="504"/>
      <c r="AE22" s="504"/>
      <c r="AF22" s="504"/>
      <c r="AG22" s="504"/>
      <c r="AH22" s="504"/>
      <c r="AI22" s="503"/>
      <c r="AJ22" s="503"/>
      <c r="AK22" s="503"/>
      <c r="AL22" s="503"/>
      <c r="AM22" s="503"/>
      <c r="AN22" s="601">
        <v>121</v>
      </c>
      <c r="AO22" s="602" t="str">
        <f>VLOOKUP(AO20,Check2,6,FALSE)</f>
        <v>5BP</v>
      </c>
      <c r="AP22" s="553"/>
      <c r="AQ22" s="603" t="str">
        <f>VLOOKUP(AQ20,Check2,6,FALSE)</f>
        <v>5AP</v>
      </c>
      <c r="AR22" s="553"/>
      <c r="AS22" s="603" t="str">
        <f>VLOOKUP(AS20,Check2,6,FALSE)</f>
        <v>4F</v>
      </c>
      <c r="AT22" s="552"/>
      <c r="AU22" s="552"/>
      <c r="AV22" s="553"/>
      <c r="AW22" s="603" t="str">
        <f>VLOOKUP(AW20,Check2,6,FALSE)</f>
        <v>4E</v>
      </c>
      <c r="AX22" s="604"/>
      <c r="AY22" s="597"/>
      <c r="AZ22" s="597"/>
      <c r="BA22" s="603" t="str">
        <f>VLOOKUP(BA20,Check2,6,FALSE)</f>
        <v>4D</v>
      </c>
      <c r="BB22" s="604"/>
      <c r="BC22" s="605"/>
      <c r="BD22" s="605"/>
      <c r="BE22" s="605"/>
      <c r="BF22" s="605"/>
      <c r="BG22" s="606"/>
      <c r="BH22" s="568"/>
      <c r="BI22" s="568"/>
      <c r="BJ22" s="568"/>
      <c r="BK22" s="572"/>
      <c r="BL22" s="607" t="s">
        <v>1</v>
      </c>
      <c r="BM22" s="593">
        <f t="shared" ref="BM22" si="55">BM26+3.6</f>
        <v>171.64</v>
      </c>
      <c r="BN22" s="1015"/>
      <c r="BO22" s="509"/>
      <c r="BP22" s="510" t="s">
        <v>1</v>
      </c>
    </row>
    <row r="23" spans="1:68" ht="27" thickTop="1" thickBot="1" x14ac:dyDescent="0.5">
      <c r="A23" s="937"/>
      <c r="B23" s="469" t="str">
        <f t="shared" ref="B23" si="56">_xlfn.CONCAT("קומה ",B24)</f>
        <v>קומה 46</v>
      </c>
      <c r="C23" s="473" t="s">
        <v>0</v>
      </c>
      <c r="D23" s="556"/>
      <c r="E23" s="557"/>
      <c r="F23" s="557"/>
      <c r="G23" s="557"/>
      <c r="H23" s="460">
        <f t="shared" ref="H23" si="57">H27+5</f>
        <v>323</v>
      </c>
      <c r="I23" s="574"/>
      <c r="J23" s="574"/>
      <c r="K23" s="574"/>
      <c r="L23" s="574"/>
      <c r="M23" s="574"/>
      <c r="N23" s="520"/>
      <c r="O23" s="514">
        <f t="shared" ref="O23" si="58">O27+5</f>
        <v>324</v>
      </c>
      <c r="P23" s="514"/>
      <c r="Q23" s="462"/>
      <c r="R23" s="514">
        <f t="shared" ref="R23" si="59">R27+5</f>
        <v>325</v>
      </c>
      <c r="S23" s="514"/>
      <c r="T23" s="462"/>
      <c r="U23" s="462"/>
      <c r="V23" s="514">
        <f t="shared" ref="V23" si="60">V27+5</f>
        <v>326</v>
      </c>
      <c r="W23" s="514"/>
      <c r="X23" s="514"/>
      <c r="Y23" s="514">
        <f t="shared" ref="Y23" si="61">Y27+5</f>
        <v>327</v>
      </c>
      <c r="Z23" s="463"/>
      <c r="AA23" s="463"/>
      <c r="AB23" s="608"/>
      <c r="AC23" s="1016" t="s">
        <v>51</v>
      </c>
      <c r="AD23" s="1017"/>
      <c r="AE23" s="1017"/>
      <c r="AF23" s="1017"/>
      <c r="AG23" s="1017"/>
      <c r="AH23" s="1018" t="s">
        <v>147</v>
      </c>
      <c r="AI23" s="1017" t="s">
        <v>52</v>
      </c>
      <c r="AJ23" s="1017"/>
      <c r="AK23" s="1017"/>
      <c r="AL23" s="1017"/>
      <c r="AM23" s="1021"/>
      <c r="AN23" s="609">
        <v>122</v>
      </c>
      <c r="AO23" s="465">
        <f t="shared" ref="AO23" si="62">AO27+5</f>
        <v>321</v>
      </c>
      <c r="AP23" s="520"/>
      <c r="AQ23" s="578">
        <f t="shared" ref="AQ23" si="63">AQ27+5</f>
        <v>320</v>
      </c>
      <c r="AR23" s="520"/>
      <c r="AS23" s="578">
        <f t="shared" ref="AS23" si="64">AS27+5</f>
        <v>319</v>
      </c>
      <c r="AT23" s="461"/>
      <c r="AU23" s="461"/>
      <c r="AV23" s="520"/>
      <c r="AW23" s="578">
        <f t="shared" ref="AW23" si="65">AW27+5</f>
        <v>318</v>
      </c>
      <c r="AX23" s="461"/>
      <c r="AY23" s="520"/>
      <c r="AZ23" s="520"/>
      <c r="BA23" s="578">
        <f t="shared" ref="BA23" si="66">BA27+5</f>
        <v>317</v>
      </c>
      <c r="BB23" s="461"/>
      <c r="BC23" s="466"/>
      <c r="BD23" s="466"/>
      <c r="BE23" s="466"/>
      <c r="BF23" s="466"/>
      <c r="BG23" s="579"/>
      <c r="BH23" s="557"/>
      <c r="BI23" s="557"/>
      <c r="BJ23" s="557"/>
      <c r="BK23" s="559"/>
      <c r="BL23" s="483" t="s">
        <v>0</v>
      </c>
      <c r="BM23" s="469" t="str">
        <f t="shared" ref="BM23" si="67">_xlfn.CONCAT("קומה ",BM24)</f>
        <v>קומה 46</v>
      </c>
      <c r="BN23" s="955"/>
      <c r="BO23" s="470"/>
      <c r="BP23" s="471" t="s">
        <v>0</v>
      </c>
    </row>
    <row r="24" spans="1:68" ht="26.25" hidden="1" thickTop="1" x14ac:dyDescent="0.3">
      <c r="A24" s="937"/>
      <c r="B24" s="472">
        <f t="shared" si="40"/>
        <v>46</v>
      </c>
      <c r="C24" s="473" t="s">
        <v>89</v>
      </c>
      <c r="D24" s="560"/>
      <c r="E24" s="535"/>
      <c r="F24" s="535"/>
      <c r="G24" s="535"/>
      <c r="H24" s="475" t="str">
        <f>VLOOKUP("*"&amp;H$5&amp;".Ap."&amp;H23,Check2,1,FALSE)</f>
        <v>O.P.4D.TS.Ap.323</v>
      </c>
      <c r="I24" s="525" t="str">
        <f t="shared" ref="I24:N24" si="68">H24</f>
        <v>O.P.4D.TS.Ap.323</v>
      </c>
      <c r="J24" s="525" t="str">
        <f t="shared" si="68"/>
        <v>O.P.4D.TS.Ap.323</v>
      </c>
      <c r="K24" s="525" t="str">
        <f t="shared" si="68"/>
        <v>O.P.4D.TS.Ap.323</v>
      </c>
      <c r="L24" s="525" t="str">
        <f t="shared" si="68"/>
        <v>O.P.4D.TS.Ap.323</v>
      </c>
      <c r="M24" s="525" t="str">
        <f t="shared" si="68"/>
        <v>O.P.4D.TS.Ap.323</v>
      </c>
      <c r="N24" s="477" t="str">
        <f t="shared" si="68"/>
        <v>O.P.4D.TS.Ap.323</v>
      </c>
      <c r="O24" s="525" t="str">
        <f>VLOOKUP("*"&amp;O$5&amp;".Ap."&amp;O23,Check2,1,FALSE)</f>
        <v>O.P.4E.TS.Ap.324</v>
      </c>
      <c r="P24" s="525" t="str">
        <f t="shared" ref="P24:Q24" si="69">O24</f>
        <v>O.P.4E.TS.Ap.324</v>
      </c>
      <c r="Q24" s="477" t="str">
        <f t="shared" si="69"/>
        <v>O.P.4E.TS.Ap.324</v>
      </c>
      <c r="R24" s="525" t="str">
        <f>VLOOKUP("*"&amp;R$5&amp;".Ap."&amp;R23,Check2,1,FALSE)</f>
        <v>O.P.4F.TS.Ap.325</v>
      </c>
      <c r="S24" s="525" t="str">
        <f t="shared" ref="S24:U24" si="70">R24</f>
        <v>O.P.4F.TS.Ap.325</v>
      </c>
      <c r="T24" s="477" t="str">
        <f t="shared" si="70"/>
        <v>O.P.4F.TS.Ap.325</v>
      </c>
      <c r="U24" s="477" t="str">
        <f t="shared" si="70"/>
        <v>O.P.4F.TS.Ap.325</v>
      </c>
      <c r="V24" s="525" t="str">
        <f>VLOOKUP("*"&amp;V$5&amp;".Ap."&amp;V23,Check2,1,FALSE)</f>
        <v>O.P.5AP.TS.Ap.326</v>
      </c>
      <c r="W24" s="525" t="str">
        <f t="shared" si="44"/>
        <v>O.P.5AP.TS.Ap.326</v>
      </c>
      <c r="X24" s="525" t="str">
        <f t="shared" ref="X24" si="71">V24</f>
        <v>O.P.5AP.TS.Ap.326</v>
      </c>
      <c r="Y24" s="525" t="str">
        <f>VLOOKUP("*"&amp;Y$5&amp;".Ap."&amp;Y23,Check2,1,FALSE)</f>
        <v>V.GMC.P.5BP.TS.Ap.327</v>
      </c>
      <c r="Z24" s="478" t="str">
        <f t="shared" si="46"/>
        <v>V.GMC.P.5BP.TS.Ap.327</v>
      </c>
      <c r="AA24" s="478" t="str">
        <f t="shared" ref="AA24" si="72">Y24</f>
        <v>V.GMC.P.5BP.TS.Ap.327</v>
      </c>
      <c r="AB24" s="610"/>
      <c r="AC24" s="611"/>
      <c r="AD24" s="612"/>
      <c r="AE24" s="612"/>
      <c r="AF24" s="612"/>
      <c r="AG24" s="612"/>
      <c r="AH24" s="1019"/>
      <c r="AI24" s="612"/>
      <c r="AJ24" s="612"/>
      <c r="AK24" s="612"/>
      <c r="AL24" s="612"/>
      <c r="AM24" s="613"/>
      <c r="AN24" s="614"/>
      <c r="AO24" s="480" t="str">
        <f>VLOOKUP("*"&amp;AO$5&amp;".Ap."&amp;AO23,Check2,1,FALSE)</f>
        <v>V.GMC.P.5BP.TN.Ap.321</v>
      </c>
      <c r="AP24" s="477" t="str">
        <f t="shared" ref="AP24" si="73">AO24</f>
        <v>V.GMC.P.5BP.TN.Ap.321</v>
      </c>
      <c r="AQ24" s="533" t="str">
        <f>VLOOKUP("*"&amp;AQ$5&amp;".Ap."&amp;AQ23,Check2,1,FALSE)</f>
        <v>O.P.5AP.TN.Ap.320</v>
      </c>
      <c r="AR24" s="477" t="str">
        <f t="shared" ref="AR24" si="74">AQ24</f>
        <v>O.P.5AP.TN.Ap.320</v>
      </c>
      <c r="AS24" s="533" t="str">
        <f>VLOOKUP("*"&amp;AS$5&amp;".Ap."&amp;AS23,Check2,1,FALSE)</f>
        <v>S.P.4F.TN.Ap.319</v>
      </c>
      <c r="AT24" s="476" t="str">
        <f t="shared" ref="AT24:AV24" si="75">AS24</f>
        <v>S.P.4F.TN.Ap.319</v>
      </c>
      <c r="AU24" s="476" t="str">
        <f t="shared" si="75"/>
        <v>S.P.4F.TN.Ap.319</v>
      </c>
      <c r="AV24" s="477" t="str">
        <f t="shared" si="75"/>
        <v>S.P.4F.TN.Ap.319</v>
      </c>
      <c r="AW24" s="533" t="str">
        <f>VLOOKUP("*"&amp;AW$5&amp;".Ap."&amp;AW23,Check2,1,FALSE)</f>
        <v>O.P.4E.TN.Ap.318</v>
      </c>
      <c r="AX24" s="476" t="str">
        <f t="shared" ref="AX24:AZ24" si="76">AW24</f>
        <v>O.P.4E.TN.Ap.318</v>
      </c>
      <c r="AY24" s="477" t="str">
        <f t="shared" si="76"/>
        <v>O.P.4E.TN.Ap.318</v>
      </c>
      <c r="AZ24" s="477" t="str">
        <f t="shared" si="76"/>
        <v>O.P.4E.TN.Ap.318</v>
      </c>
      <c r="BA24" s="533" t="str">
        <f>VLOOKUP("*"&amp;BA$5&amp;".Ap."&amp;BA23,Check2,1,FALSE)</f>
        <v>V.DS.P.4D.TN.Ap.317</v>
      </c>
      <c r="BB24" s="476" t="str">
        <f t="shared" ref="BB24:BG24" si="77">BA24</f>
        <v>V.DS.P.4D.TN.Ap.317</v>
      </c>
      <c r="BC24" s="481" t="str">
        <f t="shared" si="77"/>
        <v>V.DS.P.4D.TN.Ap.317</v>
      </c>
      <c r="BD24" s="481" t="str">
        <f t="shared" si="77"/>
        <v>V.DS.P.4D.TN.Ap.317</v>
      </c>
      <c r="BE24" s="481" t="str">
        <f t="shared" si="77"/>
        <v>V.DS.P.4D.TN.Ap.317</v>
      </c>
      <c r="BF24" s="481" t="str">
        <f t="shared" si="77"/>
        <v>V.DS.P.4D.TN.Ap.317</v>
      </c>
      <c r="BG24" s="534" t="str">
        <f t="shared" si="77"/>
        <v>V.DS.P.4D.TN.Ap.317</v>
      </c>
      <c r="BH24" s="535"/>
      <c r="BI24" s="535"/>
      <c r="BJ24" s="535"/>
      <c r="BK24" s="561"/>
      <c r="BL24" s="483" t="s">
        <v>89</v>
      </c>
      <c r="BM24" s="472">
        <f t="shared" si="53"/>
        <v>46</v>
      </c>
      <c r="BN24" s="955"/>
      <c r="BO24" s="484"/>
      <c r="BP24" s="485" t="s">
        <v>89</v>
      </c>
    </row>
    <row r="25" spans="1:68" ht="22.5" thickTop="1" x14ac:dyDescent="0.3">
      <c r="A25" s="937"/>
      <c r="B25" s="486"/>
      <c r="C25" s="487" t="s">
        <v>65</v>
      </c>
      <c r="D25" s="562"/>
      <c r="E25" s="563"/>
      <c r="F25" s="563"/>
      <c r="G25" s="563"/>
      <c r="H25" s="488">
        <f>VLOOKUP(H24,Check2,5,FALSE)</f>
        <v>4601</v>
      </c>
      <c r="I25" s="583"/>
      <c r="J25" s="583"/>
      <c r="K25" s="583"/>
      <c r="L25" s="583"/>
      <c r="M25" s="583"/>
      <c r="N25" s="584"/>
      <c r="O25" s="539">
        <f>VLOOKUP(O24,Check2,5,FALSE)</f>
        <v>4602</v>
      </c>
      <c r="P25" s="539"/>
      <c r="Q25" s="490"/>
      <c r="R25" s="539">
        <f>VLOOKUP(R24,Check2,5,FALSE)</f>
        <v>4603</v>
      </c>
      <c r="S25" s="539"/>
      <c r="T25" s="490"/>
      <c r="U25" s="490"/>
      <c r="V25" s="539">
        <f>VLOOKUP(V24,Check2,5,FALSE)</f>
        <v>4604</v>
      </c>
      <c r="W25" s="539"/>
      <c r="X25" s="539"/>
      <c r="Y25" s="539">
        <f>VLOOKUP(Y24,Check2,5,FALSE)</f>
        <v>4605</v>
      </c>
      <c r="Z25" s="491"/>
      <c r="AA25" s="491"/>
      <c r="AB25" s="587"/>
      <c r="AC25" s="1022" t="s">
        <v>1</v>
      </c>
      <c r="AD25" s="1044" t="s">
        <v>132</v>
      </c>
      <c r="AE25" s="1024" t="s">
        <v>91</v>
      </c>
      <c r="AF25" s="1046" t="s">
        <v>1207</v>
      </c>
      <c r="AG25" s="1048" t="s">
        <v>64</v>
      </c>
      <c r="AH25" s="1019"/>
      <c r="AI25" s="1050" t="s">
        <v>64</v>
      </c>
      <c r="AJ25" s="1052" t="s">
        <v>1207</v>
      </c>
      <c r="AK25" s="1024" t="s">
        <v>91</v>
      </c>
      <c r="AL25" s="1026" t="s">
        <v>132</v>
      </c>
      <c r="AM25" s="1028" t="s">
        <v>1</v>
      </c>
      <c r="AN25" s="588">
        <v>123</v>
      </c>
      <c r="AO25" s="492">
        <f>VLOOKUP(AO24,Check2,5,FALSE)</f>
        <v>4602</v>
      </c>
      <c r="AP25" s="543"/>
      <c r="AQ25" s="589">
        <f>VLOOKUP(AQ24,Check2,5,FALSE)</f>
        <v>4603</v>
      </c>
      <c r="AR25" s="543"/>
      <c r="AS25" s="589">
        <f>VLOOKUP(AS24,Check2,5,FALSE)</f>
        <v>4604</v>
      </c>
      <c r="AT25" s="489"/>
      <c r="AU25" s="489"/>
      <c r="AV25" s="543"/>
      <c r="AW25" s="589">
        <f>VLOOKUP(AW24,Check2,5,FALSE)</f>
        <v>4605</v>
      </c>
      <c r="AX25" s="590"/>
      <c r="AY25" s="584"/>
      <c r="AZ25" s="584"/>
      <c r="BA25" s="589">
        <f>VLOOKUP(BA24,Check2,5,FALSE)</f>
        <v>4601</v>
      </c>
      <c r="BB25" s="590"/>
      <c r="BC25" s="591"/>
      <c r="BD25" s="591"/>
      <c r="BE25" s="591"/>
      <c r="BF25" s="591"/>
      <c r="BG25" s="592"/>
      <c r="BH25" s="563"/>
      <c r="BI25" s="563"/>
      <c r="BJ25" s="563"/>
      <c r="BK25" s="564"/>
      <c r="BL25" s="495" t="s">
        <v>65</v>
      </c>
      <c r="BM25" s="486"/>
      <c r="BN25" s="955"/>
      <c r="BO25" s="434"/>
      <c r="BP25" s="496" t="s">
        <v>1078</v>
      </c>
    </row>
    <row r="26" spans="1:68" ht="22.5" thickBot="1" x14ac:dyDescent="0.45">
      <c r="A26" s="1014"/>
      <c r="B26" s="593">
        <f t="shared" ref="B26" si="78">B30+3.6</f>
        <v>168.04</v>
      </c>
      <c r="C26" s="594" t="s">
        <v>1</v>
      </c>
      <c r="D26" s="567"/>
      <c r="E26" s="568"/>
      <c r="F26" s="568"/>
      <c r="G26" s="568"/>
      <c r="H26" s="595" t="str">
        <f>VLOOKUP(H24,Check2,6,FALSE)</f>
        <v>4D</v>
      </c>
      <c r="I26" s="596"/>
      <c r="J26" s="596"/>
      <c r="K26" s="596"/>
      <c r="L26" s="596"/>
      <c r="M26" s="596"/>
      <c r="N26" s="597"/>
      <c r="O26" s="548" t="str">
        <f>VLOOKUP(O24,Check2,6,FALSE)</f>
        <v>4E</v>
      </c>
      <c r="P26" s="548"/>
      <c r="Q26" s="549"/>
      <c r="R26" s="548" t="str">
        <f>VLOOKUP(R24,Check2,6,FALSE)</f>
        <v>4F</v>
      </c>
      <c r="S26" s="548"/>
      <c r="T26" s="549"/>
      <c r="U26" s="549"/>
      <c r="V26" s="548" t="str">
        <f>VLOOKUP(V24,Check2,6,FALSE)</f>
        <v>5AP</v>
      </c>
      <c r="W26" s="548"/>
      <c r="X26" s="548"/>
      <c r="Y26" s="548" t="str">
        <f>VLOOKUP(Y24,Check2,6,FALSE)</f>
        <v>5BP</v>
      </c>
      <c r="Z26" s="615"/>
      <c r="AA26" s="615"/>
      <c r="AB26" s="600"/>
      <c r="AC26" s="1023"/>
      <c r="AD26" s="1045"/>
      <c r="AE26" s="1025"/>
      <c r="AF26" s="1047"/>
      <c r="AG26" s="1049"/>
      <c r="AH26" s="1020"/>
      <c r="AI26" s="1051"/>
      <c r="AJ26" s="1053"/>
      <c r="AK26" s="1025"/>
      <c r="AL26" s="1027"/>
      <c r="AM26" s="1029"/>
      <c r="AN26" s="601">
        <v>124</v>
      </c>
      <c r="AO26" s="602" t="str">
        <f>VLOOKUP(AO24,Check2,6,FALSE)</f>
        <v>5BP</v>
      </c>
      <c r="AP26" s="553"/>
      <c r="AQ26" s="603" t="str">
        <f>VLOOKUP(AQ24,Check2,6,FALSE)</f>
        <v>5AP</v>
      </c>
      <c r="AR26" s="553"/>
      <c r="AS26" s="603" t="str">
        <f>VLOOKUP(AS24,Check2,6,FALSE)</f>
        <v>4F</v>
      </c>
      <c r="AT26" s="552"/>
      <c r="AU26" s="552"/>
      <c r="AV26" s="553"/>
      <c r="AW26" s="603" t="str">
        <f>VLOOKUP(AW24,Check2,6,FALSE)</f>
        <v>4E</v>
      </c>
      <c r="AX26" s="604"/>
      <c r="AY26" s="597"/>
      <c r="AZ26" s="597"/>
      <c r="BA26" s="603" t="str">
        <f>VLOOKUP(BA24,Check2,6,FALSE)</f>
        <v>4D</v>
      </c>
      <c r="BB26" s="604"/>
      <c r="BC26" s="605"/>
      <c r="BD26" s="605"/>
      <c r="BE26" s="605"/>
      <c r="BF26" s="605"/>
      <c r="BG26" s="606"/>
      <c r="BH26" s="568"/>
      <c r="BI26" s="568"/>
      <c r="BJ26" s="568"/>
      <c r="BK26" s="572"/>
      <c r="BL26" s="607" t="s">
        <v>1</v>
      </c>
      <c r="BM26" s="593">
        <f t="shared" ref="BM26" si="79">BM30+3.6</f>
        <v>168.04</v>
      </c>
      <c r="BN26" s="1015"/>
      <c r="BO26" s="509"/>
      <c r="BP26" s="510" t="s">
        <v>1</v>
      </c>
    </row>
    <row r="27" spans="1:68" ht="25.5" x14ac:dyDescent="0.45">
      <c r="A27" s="937"/>
      <c r="B27" s="469" t="str">
        <f t="shared" ref="B27" si="80">_xlfn.CONCAT("קומה ",B28)</f>
        <v>קומה 45</v>
      </c>
      <c r="C27" s="473" t="s">
        <v>0</v>
      </c>
      <c r="D27" s="556"/>
      <c r="E27" s="557"/>
      <c r="F27" s="557"/>
      <c r="G27" s="557"/>
      <c r="H27" s="460">
        <f t="shared" ref="H27" si="81">H31+5</f>
        <v>318</v>
      </c>
      <c r="I27" s="574"/>
      <c r="J27" s="574"/>
      <c r="K27" s="574"/>
      <c r="L27" s="574"/>
      <c r="M27" s="574"/>
      <c r="N27" s="520"/>
      <c r="O27" s="514">
        <f t="shared" ref="O27" si="82">O31+5</f>
        <v>319</v>
      </c>
      <c r="P27" s="514"/>
      <c r="Q27" s="462"/>
      <c r="R27" s="514">
        <f t="shared" ref="R27" si="83">R31+5</f>
        <v>320</v>
      </c>
      <c r="S27" s="514"/>
      <c r="T27" s="462"/>
      <c r="U27" s="462"/>
      <c r="V27" s="514">
        <f t="shared" ref="V27" si="84">V31+5</f>
        <v>321</v>
      </c>
      <c r="W27" s="514"/>
      <c r="X27" s="514"/>
      <c r="Y27" s="514">
        <f t="shared" ref="Y27" si="85">Y31+5</f>
        <v>322</v>
      </c>
      <c r="Z27" s="463"/>
      <c r="AA27" s="463"/>
      <c r="AB27" s="464"/>
      <c r="AC27" s="616" t="s">
        <v>6</v>
      </c>
      <c r="AD27" s="617">
        <f>COUNTIF(Check[סימון],("S."&amp;"*"&amp;$AC27&amp;"."&amp;AD$5&amp;"*"))</f>
        <v>6</v>
      </c>
      <c r="AE27" s="618">
        <f>COUNTIF(Check[סימון],("O."&amp;"*"&amp;$AC27&amp;"."&amp;AE$5&amp;"*"))</f>
        <v>2</v>
      </c>
      <c r="AF27" s="619">
        <f>COUNTIF(Check[סימון],("V."&amp;"*"&amp;$AC27&amp;"."&amp;AF$5&amp;"*"))</f>
        <v>1</v>
      </c>
      <c r="AG27" s="620">
        <f>SUM(AD27:AF27)</f>
        <v>9</v>
      </c>
      <c r="AH27" s="621">
        <f>SUM(AI27,AG27)</f>
        <v>17</v>
      </c>
      <c r="AI27" s="622">
        <f>SUM(AJ27:AL27)</f>
        <v>8</v>
      </c>
      <c r="AJ27" s="623">
        <f>COUNTIF(Check[סימון],("V."&amp;"*"&amp;$AC27&amp;"."&amp;AJ$5&amp;"*"))</f>
        <v>0</v>
      </c>
      <c r="AK27" s="618">
        <f>COUNTIF(Check[סימון],("O."&amp;"*"&amp;$AC27&amp;"."&amp;AK$5&amp;"*"))</f>
        <v>3</v>
      </c>
      <c r="AL27" s="624">
        <f>COUNTIF(Check[סימון],("S."&amp;"*"&amp;$AC27&amp;"."&amp;AL$5&amp;"*"))</f>
        <v>5</v>
      </c>
      <c r="AM27" s="625" t="s">
        <v>6</v>
      </c>
      <c r="AN27" s="626"/>
      <c r="AO27" s="465">
        <f t="shared" ref="AO27" si="86">AO31+5</f>
        <v>316</v>
      </c>
      <c r="AP27" s="520"/>
      <c r="AQ27" s="578">
        <f t="shared" ref="AQ27" si="87">AQ31+5</f>
        <v>315</v>
      </c>
      <c r="AR27" s="520"/>
      <c r="AS27" s="578">
        <f t="shared" ref="AS27" si="88">AS31+5</f>
        <v>314</v>
      </c>
      <c r="AT27" s="461"/>
      <c r="AU27" s="461"/>
      <c r="AV27" s="520"/>
      <c r="AW27" s="578">
        <f t="shared" ref="AW27" si="89">AW31+5</f>
        <v>313</v>
      </c>
      <c r="AX27" s="461"/>
      <c r="AY27" s="520"/>
      <c r="AZ27" s="520"/>
      <c r="BA27" s="578">
        <f t="shared" ref="BA27" si="90">BA31+5</f>
        <v>312</v>
      </c>
      <c r="BB27" s="461"/>
      <c r="BC27" s="466"/>
      <c r="BD27" s="466"/>
      <c r="BE27" s="466"/>
      <c r="BF27" s="466"/>
      <c r="BG27" s="579"/>
      <c r="BH27" s="557"/>
      <c r="BI27" s="557"/>
      <c r="BJ27" s="557"/>
      <c r="BK27" s="559"/>
      <c r="BL27" s="483" t="s">
        <v>0</v>
      </c>
      <c r="BM27" s="469" t="str">
        <f t="shared" ref="BM27" si="91">_xlfn.CONCAT("קומה ",BM28)</f>
        <v>קומה 45</v>
      </c>
      <c r="BN27" s="955"/>
      <c r="BO27" s="470"/>
      <c r="BP27" s="471" t="s">
        <v>0</v>
      </c>
    </row>
    <row r="28" spans="1:68" ht="25.5" hidden="1" x14ac:dyDescent="0.3">
      <c r="A28" s="937"/>
      <c r="B28" s="472">
        <f t="shared" si="40"/>
        <v>45</v>
      </c>
      <c r="C28" s="473" t="s">
        <v>89</v>
      </c>
      <c r="D28" s="560"/>
      <c r="E28" s="535"/>
      <c r="F28" s="535"/>
      <c r="G28" s="535"/>
      <c r="H28" s="475" t="str">
        <f>VLOOKUP("*"&amp;H$5&amp;".Ap."&amp;H27,Check2,1,FALSE)</f>
        <v>O.P.4D.TS.Ap.318</v>
      </c>
      <c r="I28" s="525" t="str">
        <f t="shared" ref="I28:N28" si="92">H28</f>
        <v>O.P.4D.TS.Ap.318</v>
      </c>
      <c r="J28" s="525" t="str">
        <f t="shared" si="92"/>
        <v>O.P.4D.TS.Ap.318</v>
      </c>
      <c r="K28" s="525" t="str">
        <f t="shared" si="92"/>
        <v>O.P.4D.TS.Ap.318</v>
      </c>
      <c r="L28" s="525" t="str">
        <f t="shared" si="92"/>
        <v>O.P.4D.TS.Ap.318</v>
      </c>
      <c r="M28" s="525" t="str">
        <f t="shared" si="92"/>
        <v>O.P.4D.TS.Ap.318</v>
      </c>
      <c r="N28" s="477" t="str">
        <f t="shared" si="92"/>
        <v>O.P.4D.TS.Ap.318</v>
      </c>
      <c r="O28" s="525" t="str">
        <f>VLOOKUP("*"&amp;O$5&amp;".Ap."&amp;O27,Check2,1,FALSE)</f>
        <v>S.P.4E.TS.Ap.319</v>
      </c>
      <c r="P28" s="525" t="str">
        <f t="shared" ref="P28:Q28" si="93">O28</f>
        <v>S.P.4E.TS.Ap.319</v>
      </c>
      <c r="Q28" s="477" t="str">
        <f t="shared" si="93"/>
        <v>S.P.4E.TS.Ap.319</v>
      </c>
      <c r="R28" s="525" t="str">
        <f>VLOOKUP("*"&amp;R$5&amp;".Ap."&amp;R27,Check2,1,FALSE)</f>
        <v>O.P.4F.TS.Ap.320</v>
      </c>
      <c r="S28" s="525" t="str">
        <f t="shared" ref="S28:U28" si="94">R28</f>
        <v>O.P.4F.TS.Ap.320</v>
      </c>
      <c r="T28" s="477" t="str">
        <f t="shared" si="94"/>
        <v>O.P.4F.TS.Ap.320</v>
      </c>
      <c r="U28" s="477" t="str">
        <f t="shared" si="94"/>
        <v>O.P.4F.TS.Ap.320</v>
      </c>
      <c r="V28" s="525" t="str">
        <f>VLOOKUP("*"&amp;V$5&amp;".Ap."&amp;V27,Check2,1,FALSE)</f>
        <v>O.P.5AP.TS.Ap.321</v>
      </c>
      <c r="W28" s="525" t="str">
        <f t="shared" si="44"/>
        <v>O.P.5AP.TS.Ap.321</v>
      </c>
      <c r="X28" s="525" t="str">
        <f t="shared" ref="X28" si="95">V28</f>
        <v>O.P.5AP.TS.Ap.321</v>
      </c>
      <c r="Y28" s="525" t="str">
        <f>VLOOKUP("*"&amp;Y$5&amp;".Ap."&amp;Y27,Check2,1,FALSE)</f>
        <v>V.GMC.P.5BP.TS.Ap.322</v>
      </c>
      <c r="Z28" s="478" t="str">
        <f t="shared" si="46"/>
        <v>V.GMC.P.5BP.TS.Ap.322</v>
      </c>
      <c r="AA28" s="478" t="str">
        <f t="shared" ref="AA28" si="96">Y28</f>
        <v>V.GMC.P.5BP.TS.Ap.322</v>
      </c>
      <c r="AB28" s="479"/>
      <c r="AC28" s="627"/>
      <c r="AD28" s="628"/>
      <c r="AE28" s="629"/>
      <c r="AF28" s="630"/>
      <c r="AG28" s="631"/>
      <c r="AH28" s="632"/>
      <c r="AI28" s="627"/>
      <c r="AJ28" s="633"/>
      <c r="AK28" s="629"/>
      <c r="AL28" s="634"/>
      <c r="AM28" s="635"/>
      <c r="AN28" s="636"/>
      <c r="AO28" s="480" t="str">
        <f>VLOOKUP("*"&amp;AO$5&amp;".Ap."&amp;AO27,Check2,1,FALSE)</f>
        <v>V.GMC.P.5BP.TN.Ap.316</v>
      </c>
      <c r="AP28" s="477" t="str">
        <f t="shared" ref="AP28" si="97">AO28</f>
        <v>V.GMC.P.5BP.TN.Ap.316</v>
      </c>
      <c r="AQ28" s="533" t="str">
        <f>VLOOKUP("*"&amp;AQ$5&amp;".Ap."&amp;AQ27,Check2,1,FALSE)</f>
        <v>O.P.5AP.TN.Ap.315</v>
      </c>
      <c r="AR28" s="477" t="str">
        <f t="shared" ref="AR28" si="98">AQ28</f>
        <v>O.P.5AP.TN.Ap.315</v>
      </c>
      <c r="AS28" s="533" t="str">
        <f>VLOOKUP("*"&amp;AS$5&amp;".Ap."&amp;AS27,Check2,1,FALSE)</f>
        <v>S.P.4F.TN.Ap.314</v>
      </c>
      <c r="AT28" s="476" t="str">
        <f t="shared" ref="AT28:AV28" si="99">AS28</f>
        <v>S.P.4F.TN.Ap.314</v>
      </c>
      <c r="AU28" s="476" t="str">
        <f t="shared" si="99"/>
        <v>S.P.4F.TN.Ap.314</v>
      </c>
      <c r="AV28" s="477" t="str">
        <f t="shared" si="99"/>
        <v>S.P.4F.TN.Ap.314</v>
      </c>
      <c r="AW28" s="533" t="str">
        <f>VLOOKUP("*"&amp;AW$5&amp;".Ap."&amp;AW27,Check2,1,FALSE)</f>
        <v>S.P.4E.TN.Ap.313</v>
      </c>
      <c r="AX28" s="476" t="str">
        <f t="shared" ref="AX28:AZ28" si="100">AW28</f>
        <v>S.P.4E.TN.Ap.313</v>
      </c>
      <c r="AY28" s="477" t="str">
        <f t="shared" si="100"/>
        <v>S.P.4E.TN.Ap.313</v>
      </c>
      <c r="AZ28" s="477" t="str">
        <f t="shared" si="100"/>
        <v>S.P.4E.TN.Ap.313</v>
      </c>
      <c r="BA28" s="533" t="str">
        <f>VLOOKUP("*"&amp;BA$5&amp;".Ap."&amp;BA27,Check2,1,FALSE)</f>
        <v>O.P.4D.TN.Ap.312</v>
      </c>
      <c r="BB28" s="476" t="str">
        <f t="shared" ref="BB28:BG28" si="101">BA28</f>
        <v>O.P.4D.TN.Ap.312</v>
      </c>
      <c r="BC28" s="481" t="str">
        <f t="shared" si="101"/>
        <v>O.P.4D.TN.Ap.312</v>
      </c>
      <c r="BD28" s="481" t="str">
        <f t="shared" si="101"/>
        <v>O.P.4D.TN.Ap.312</v>
      </c>
      <c r="BE28" s="481" t="str">
        <f t="shared" si="101"/>
        <v>O.P.4D.TN.Ap.312</v>
      </c>
      <c r="BF28" s="481" t="str">
        <f t="shared" si="101"/>
        <v>O.P.4D.TN.Ap.312</v>
      </c>
      <c r="BG28" s="534" t="str">
        <f t="shared" si="101"/>
        <v>O.P.4D.TN.Ap.312</v>
      </c>
      <c r="BH28" s="535"/>
      <c r="BI28" s="535"/>
      <c r="BJ28" s="535"/>
      <c r="BK28" s="561"/>
      <c r="BL28" s="483" t="s">
        <v>89</v>
      </c>
      <c r="BM28" s="472">
        <f t="shared" si="53"/>
        <v>45</v>
      </c>
      <c r="BN28" s="955"/>
      <c r="BO28" s="484"/>
      <c r="BP28" s="485" t="s">
        <v>89</v>
      </c>
    </row>
    <row r="29" spans="1:68" ht="21.75" x14ac:dyDescent="0.3">
      <c r="A29" s="937"/>
      <c r="B29" s="486"/>
      <c r="C29" s="487" t="s">
        <v>65</v>
      </c>
      <c r="D29" s="562"/>
      <c r="E29" s="563"/>
      <c r="F29" s="563"/>
      <c r="G29" s="563"/>
      <c r="H29" s="488">
        <f>VLOOKUP(H28,Check2,5,FALSE)</f>
        <v>4501</v>
      </c>
      <c r="I29" s="583"/>
      <c r="J29" s="583"/>
      <c r="K29" s="583"/>
      <c r="L29" s="583"/>
      <c r="M29" s="583"/>
      <c r="N29" s="584"/>
      <c r="O29" s="539">
        <f>VLOOKUP(O28,Check2,5,FALSE)</f>
        <v>4502</v>
      </c>
      <c r="P29" s="539"/>
      <c r="Q29" s="490"/>
      <c r="R29" s="539">
        <f>VLOOKUP(R28,Check2,5,FALSE)</f>
        <v>4503</v>
      </c>
      <c r="S29" s="539"/>
      <c r="T29" s="490"/>
      <c r="U29" s="490"/>
      <c r="V29" s="539">
        <f>VLOOKUP(V28,Check2,5,FALSE)</f>
        <v>4504</v>
      </c>
      <c r="W29" s="539"/>
      <c r="X29" s="539"/>
      <c r="Y29" s="539">
        <f>VLOOKUP(Y28,Check2,5,FALSE)</f>
        <v>4505</v>
      </c>
      <c r="Z29" s="491"/>
      <c r="AA29" s="491"/>
      <c r="AB29" s="449"/>
      <c r="AC29" s="1030" t="s">
        <v>7</v>
      </c>
      <c r="AD29" s="1032">
        <f>COUNTIF(Check[סימון],("S."&amp;"*"&amp;$AC29&amp;"."&amp;AD$5&amp;"*"))</f>
        <v>5</v>
      </c>
      <c r="AE29" s="1034">
        <f>COUNTIF(Check[סימון],("O."&amp;"*"&amp;$AC29&amp;"."&amp;AE$5&amp;"*"))</f>
        <v>4</v>
      </c>
      <c r="AF29" s="1036">
        <f>COUNTIF(Check[סימון],("V."&amp;"*"&amp;$AC29&amp;"."&amp;AF$5&amp;"*"))</f>
        <v>0</v>
      </c>
      <c r="AG29" s="1038">
        <f>SUM(AD29:AF29)</f>
        <v>9</v>
      </c>
      <c r="AH29" s="1040">
        <f>SUM(AI29,AG29)</f>
        <v>17</v>
      </c>
      <c r="AI29" s="1042">
        <f>SUM(AJ29:AL29)</f>
        <v>8</v>
      </c>
      <c r="AJ29" s="1058">
        <f>COUNTIF(Check[סימון],("V."&amp;"*"&amp;$AC29&amp;"."&amp;AJ$5&amp;"*"))</f>
        <v>0</v>
      </c>
      <c r="AK29" s="1034">
        <f>COUNTIF(Check[סימון],("O."&amp;"*"&amp;$AC29&amp;"."&amp;AK$5&amp;"*"))</f>
        <v>1</v>
      </c>
      <c r="AL29" s="1060">
        <f>COUNTIF(Check[סימון],("S."&amp;"*"&amp;$AC29&amp;"."&amp;AL$5&amp;"*"))</f>
        <v>7</v>
      </c>
      <c r="AM29" s="1062" t="s">
        <v>20</v>
      </c>
      <c r="AN29" s="637"/>
      <c r="AO29" s="492">
        <f>VLOOKUP(AO28,Check2,5,FALSE)</f>
        <v>4502</v>
      </c>
      <c r="AP29" s="543"/>
      <c r="AQ29" s="589">
        <f>VLOOKUP(AQ28,Check2,5,FALSE)</f>
        <v>4503</v>
      </c>
      <c r="AR29" s="543"/>
      <c r="AS29" s="589">
        <f>VLOOKUP(AS28,Check2,5,FALSE)</f>
        <v>4504</v>
      </c>
      <c r="AT29" s="489"/>
      <c r="AU29" s="489"/>
      <c r="AV29" s="543"/>
      <c r="AW29" s="589">
        <f>VLOOKUP(AW28,Check2,5,FALSE)</f>
        <v>4505</v>
      </c>
      <c r="AX29" s="590"/>
      <c r="AY29" s="584"/>
      <c r="AZ29" s="584"/>
      <c r="BA29" s="589">
        <f>VLOOKUP(BA28,Check2,5,FALSE)</f>
        <v>4501</v>
      </c>
      <c r="BB29" s="590"/>
      <c r="BC29" s="591"/>
      <c r="BD29" s="591"/>
      <c r="BE29" s="591"/>
      <c r="BF29" s="591"/>
      <c r="BG29" s="592"/>
      <c r="BH29" s="563"/>
      <c r="BI29" s="563"/>
      <c r="BJ29" s="563"/>
      <c r="BK29" s="564"/>
      <c r="BL29" s="495" t="s">
        <v>65</v>
      </c>
      <c r="BM29" s="486"/>
      <c r="BN29" s="955"/>
      <c r="BO29" s="434"/>
      <c r="BP29" s="496" t="s">
        <v>1078</v>
      </c>
    </row>
    <row r="30" spans="1:68" ht="22.5" thickBot="1" x14ac:dyDescent="0.45">
      <c r="A30" s="1014"/>
      <c r="B30" s="593">
        <f t="shared" ref="B30" si="102">B34+3.6</f>
        <v>164.44</v>
      </c>
      <c r="C30" s="594" t="s">
        <v>1</v>
      </c>
      <c r="D30" s="567"/>
      <c r="E30" s="568"/>
      <c r="F30" s="568"/>
      <c r="G30" s="568"/>
      <c r="H30" s="595" t="str">
        <f>VLOOKUP(H28,Check2,6,FALSE)</f>
        <v>4D</v>
      </c>
      <c r="I30" s="596"/>
      <c r="J30" s="596"/>
      <c r="K30" s="596"/>
      <c r="L30" s="596"/>
      <c r="M30" s="596"/>
      <c r="N30" s="597"/>
      <c r="O30" s="548" t="str">
        <f>VLOOKUP(O28,Check2,6,FALSE)</f>
        <v>4E</v>
      </c>
      <c r="P30" s="548"/>
      <c r="Q30" s="549"/>
      <c r="R30" s="548" t="str">
        <f>VLOOKUP(R28,Check2,6,FALSE)</f>
        <v>4F</v>
      </c>
      <c r="S30" s="548"/>
      <c r="T30" s="549"/>
      <c r="U30" s="549"/>
      <c r="V30" s="638" t="str">
        <f>VLOOKUP(V28,Check2,6,FALSE)</f>
        <v>5AP</v>
      </c>
      <c r="W30" s="638"/>
      <c r="X30" s="638"/>
      <c r="Y30" s="638" t="str">
        <f>VLOOKUP(Y28,Check2,6,FALSE)</f>
        <v>5BP</v>
      </c>
      <c r="Z30" s="639"/>
      <c r="AA30" s="639"/>
      <c r="AB30" s="503"/>
      <c r="AC30" s="1031"/>
      <c r="AD30" s="1033"/>
      <c r="AE30" s="1035"/>
      <c r="AF30" s="1037"/>
      <c r="AG30" s="1039"/>
      <c r="AH30" s="1041"/>
      <c r="AI30" s="1043"/>
      <c r="AJ30" s="1059"/>
      <c r="AK30" s="1035"/>
      <c r="AL30" s="1061"/>
      <c r="AM30" s="1063"/>
      <c r="AN30" s="640"/>
      <c r="AO30" s="602" t="str">
        <f>VLOOKUP(AO28,Check2,6,FALSE)</f>
        <v>5BP</v>
      </c>
      <c r="AP30" s="553"/>
      <c r="AQ30" s="603" t="str">
        <f>VLOOKUP(AQ28,Check2,6,FALSE)</f>
        <v>5AP</v>
      </c>
      <c r="AR30" s="553"/>
      <c r="AS30" s="603" t="str">
        <f>VLOOKUP(AS28,Check2,6,FALSE)</f>
        <v>4F</v>
      </c>
      <c r="AT30" s="552"/>
      <c r="AU30" s="552"/>
      <c r="AV30" s="553"/>
      <c r="AW30" s="603" t="str">
        <f>VLOOKUP(AW28,Check2,6,FALSE)</f>
        <v>4E</v>
      </c>
      <c r="AX30" s="604"/>
      <c r="AY30" s="597"/>
      <c r="AZ30" s="597"/>
      <c r="BA30" s="603" t="str">
        <f>VLOOKUP(BA28,Check2,6,FALSE)</f>
        <v>4D</v>
      </c>
      <c r="BB30" s="604"/>
      <c r="BC30" s="605"/>
      <c r="BD30" s="605"/>
      <c r="BE30" s="605"/>
      <c r="BF30" s="605"/>
      <c r="BG30" s="606"/>
      <c r="BH30" s="568"/>
      <c r="BI30" s="568"/>
      <c r="BJ30" s="568"/>
      <c r="BK30" s="572"/>
      <c r="BL30" s="607" t="s">
        <v>1</v>
      </c>
      <c r="BM30" s="593">
        <f t="shared" ref="BM30" si="103">BM34+3.6</f>
        <v>164.44</v>
      </c>
      <c r="BN30" s="1015"/>
      <c r="BO30" s="509"/>
      <c r="BP30" s="510" t="s">
        <v>1</v>
      </c>
    </row>
    <row r="31" spans="1:68" ht="26.25" thickTop="1" x14ac:dyDescent="0.45">
      <c r="A31" s="937"/>
      <c r="B31" s="469" t="str">
        <f t="shared" ref="B31" si="104">_xlfn.CONCAT("קומה ",B32)</f>
        <v>קומה 44</v>
      </c>
      <c r="C31" s="473" t="s">
        <v>0</v>
      </c>
      <c r="D31" s="556"/>
      <c r="E31" s="557"/>
      <c r="F31" s="557"/>
      <c r="G31" s="557"/>
      <c r="H31" s="460">
        <f t="shared" ref="H31" si="105">H35+5</f>
        <v>313</v>
      </c>
      <c r="I31" s="574"/>
      <c r="J31" s="574"/>
      <c r="K31" s="574"/>
      <c r="L31" s="574"/>
      <c r="M31" s="574"/>
      <c r="N31" s="520"/>
      <c r="O31" s="514">
        <f t="shared" ref="O31" si="106">O35+5</f>
        <v>314</v>
      </c>
      <c r="P31" s="514"/>
      <c r="Q31" s="462"/>
      <c r="R31" s="514">
        <f t="shared" ref="R31" si="107">R35+5</f>
        <v>315</v>
      </c>
      <c r="S31" s="514"/>
      <c r="T31" s="462"/>
      <c r="U31" s="641"/>
      <c r="V31" s="642">
        <f t="shared" ref="V31" si="108">V35+5</f>
        <v>316</v>
      </c>
      <c r="W31" s="643"/>
      <c r="X31" s="643"/>
      <c r="Y31" s="643">
        <f>Z35+5</f>
        <v>317</v>
      </c>
      <c r="Z31" s="644"/>
      <c r="AA31" s="645"/>
      <c r="AB31" s="464"/>
      <c r="AC31" s="646" t="s">
        <v>8</v>
      </c>
      <c r="AD31" s="647">
        <f>COUNTIF(Check[סימון],("S."&amp;"*"&amp;$AC31&amp;"."&amp;AD$5&amp;"*"))</f>
        <v>5</v>
      </c>
      <c r="AE31" s="648">
        <f>COUNTIF(Check[סימון],("O."&amp;"*"&amp;$AC31&amp;"."&amp;AE$5&amp;"*"))</f>
        <v>5</v>
      </c>
      <c r="AF31" s="649">
        <f>COUNTIF(Check[סימון],("V."&amp;"*"&amp;$AC31&amp;"."&amp;AF$5&amp;"*"))</f>
        <v>0</v>
      </c>
      <c r="AG31" s="650">
        <f>SUM(AD31:AF31)</f>
        <v>10</v>
      </c>
      <c r="AH31" s="651">
        <f>SUM(AI31,AG31)</f>
        <v>18</v>
      </c>
      <c r="AI31" s="652">
        <f>SUM(AJ31:AL31)</f>
        <v>8</v>
      </c>
      <c r="AJ31" s="653">
        <f>COUNTIF(Check[סימון],("V."&amp;"*"&amp;$AC31&amp;"."&amp;AJ$5&amp;"*"))</f>
        <v>0</v>
      </c>
      <c r="AK31" s="648">
        <f>COUNTIF(Check[סימון],("O."&amp;"*"&amp;$AC31&amp;"."&amp;AK$5&amp;"*"))</f>
        <v>2</v>
      </c>
      <c r="AL31" s="654">
        <f>COUNTIF(Check[סימון],("S."&amp;"*"&amp;$AC31&amp;"."&amp;AL$5&amp;"*"))</f>
        <v>6</v>
      </c>
      <c r="AM31" s="655" t="s">
        <v>8</v>
      </c>
      <c r="AN31" s="626"/>
      <c r="AO31" s="465">
        <f t="shared" ref="AO31" si="109">AO35+5</f>
        <v>311</v>
      </c>
      <c r="AP31" s="520"/>
      <c r="AQ31" s="578">
        <f t="shared" ref="AQ31" si="110">AQ35+5</f>
        <v>310</v>
      </c>
      <c r="AR31" s="520"/>
      <c r="AS31" s="578">
        <f t="shared" ref="AS31" si="111">AS35+5</f>
        <v>309</v>
      </c>
      <c r="AT31" s="461"/>
      <c r="AU31" s="461"/>
      <c r="AV31" s="520"/>
      <c r="AW31" s="578">
        <f t="shared" ref="AW31" si="112">AW35+5</f>
        <v>308</v>
      </c>
      <c r="AX31" s="461"/>
      <c r="AY31" s="520"/>
      <c r="AZ31" s="520"/>
      <c r="BA31" s="578">
        <f t="shared" ref="BA31" si="113">BA35+5</f>
        <v>307</v>
      </c>
      <c r="BB31" s="461"/>
      <c r="BC31" s="466"/>
      <c r="BD31" s="466"/>
      <c r="BE31" s="466"/>
      <c r="BF31" s="466"/>
      <c r="BG31" s="579"/>
      <c r="BH31" s="557"/>
      <c r="BI31" s="557"/>
      <c r="BJ31" s="557"/>
      <c r="BK31" s="559"/>
      <c r="BL31" s="483" t="s">
        <v>0</v>
      </c>
      <c r="BM31" s="469" t="str">
        <f t="shared" ref="BM31" si="114">_xlfn.CONCAT("קומה ",BM32)</f>
        <v>קומה 44</v>
      </c>
      <c r="BN31" s="955"/>
      <c r="BO31" s="470"/>
      <c r="BP31" s="471" t="s">
        <v>0</v>
      </c>
    </row>
    <row r="32" spans="1:68" ht="25.5" hidden="1" x14ac:dyDescent="0.3">
      <c r="A32" s="937"/>
      <c r="B32" s="472">
        <f t="shared" si="40"/>
        <v>44</v>
      </c>
      <c r="C32" s="473" t="s">
        <v>89</v>
      </c>
      <c r="D32" s="560"/>
      <c r="E32" s="535"/>
      <c r="F32" s="535"/>
      <c r="G32" s="535"/>
      <c r="H32" s="475" t="str">
        <f>VLOOKUP("*"&amp;H$5&amp;".Ap."&amp;H31,Check2,1,FALSE)</f>
        <v>S.P.4D.TS.Ap.313</v>
      </c>
      <c r="I32" s="525" t="str">
        <f t="shared" ref="I32:N32" si="115">H32</f>
        <v>S.P.4D.TS.Ap.313</v>
      </c>
      <c r="J32" s="525" t="str">
        <f t="shared" si="115"/>
        <v>S.P.4D.TS.Ap.313</v>
      </c>
      <c r="K32" s="525" t="str">
        <f t="shared" si="115"/>
        <v>S.P.4D.TS.Ap.313</v>
      </c>
      <c r="L32" s="525" t="str">
        <f t="shared" si="115"/>
        <v>S.P.4D.TS.Ap.313</v>
      </c>
      <c r="M32" s="525" t="str">
        <f t="shared" si="115"/>
        <v>S.P.4D.TS.Ap.313</v>
      </c>
      <c r="N32" s="477" t="str">
        <f t="shared" si="115"/>
        <v>S.P.4D.TS.Ap.313</v>
      </c>
      <c r="O32" s="525" t="str">
        <f>VLOOKUP("*"&amp;O$5&amp;".Ap."&amp;O31,Check2,1,FALSE)</f>
        <v>S.P.4E.TS.Ap.314</v>
      </c>
      <c r="P32" s="525" t="str">
        <f t="shared" ref="P32:Q32" si="116">O32</f>
        <v>S.P.4E.TS.Ap.314</v>
      </c>
      <c r="Q32" s="477" t="str">
        <f t="shared" si="116"/>
        <v>S.P.4E.TS.Ap.314</v>
      </c>
      <c r="R32" s="525" t="str">
        <f>VLOOKUP("*"&amp;R$5&amp;".Ap."&amp;R31,Check2,1,FALSE)</f>
        <v>O.P.4F.TS.Ap.315</v>
      </c>
      <c r="S32" s="525" t="str">
        <f t="shared" ref="S32:U32" si="117">R32</f>
        <v>O.P.4F.TS.Ap.315</v>
      </c>
      <c r="T32" s="477" t="str">
        <f t="shared" si="117"/>
        <v>O.P.4F.TS.Ap.315</v>
      </c>
      <c r="U32" s="534" t="str">
        <f t="shared" si="117"/>
        <v>O.P.4F.TS.Ap.315</v>
      </c>
      <c r="V32" s="656" t="str">
        <f>VLOOKUP("*"&amp;V$5&amp;".Ap."&amp;V31,Check2,1,FALSE)</f>
        <v>O.P.5AP.TS.Ap.316</v>
      </c>
      <c r="W32" s="525" t="str">
        <f t="shared" si="44"/>
        <v>O.P.5AP.TS.Ap.316</v>
      </c>
      <c r="X32" s="525" t="str">
        <f t="shared" ref="X32" si="118">V32</f>
        <v>O.P.5AP.TS.Ap.316</v>
      </c>
      <c r="Y32" s="525" t="str">
        <f>VLOOKUP("*"&amp;Y$5&amp;".Ap."&amp;Y31,Check2,1,FALSE)</f>
        <v>O.P.5BP.TS.Ap.317</v>
      </c>
      <c r="Z32" s="478" t="str">
        <f t="shared" si="46"/>
        <v>O.P.5BP.TS.Ap.317</v>
      </c>
      <c r="AA32" s="657" t="str">
        <f t="shared" ref="AA32" si="119">Y32</f>
        <v>O.P.5BP.TS.Ap.317</v>
      </c>
      <c r="AB32" s="479"/>
      <c r="AC32" s="627"/>
      <c r="AD32" s="628"/>
      <c r="AE32" s="629"/>
      <c r="AF32" s="630"/>
      <c r="AG32" s="631"/>
      <c r="AH32" s="632"/>
      <c r="AI32" s="627"/>
      <c r="AJ32" s="633"/>
      <c r="AK32" s="629"/>
      <c r="AL32" s="634"/>
      <c r="AM32" s="635"/>
      <c r="AN32" s="636"/>
      <c r="AO32" s="480" t="str">
        <f>VLOOKUP("*"&amp;AO$5&amp;".Ap."&amp;AO31,Check2,1,FALSE)</f>
        <v>V.GMC.P.5BP.TN.Ap.311</v>
      </c>
      <c r="AP32" s="477" t="str">
        <f t="shared" ref="AP32" si="120">AO32</f>
        <v>V.GMC.P.5BP.TN.Ap.311</v>
      </c>
      <c r="AQ32" s="533" t="str">
        <f>VLOOKUP("*"&amp;AQ$5&amp;".Ap."&amp;AQ31,Check2,1,FALSE)</f>
        <v>O.P.5AP.TN.Ap.310</v>
      </c>
      <c r="AR32" s="477" t="str">
        <f t="shared" ref="AR32" si="121">AQ32</f>
        <v>O.P.5AP.TN.Ap.310</v>
      </c>
      <c r="AS32" s="533" t="str">
        <f>VLOOKUP("*"&amp;AS$5&amp;".Ap."&amp;AS31,Check2,1,FALSE)</f>
        <v>S.P.4F.TN.Ap.309</v>
      </c>
      <c r="AT32" s="476" t="str">
        <f t="shared" ref="AT32:AV32" si="122">AS32</f>
        <v>S.P.4F.TN.Ap.309</v>
      </c>
      <c r="AU32" s="476" t="str">
        <f t="shared" si="122"/>
        <v>S.P.4F.TN.Ap.309</v>
      </c>
      <c r="AV32" s="477" t="str">
        <f t="shared" si="122"/>
        <v>S.P.4F.TN.Ap.309</v>
      </c>
      <c r="AW32" s="533" t="str">
        <f>VLOOKUP("*"&amp;AW$5&amp;".Ap."&amp;AW31,Check2,1,FALSE)</f>
        <v>S.P.4E.TN.Ap.308</v>
      </c>
      <c r="AX32" s="476" t="str">
        <f t="shared" ref="AX32:AZ32" si="123">AW32</f>
        <v>S.P.4E.TN.Ap.308</v>
      </c>
      <c r="AY32" s="477" t="str">
        <f t="shared" si="123"/>
        <v>S.P.4E.TN.Ap.308</v>
      </c>
      <c r="AZ32" s="477" t="str">
        <f t="shared" si="123"/>
        <v>S.P.4E.TN.Ap.308</v>
      </c>
      <c r="BA32" s="533" t="str">
        <f>VLOOKUP("*"&amp;BA$5&amp;".Ap."&amp;BA31,Check2,1,FALSE)</f>
        <v>O.P.4D.TN.Ap.307</v>
      </c>
      <c r="BB32" s="476" t="str">
        <f t="shared" ref="BB32:BG32" si="124">BA32</f>
        <v>O.P.4D.TN.Ap.307</v>
      </c>
      <c r="BC32" s="481" t="str">
        <f t="shared" si="124"/>
        <v>O.P.4D.TN.Ap.307</v>
      </c>
      <c r="BD32" s="481" t="str">
        <f t="shared" si="124"/>
        <v>O.P.4D.TN.Ap.307</v>
      </c>
      <c r="BE32" s="481" t="str">
        <f t="shared" si="124"/>
        <v>O.P.4D.TN.Ap.307</v>
      </c>
      <c r="BF32" s="481" t="str">
        <f t="shared" si="124"/>
        <v>O.P.4D.TN.Ap.307</v>
      </c>
      <c r="BG32" s="534" t="str">
        <f t="shared" si="124"/>
        <v>O.P.4D.TN.Ap.307</v>
      </c>
      <c r="BH32" s="535"/>
      <c r="BI32" s="535"/>
      <c r="BJ32" s="535"/>
      <c r="BK32" s="561"/>
      <c r="BL32" s="483" t="s">
        <v>89</v>
      </c>
      <c r="BM32" s="472">
        <f t="shared" si="53"/>
        <v>44</v>
      </c>
      <c r="BN32" s="955"/>
      <c r="BO32" s="484"/>
      <c r="BP32" s="485" t="s">
        <v>89</v>
      </c>
    </row>
    <row r="33" spans="1:68" ht="21.75" x14ac:dyDescent="0.3">
      <c r="A33" s="937"/>
      <c r="B33" s="486"/>
      <c r="C33" s="487" t="s">
        <v>65</v>
      </c>
      <c r="D33" s="562"/>
      <c r="E33" s="563"/>
      <c r="F33" s="563"/>
      <c r="G33" s="563"/>
      <c r="H33" s="488">
        <f>VLOOKUP(H32,Check2,5,FALSE)</f>
        <v>4401</v>
      </c>
      <c r="I33" s="583"/>
      <c r="J33" s="583"/>
      <c r="K33" s="583"/>
      <c r="L33" s="583"/>
      <c r="M33" s="583"/>
      <c r="N33" s="584"/>
      <c r="O33" s="539">
        <f>VLOOKUP(O32,Check2,5,FALSE)</f>
        <v>4402</v>
      </c>
      <c r="P33" s="539"/>
      <c r="Q33" s="490"/>
      <c r="R33" s="539">
        <f>VLOOKUP(R32,Check2,5,FALSE)</f>
        <v>4403</v>
      </c>
      <c r="S33" s="539"/>
      <c r="T33" s="490"/>
      <c r="U33" s="658"/>
      <c r="V33" s="659">
        <f>VLOOKUP(V32,Check2,5,FALSE)</f>
        <v>4404</v>
      </c>
      <c r="W33" s="539"/>
      <c r="X33" s="539"/>
      <c r="Y33" s="539">
        <f>VLOOKUP(Y32,Check2,5,FALSE)</f>
        <v>4405</v>
      </c>
      <c r="Z33" s="491"/>
      <c r="AA33" s="660"/>
      <c r="AB33" s="449"/>
      <c r="AC33" s="1030" t="s">
        <v>10</v>
      </c>
      <c r="AD33" s="1032">
        <f>COUNTIF(Check[סימון],("S."&amp;"*"&amp;$AC33&amp;"."&amp;AD$5&amp;"*"))</f>
        <v>14</v>
      </c>
      <c r="AE33" s="1034">
        <f>COUNTIF(Check[סימון],("O."&amp;"*"&amp;$AC33&amp;"."&amp;AE$5&amp;"*"))</f>
        <v>6</v>
      </c>
      <c r="AF33" s="1036">
        <f>COUNTIF(Check[סימון],("V."&amp;"*"&amp;$AC33&amp;"."&amp;AF$5&amp;"*"))</f>
        <v>1</v>
      </c>
      <c r="AG33" s="1038">
        <f>SUM(AD33:AF33)</f>
        <v>21</v>
      </c>
      <c r="AH33" s="1040">
        <f>SUM(AI33,AG33)</f>
        <v>42</v>
      </c>
      <c r="AI33" s="1042">
        <f>SUM(AJ33:AL33)</f>
        <v>21</v>
      </c>
      <c r="AJ33" s="1058">
        <f>COUNTIF(Check[סימון],("V."&amp;"*"&amp;$AC33&amp;"."&amp;AJ$5&amp;"*"))</f>
        <v>5</v>
      </c>
      <c r="AK33" s="1034">
        <f>COUNTIF(Check[סימון],("O."&amp;"*"&amp;$AC33&amp;"."&amp;AK$5&amp;"*"))</f>
        <v>0</v>
      </c>
      <c r="AL33" s="1060">
        <f>COUNTIF(Check[סימון],("S."&amp;"*"&amp;$AC33&amp;"."&amp;AL$5&amp;"*"))</f>
        <v>16</v>
      </c>
      <c r="AM33" s="1062" t="s">
        <v>20</v>
      </c>
      <c r="AN33" s="637"/>
      <c r="AO33" s="492">
        <f>VLOOKUP(AO32,Check2,5,FALSE)</f>
        <v>4402</v>
      </c>
      <c r="AP33" s="543"/>
      <c r="AQ33" s="589">
        <f>VLOOKUP(AQ32,Check2,5,FALSE)</f>
        <v>4403</v>
      </c>
      <c r="AR33" s="543"/>
      <c r="AS33" s="589">
        <f>VLOOKUP(AS32,Check2,5,FALSE)</f>
        <v>4404</v>
      </c>
      <c r="AT33" s="489"/>
      <c r="AU33" s="489"/>
      <c r="AV33" s="543"/>
      <c r="AW33" s="589">
        <f>VLOOKUP(AW32,Check2,5,FALSE)</f>
        <v>4405</v>
      </c>
      <c r="AX33" s="590"/>
      <c r="AY33" s="584"/>
      <c r="AZ33" s="584"/>
      <c r="BA33" s="589">
        <f>VLOOKUP(BA32,Check2,5,FALSE)</f>
        <v>4401</v>
      </c>
      <c r="BB33" s="590"/>
      <c r="BC33" s="591"/>
      <c r="BD33" s="591"/>
      <c r="BE33" s="591"/>
      <c r="BF33" s="591"/>
      <c r="BG33" s="592"/>
      <c r="BH33" s="563"/>
      <c r="BI33" s="563"/>
      <c r="BJ33" s="563"/>
      <c r="BK33" s="564"/>
      <c r="BL33" s="495" t="s">
        <v>65</v>
      </c>
      <c r="BM33" s="486"/>
      <c r="BN33" s="955"/>
      <c r="BO33" s="434"/>
      <c r="BP33" s="496" t="s">
        <v>1078</v>
      </c>
    </row>
    <row r="34" spans="1:68" ht="22.5" thickBot="1" x14ac:dyDescent="0.45">
      <c r="A34" s="1014"/>
      <c r="B34" s="593">
        <f t="shared" ref="B34" si="125">B38+3.6</f>
        <v>160.84</v>
      </c>
      <c r="C34" s="594" t="s">
        <v>1</v>
      </c>
      <c r="D34" s="567"/>
      <c r="E34" s="568"/>
      <c r="F34" s="568"/>
      <c r="G34" s="568"/>
      <c r="H34" s="595" t="str">
        <f>VLOOKUP(H32,Check2,6,FALSE)</f>
        <v>4D</v>
      </c>
      <c r="I34" s="596"/>
      <c r="J34" s="596"/>
      <c r="K34" s="596"/>
      <c r="L34" s="596"/>
      <c r="M34" s="596"/>
      <c r="N34" s="597"/>
      <c r="O34" s="548" t="str">
        <f>VLOOKUP(O32,Check2,6,FALSE)</f>
        <v>4E</v>
      </c>
      <c r="P34" s="548"/>
      <c r="Q34" s="549"/>
      <c r="R34" s="548" t="str">
        <f>VLOOKUP(R32,Check2,6,FALSE)</f>
        <v>4F</v>
      </c>
      <c r="S34" s="548"/>
      <c r="T34" s="549"/>
      <c r="U34" s="661"/>
      <c r="V34" s="662" t="str">
        <f>VLOOKUP(V32,Check2,6,FALSE)</f>
        <v>5AP</v>
      </c>
      <c r="W34" s="663"/>
      <c r="X34" s="663"/>
      <c r="Y34" s="663" t="str">
        <f>VLOOKUP(Y32,Check2,6,FALSE)</f>
        <v>5BP</v>
      </c>
      <c r="Z34" s="664"/>
      <c r="AA34" s="665"/>
      <c r="AB34" s="503"/>
      <c r="AC34" s="1031"/>
      <c r="AD34" s="1033"/>
      <c r="AE34" s="1035"/>
      <c r="AF34" s="1037"/>
      <c r="AG34" s="1039"/>
      <c r="AH34" s="1041"/>
      <c r="AI34" s="1043"/>
      <c r="AJ34" s="1059"/>
      <c r="AK34" s="1035"/>
      <c r="AL34" s="1061"/>
      <c r="AM34" s="1063"/>
      <c r="AN34" s="640"/>
      <c r="AO34" s="602" t="str">
        <f>VLOOKUP(AO32,Check2,6,FALSE)</f>
        <v>5BP</v>
      </c>
      <c r="AP34" s="553"/>
      <c r="AQ34" s="603" t="str">
        <f>VLOOKUP(AQ32,Check2,6,FALSE)</f>
        <v>5AP</v>
      </c>
      <c r="AR34" s="553"/>
      <c r="AS34" s="603" t="str">
        <f>VLOOKUP(AS32,Check2,6,FALSE)</f>
        <v>4F</v>
      </c>
      <c r="AT34" s="552"/>
      <c r="AU34" s="552"/>
      <c r="AV34" s="553"/>
      <c r="AW34" s="603" t="str">
        <f>VLOOKUP(AW32,Check2,6,FALSE)</f>
        <v>4E</v>
      </c>
      <c r="AX34" s="604"/>
      <c r="AY34" s="597"/>
      <c r="AZ34" s="597"/>
      <c r="BA34" s="603" t="str">
        <f>VLOOKUP(BA32,Check2,6,FALSE)</f>
        <v>4D</v>
      </c>
      <c r="BB34" s="604"/>
      <c r="BC34" s="605"/>
      <c r="BD34" s="605"/>
      <c r="BE34" s="605"/>
      <c r="BF34" s="605"/>
      <c r="BG34" s="606"/>
      <c r="BH34" s="568"/>
      <c r="BI34" s="568"/>
      <c r="BJ34" s="568"/>
      <c r="BK34" s="572"/>
      <c r="BL34" s="607" t="s">
        <v>1</v>
      </c>
      <c r="BM34" s="593">
        <f t="shared" ref="BM34" si="126">BM38+3.6</f>
        <v>160.84</v>
      </c>
      <c r="BN34" s="1015"/>
      <c r="BO34" s="509"/>
      <c r="BP34" s="510" t="s">
        <v>1</v>
      </c>
    </row>
    <row r="35" spans="1:68" ht="25.5" x14ac:dyDescent="0.45">
      <c r="A35" s="937"/>
      <c r="B35" s="469" t="str">
        <f t="shared" ref="B35" si="127">_xlfn.CONCAT("קומה ",B36)</f>
        <v>קומה 43</v>
      </c>
      <c r="C35" s="473" t="s">
        <v>0</v>
      </c>
      <c r="D35" s="556"/>
      <c r="E35" s="557"/>
      <c r="F35" s="557"/>
      <c r="G35" s="557"/>
      <c r="H35" s="460">
        <f t="shared" ref="H35" si="128">H39+5</f>
        <v>308</v>
      </c>
      <c r="I35" s="574"/>
      <c r="J35" s="574"/>
      <c r="K35" s="574"/>
      <c r="L35" s="574"/>
      <c r="M35" s="574"/>
      <c r="N35" s="520"/>
      <c r="O35" s="514">
        <f t="shared" ref="O35" si="129">O39+5</f>
        <v>309</v>
      </c>
      <c r="P35" s="514"/>
      <c r="Q35" s="462"/>
      <c r="R35" s="514">
        <f t="shared" ref="R35" si="130">R39+5</f>
        <v>310</v>
      </c>
      <c r="S35" s="514"/>
      <c r="T35" s="462"/>
      <c r="U35" s="462"/>
      <c r="V35" s="514">
        <f t="shared" ref="V35" si="131">V39+5</f>
        <v>311</v>
      </c>
      <c r="W35" s="514"/>
      <c r="X35" s="514"/>
      <c r="Y35" s="514"/>
      <c r="Z35" s="463">
        <f>Z39+5</f>
        <v>312</v>
      </c>
      <c r="AA35" s="463"/>
      <c r="AB35" s="464"/>
      <c r="AC35" s="616" t="s">
        <v>11</v>
      </c>
      <c r="AD35" s="617">
        <f>COUNTIF(Check[סימון],("S."&amp;"*"&amp;$AC35&amp;"."&amp;AD$5&amp;"*"))</f>
        <v>5</v>
      </c>
      <c r="AE35" s="618">
        <f>COUNTIF(Check[סימון],("O."&amp;"*"&amp;$AC35&amp;"."&amp;AE$5&amp;"*"))</f>
        <v>1</v>
      </c>
      <c r="AF35" s="619">
        <f>COUNTIF(Check[סימון],("V."&amp;"*"&amp;$AC35&amp;"."&amp;AF$5&amp;"*"))</f>
        <v>3</v>
      </c>
      <c r="AG35" s="620">
        <f>SUM(AD35:AF35)</f>
        <v>9</v>
      </c>
      <c r="AH35" s="621">
        <f>SUM(AI35,AG35)</f>
        <v>16</v>
      </c>
      <c r="AI35" s="622">
        <f>SUM(AJ35:AL35)</f>
        <v>7</v>
      </c>
      <c r="AJ35" s="623">
        <f>COUNTIF(Check[סימון],("V."&amp;"*"&amp;$AC35&amp;"."&amp;AJ$5&amp;"*"))</f>
        <v>0</v>
      </c>
      <c r="AK35" s="618">
        <f>COUNTIF(Check[סימון],("O."&amp;"*"&amp;$AC35&amp;"."&amp;AK$5&amp;"*"))</f>
        <v>0</v>
      </c>
      <c r="AL35" s="624">
        <f>COUNTIF(Check[סימון],("S."&amp;"*"&amp;$AC35&amp;"."&amp;AL$5&amp;"*"))</f>
        <v>7</v>
      </c>
      <c r="AM35" s="625" t="s">
        <v>11</v>
      </c>
      <c r="AN35" s="626"/>
      <c r="AO35" s="465">
        <f t="shared" ref="AO35" si="132">AO39+5</f>
        <v>306</v>
      </c>
      <c r="AP35" s="520"/>
      <c r="AQ35" s="578">
        <f t="shared" ref="AQ35" si="133">AQ39+5</f>
        <v>305</v>
      </c>
      <c r="AR35" s="520"/>
      <c r="AS35" s="578">
        <f t="shared" ref="AS35" si="134">AS39+5</f>
        <v>304</v>
      </c>
      <c r="AT35" s="461"/>
      <c r="AU35" s="461"/>
      <c r="AV35" s="520"/>
      <c r="AW35" s="578">
        <f t="shared" ref="AW35" si="135">AW39+5</f>
        <v>303</v>
      </c>
      <c r="AX35" s="461"/>
      <c r="AY35" s="520"/>
      <c r="AZ35" s="520"/>
      <c r="BA35" s="578">
        <f t="shared" ref="BA35" si="136">BA39+5</f>
        <v>302</v>
      </c>
      <c r="BB35" s="461"/>
      <c r="BC35" s="466"/>
      <c r="BD35" s="466"/>
      <c r="BE35" s="466"/>
      <c r="BF35" s="466"/>
      <c r="BG35" s="579"/>
      <c r="BH35" s="557"/>
      <c r="BI35" s="557"/>
      <c r="BJ35" s="557"/>
      <c r="BK35" s="559"/>
      <c r="BL35" s="483" t="s">
        <v>0</v>
      </c>
      <c r="BM35" s="469" t="str">
        <f t="shared" ref="BM35" si="137">_xlfn.CONCAT("קומה ",BM36)</f>
        <v>קומה 43</v>
      </c>
      <c r="BN35" s="955"/>
      <c r="BO35" s="470"/>
      <c r="BP35" s="471" t="s">
        <v>0</v>
      </c>
    </row>
    <row r="36" spans="1:68" ht="25.5" hidden="1" x14ac:dyDescent="0.3">
      <c r="A36" s="937"/>
      <c r="B36" s="472">
        <f t="shared" si="40"/>
        <v>43</v>
      </c>
      <c r="C36" s="473" t="s">
        <v>89</v>
      </c>
      <c r="D36" s="560"/>
      <c r="E36" s="535"/>
      <c r="F36" s="535"/>
      <c r="G36" s="535"/>
      <c r="H36" s="475" t="str">
        <f>VLOOKUP("*"&amp;H$5&amp;".Ap."&amp;H35,Check2,1,FALSE)</f>
        <v>V.GMS.P.4D.TS.Ap.308</v>
      </c>
      <c r="I36" s="525" t="str">
        <f t="shared" ref="I36:N36" si="138">H36</f>
        <v>V.GMS.P.4D.TS.Ap.308</v>
      </c>
      <c r="J36" s="525" t="str">
        <f t="shared" si="138"/>
        <v>V.GMS.P.4D.TS.Ap.308</v>
      </c>
      <c r="K36" s="525" t="str">
        <f t="shared" si="138"/>
        <v>V.GMS.P.4D.TS.Ap.308</v>
      </c>
      <c r="L36" s="525" t="str">
        <f t="shared" si="138"/>
        <v>V.GMS.P.4D.TS.Ap.308</v>
      </c>
      <c r="M36" s="525" t="str">
        <f t="shared" si="138"/>
        <v>V.GMS.P.4D.TS.Ap.308</v>
      </c>
      <c r="N36" s="477" t="str">
        <f t="shared" si="138"/>
        <v>V.GMS.P.4D.TS.Ap.308</v>
      </c>
      <c r="O36" s="525" t="str">
        <f>VLOOKUP("*"&amp;O$5&amp;".Ap."&amp;O35,Check2,1,FALSE)</f>
        <v>O.P.4E.TS.Ap.309</v>
      </c>
      <c r="P36" s="525" t="str">
        <f t="shared" ref="P36:Q36" si="139">O36</f>
        <v>O.P.4E.TS.Ap.309</v>
      </c>
      <c r="Q36" s="477" t="str">
        <f t="shared" si="139"/>
        <v>O.P.4E.TS.Ap.309</v>
      </c>
      <c r="R36" s="525" t="str">
        <f>VLOOKUP("*"&amp;R$5&amp;".Ap."&amp;R35,Check2,1,FALSE)</f>
        <v>O.P.4F.TS.Ap.310</v>
      </c>
      <c r="S36" s="525" t="str">
        <f t="shared" ref="S36:U36" si="140">R36</f>
        <v>O.P.4F.TS.Ap.310</v>
      </c>
      <c r="T36" s="477" t="str">
        <f t="shared" si="140"/>
        <v>O.P.4F.TS.Ap.310</v>
      </c>
      <c r="U36" s="477" t="str">
        <f t="shared" si="140"/>
        <v>O.P.4F.TS.Ap.310</v>
      </c>
      <c r="V36" s="525" t="str">
        <f>VLOOKUP("*"&amp;V$5&amp;".Ap."&amp;V35,Check2,1,FALSE)</f>
        <v>S.P.5CP.TS.Ap.311</v>
      </c>
      <c r="W36" s="525" t="str">
        <f t="shared" ref="W36" si="141">V36</f>
        <v>S.P.5CP.TS.Ap.311</v>
      </c>
      <c r="X36" s="525" t="str">
        <f t="shared" ref="X36" si="142">V36</f>
        <v>S.P.5CP.TS.Ap.311</v>
      </c>
      <c r="Y36" s="525" t="str">
        <f t="shared" ref="Y36" si="143">W36</f>
        <v>S.P.5CP.TS.Ap.311</v>
      </c>
      <c r="Z36" s="478" t="str">
        <f>VLOOKUP("*"&amp;Y$5&amp;".Ap."&amp;Z35,Check2,1,FALSE)</f>
        <v>S.P.4BP.TS.Ap.312</v>
      </c>
      <c r="AA36" s="478" t="str">
        <f t="shared" ref="AA36" si="144">Z36</f>
        <v>S.P.4BP.TS.Ap.312</v>
      </c>
      <c r="AB36" s="479"/>
      <c r="AC36" s="627"/>
      <c r="AD36" s="628"/>
      <c r="AE36" s="629"/>
      <c r="AF36" s="630"/>
      <c r="AG36" s="631"/>
      <c r="AH36" s="632"/>
      <c r="AI36" s="627"/>
      <c r="AJ36" s="633"/>
      <c r="AK36" s="629"/>
      <c r="AL36" s="634"/>
      <c r="AM36" s="635"/>
      <c r="AN36" s="636"/>
      <c r="AO36" s="480" t="str">
        <f>VLOOKUP("*"&amp;AO$5&amp;".Ap."&amp;AO35,Check2,1,FALSE)</f>
        <v>S.P.5BP.TN.Ap.306</v>
      </c>
      <c r="AP36" s="477" t="str">
        <f t="shared" ref="AP36" si="145">AO36</f>
        <v>S.P.5BP.TN.Ap.306</v>
      </c>
      <c r="AQ36" s="533" t="str">
        <f>VLOOKUP("*"&amp;AQ$5&amp;".Ap."&amp;AQ35,Check2,1,FALSE)</f>
        <v>S.P.5AP.TN.Ap.305</v>
      </c>
      <c r="AR36" s="477" t="str">
        <f t="shared" ref="AR36" si="146">AQ36</f>
        <v>S.P.5AP.TN.Ap.305</v>
      </c>
      <c r="AS36" s="533" t="str">
        <f>VLOOKUP("*"&amp;AS$5&amp;".Ap."&amp;AS35,Check2,1,FALSE)</f>
        <v>O.P.4F.TN.Ap.304</v>
      </c>
      <c r="AT36" s="476" t="str">
        <f t="shared" ref="AT36:AV36" si="147">AS36</f>
        <v>O.P.4F.TN.Ap.304</v>
      </c>
      <c r="AU36" s="476" t="str">
        <f t="shared" si="147"/>
        <v>O.P.4F.TN.Ap.304</v>
      </c>
      <c r="AV36" s="477" t="str">
        <f t="shared" si="147"/>
        <v>O.P.4F.TN.Ap.304</v>
      </c>
      <c r="AW36" s="533" t="str">
        <f>VLOOKUP("*"&amp;AW$5&amp;".Ap."&amp;AW35,Check2,1,FALSE)</f>
        <v>O.P.4E.TN.Ap.303</v>
      </c>
      <c r="AX36" s="476" t="str">
        <f t="shared" ref="AX36:AZ36" si="148">AW36</f>
        <v>O.P.4E.TN.Ap.303</v>
      </c>
      <c r="AY36" s="477" t="str">
        <f t="shared" si="148"/>
        <v>O.P.4E.TN.Ap.303</v>
      </c>
      <c r="AZ36" s="477" t="str">
        <f t="shared" si="148"/>
        <v>O.P.4E.TN.Ap.303</v>
      </c>
      <c r="BA36" s="533" t="str">
        <f>VLOOKUP("*"&amp;BA$5&amp;".Ap."&amp;BA35,Check2,1,FALSE)</f>
        <v>V.GMS.P.4D.TN.Ap.302</v>
      </c>
      <c r="BB36" s="476" t="str">
        <f t="shared" ref="BB36:BG36" si="149">BA36</f>
        <v>V.GMS.P.4D.TN.Ap.302</v>
      </c>
      <c r="BC36" s="481" t="str">
        <f t="shared" si="149"/>
        <v>V.GMS.P.4D.TN.Ap.302</v>
      </c>
      <c r="BD36" s="481" t="str">
        <f t="shared" si="149"/>
        <v>V.GMS.P.4D.TN.Ap.302</v>
      </c>
      <c r="BE36" s="481" t="str">
        <f t="shared" si="149"/>
        <v>V.GMS.P.4D.TN.Ap.302</v>
      </c>
      <c r="BF36" s="481" t="str">
        <f t="shared" si="149"/>
        <v>V.GMS.P.4D.TN.Ap.302</v>
      </c>
      <c r="BG36" s="534" t="str">
        <f t="shared" si="149"/>
        <v>V.GMS.P.4D.TN.Ap.302</v>
      </c>
      <c r="BH36" s="535"/>
      <c r="BI36" s="535"/>
      <c r="BJ36" s="535"/>
      <c r="BK36" s="561"/>
      <c r="BL36" s="483" t="s">
        <v>89</v>
      </c>
      <c r="BM36" s="472">
        <f t="shared" si="53"/>
        <v>43</v>
      </c>
      <c r="BN36" s="955"/>
      <c r="BO36" s="484"/>
      <c r="BP36" s="485" t="s">
        <v>89</v>
      </c>
    </row>
    <row r="37" spans="1:68" ht="21.75" x14ac:dyDescent="0.3">
      <c r="A37" s="937"/>
      <c r="B37" s="486"/>
      <c r="C37" s="487" t="s">
        <v>65</v>
      </c>
      <c r="D37" s="562"/>
      <c r="E37" s="563"/>
      <c r="F37" s="563"/>
      <c r="G37" s="563"/>
      <c r="H37" s="488">
        <f>VLOOKUP(H36,Check2,5,FALSE)</f>
        <v>4301</v>
      </c>
      <c r="I37" s="583"/>
      <c r="J37" s="583"/>
      <c r="K37" s="583"/>
      <c r="L37" s="583"/>
      <c r="M37" s="583"/>
      <c r="N37" s="584"/>
      <c r="O37" s="539">
        <f>VLOOKUP(O36,Check2,5,FALSE)</f>
        <v>4302</v>
      </c>
      <c r="P37" s="539"/>
      <c r="Q37" s="490"/>
      <c r="R37" s="539">
        <f>VLOOKUP(R36,Check2,5,FALSE)</f>
        <v>4303</v>
      </c>
      <c r="S37" s="539"/>
      <c r="T37" s="490"/>
      <c r="U37" s="490"/>
      <c r="V37" s="539">
        <f>VLOOKUP(V36,Check2,5,FALSE)</f>
        <v>4304</v>
      </c>
      <c r="W37" s="539"/>
      <c r="X37" s="539"/>
      <c r="Y37" s="539"/>
      <c r="Z37" s="491">
        <f>VLOOKUP(Z36,Check2,5,FALSE)</f>
        <v>4305</v>
      </c>
      <c r="AA37" s="491"/>
      <c r="AB37" s="449"/>
      <c r="AC37" s="1030" t="s">
        <v>12</v>
      </c>
      <c r="AD37" s="1032">
        <f>COUNTIF(Check[סימון],("S."&amp;"*"&amp;$AC37&amp;"."&amp;AD$5&amp;"*"))</f>
        <v>2</v>
      </c>
      <c r="AE37" s="1034">
        <f>COUNTIF(Check[סימון],("O."&amp;"*"&amp;$AC37&amp;"."&amp;AE$5&amp;"*"))</f>
        <v>6</v>
      </c>
      <c r="AF37" s="1054">
        <f>COUNTIF(Check[סימון],("V."&amp;"*"&amp;$AC37&amp;"."&amp;AF$5&amp;"*"))</f>
        <v>1</v>
      </c>
      <c r="AG37" s="1056">
        <f>SUM(AD37:AF37)</f>
        <v>9</v>
      </c>
      <c r="AH37" s="1040">
        <f>SUM(AI37,AG37)</f>
        <v>16</v>
      </c>
      <c r="AI37" s="1042">
        <f>SUM(AJ37:AL37)</f>
        <v>7</v>
      </c>
      <c r="AJ37" s="1058">
        <f>COUNTIF(Check[סימון],("V."&amp;"*"&amp;$AC37&amp;"."&amp;AJ$5&amp;"*"))</f>
        <v>0</v>
      </c>
      <c r="AK37" s="1034">
        <f>COUNTIF(Check[סימון],("O."&amp;"*"&amp;$AC37&amp;"."&amp;AK$5&amp;"*"))</f>
        <v>4</v>
      </c>
      <c r="AL37" s="1064">
        <f>COUNTIF(Check[סימון],("S."&amp;"*"&amp;$AC37&amp;"."&amp;AL$5&amp;"*"))</f>
        <v>3</v>
      </c>
      <c r="AM37" s="1066" t="s">
        <v>20</v>
      </c>
      <c r="AN37" s="637"/>
      <c r="AO37" s="492">
        <f>VLOOKUP(AO36,Check2,5,FALSE)</f>
        <v>4302</v>
      </c>
      <c r="AP37" s="543"/>
      <c r="AQ37" s="589">
        <f>VLOOKUP(AQ36,Check2,5,FALSE)</f>
        <v>4303</v>
      </c>
      <c r="AR37" s="543"/>
      <c r="AS37" s="589">
        <f>VLOOKUP(AS36,Check2,5,FALSE)</f>
        <v>4304</v>
      </c>
      <c r="AT37" s="489"/>
      <c r="AU37" s="489"/>
      <c r="AV37" s="543"/>
      <c r="AW37" s="589">
        <f>VLOOKUP(AW36,Check2,5,FALSE)</f>
        <v>4305</v>
      </c>
      <c r="AX37" s="590"/>
      <c r="AY37" s="584"/>
      <c r="AZ37" s="584"/>
      <c r="BA37" s="589">
        <f>VLOOKUP(BA36,Check2,5,FALSE)</f>
        <v>4301</v>
      </c>
      <c r="BB37" s="590"/>
      <c r="BC37" s="591"/>
      <c r="BD37" s="591"/>
      <c r="BE37" s="591"/>
      <c r="BF37" s="591"/>
      <c r="BG37" s="592"/>
      <c r="BH37" s="563"/>
      <c r="BI37" s="563"/>
      <c r="BJ37" s="563"/>
      <c r="BK37" s="564"/>
      <c r="BL37" s="495" t="s">
        <v>65</v>
      </c>
      <c r="BM37" s="486"/>
      <c r="BN37" s="955"/>
      <c r="BO37" s="434"/>
      <c r="BP37" s="496" t="s">
        <v>1078</v>
      </c>
    </row>
    <row r="38" spans="1:68" ht="22.5" thickBot="1" x14ac:dyDescent="0.45">
      <c r="A38" s="1014"/>
      <c r="B38" s="593">
        <f t="shared" ref="B38" si="150">B42+3.6</f>
        <v>157.24</v>
      </c>
      <c r="C38" s="594" t="s">
        <v>1</v>
      </c>
      <c r="D38" s="567"/>
      <c r="E38" s="568"/>
      <c r="F38" s="568"/>
      <c r="G38" s="568"/>
      <c r="H38" s="595" t="str">
        <f>VLOOKUP(H36,Check2,6,FALSE)</f>
        <v>4D</v>
      </c>
      <c r="I38" s="596"/>
      <c r="J38" s="596"/>
      <c r="K38" s="596"/>
      <c r="L38" s="596"/>
      <c r="M38" s="596"/>
      <c r="N38" s="597"/>
      <c r="O38" s="548" t="str">
        <f>VLOOKUP(O36,Check2,6,FALSE)</f>
        <v>4E</v>
      </c>
      <c r="P38" s="548"/>
      <c r="Q38" s="549"/>
      <c r="R38" s="548" t="str">
        <f>VLOOKUP(R36,Check2,6,FALSE)</f>
        <v>4F</v>
      </c>
      <c r="S38" s="548"/>
      <c r="T38" s="549"/>
      <c r="U38" s="549"/>
      <c r="V38" s="548" t="str">
        <f>VLOOKUP(V36,Check2,6,FALSE)</f>
        <v>5CP</v>
      </c>
      <c r="W38" s="548"/>
      <c r="X38" s="548"/>
      <c r="Y38" s="548"/>
      <c r="Z38" s="615" t="str">
        <f>VLOOKUP(Z36,Check2,6,FALSE)</f>
        <v>4BP</v>
      </c>
      <c r="AA38" s="615"/>
      <c r="AB38" s="503"/>
      <c r="AC38" s="1031"/>
      <c r="AD38" s="1033"/>
      <c r="AE38" s="1035"/>
      <c r="AF38" s="1055"/>
      <c r="AG38" s="1057"/>
      <c r="AH38" s="1041"/>
      <c r="AI38" s="1043"/>
      <c r="AJ38" s="1059"/>
      <c r="AK38" s="1035"/>
      <c r="AL38" s="1065"/>
      <c r="AM38" s="1067"/>
      <c r="AN38" s="640"/>
      <c r="AO38" s="602" t="str">
        <f>VLOOKUP(AO36,Check2,6,FALSE)</f>
        <v>5BP</v>
      </c>
      <c r="AP38" s="553"/>
      <c r="AQ38" s="603" t="str">
        <f>VLOOKUP(AQ36,Check2,6,FALSE)</f>
        <v>5AP</v>
      </c>
      <c r="AR38" s="553"/>
      <c r="AS38" s="603" t="str">
        <f>VLOOKUP(AS36,Check2,6,FALSE)</f>
        <v>4F</v>
      </c>
      <c r="AT38" s="552"/>
      <c r="AU38" s="552"/>
      <c r="AV38" s="553"/>
      <c r="AW38" s="603" t="str">
        <f>VLOOKUP(AW36,Check2,6,FALSE)</f>
        <v>4E</v>
      </c>
      <c r="AX38" s="604"/>
      <c r="AY38" s="597"/>
      <c r="AZ38" s="597"/>
      <c r="BA38" s="603" t="str">
        <f>VLOOKUP(BA36,Check2,6,FALSE)</f>
        <v>4D</v>
      </c>
      <c r="BB38" s="604"/>
      <c r="BC38" s="605"/>
      <c r="BD38" s="605"/>
      <c r="BE38" s="605"/>
      <c r="BF38" s="605"/>
      <c r="BG38" s="606"/>
      <c r="BH38" s="568"/>
      <c r="BI38" s="568"/>
      <c r="BJ38" s="568"/>
      <c r="BK38" s="572"/>
      <c r="BL38" s="607" t="s">
        <v>1</v>
      </c>
      <c r="BM38" s="593">
        <f t="shared" ref="BM38" si="151">BM42+3.6</f>
        <v>157.24</v>
      </c>
      <c r="BN38" s="1015"/>
      <c r="BO38" s="509"/>
      <c r="BP38" s="510" t="s">
        <v>1</v>
      </c>
    </row>
    <row r="39" spans="1:68" ht="26.25" thickBot="1" x14ac:dyDescent="0.5">
      <c r="A39" s="937"/>
      <c r="B39" s="469" t="str">
        <f t="shared" ref="B39" si="152">_xlfn.CONCAT("קומה ",B40)</f>
        <v>קומה 42</v>
      </c>
      <c r="C39" s="473" t="s">
        <v>0</v>
      </c>
      <c r="D39" s="556"/>
      <c r="E39" s="557"/>
      <c r="F39" s="557"/>
      <c r="G39" s="557"/>
      <c r="H39" s="460">
        <f t="shared" ref="H39" si="153">H43+5</f>
        <v>303</v>
      </c>
      <c r="I39" s="574"/>
      <c r="J39" s="574"/>
      <c r="K39" s="574"/>
      <c r="L39" s="574"/>
      <c r="M39" s="574"/>
      <c r="N39" s="520"/>
      <c r="O39" s="514">
        <f t="shared" ref="O39" si="154">O43+5</f>
        <v>304</v>
      </c>
      <c r="P39" s="514"/>
      <c r="Q39" s="462"/>
      <c r="R39" s="514">
        <f t="shared" ref="R39" si="155">R43+5</f>
        <v>305</v>
      </c>
      <c r="S39" s="514"/>
      <c r="T39" s="462"/>
      <c r="U39" s="462"/>
      <c r="V39" s="514">
        <f t="shared" ref="V39" si="156">V43+5</f>
        <v>306</v>
      </c>
      <c r="W39" s="514"/>
      <c r="X39" s="514"/>
      <c r="Y39" s="514"/>
      <c r="Z39" s="463">
        <f>Y43+5</f>
        <v>307</v>
      </c>
      <c r="AA39" s="463"/>
      <c r="AB39" s="464"/>
      <c r="AC39" s="666" t="s">
        <v>15</v>
      </c>
      <c r="AD39" s="667">
        <f>COUNTIF(Check[סימון],("S."&amp;"*"&amp;$AC39&amp;"."&amp;AD$5&amp;"*"))</f>
        <v>5</v>
      </c>
      <c r="AE39" s="668">
        <f>COUNTIF(Check[סימון],("O."&amp;"*"&amp;$AC39&amp;"."&amp;AE$5&amp;"*"))</f>
        <v>5</v>
      </c>
      <c r="AF39" s="669">
        <f>COUNTIF(Check[סימון],("V."&amp;"*"&amp;$AC39&amp;"."&amp;AF$5&amp;"*"))</f>
        <v>9</v>
      </c>
      <c r="AG39" s="670">
        <f>SUM(AD39:AF39)</f>
        <v>19</v>
      </c>
      <c r="AH39" s="671">
        <f>SUM(AI39,AG39)</f>
        <v>37</v>
      </c>
      <c r="AI39" s="672">
        <f>SUM(AJ39:AL39)</f>
        <v>18</v>
      </c>
      <c r="AJ39" s="673">
        <f>COUNTIF(Check[סימון],("V."&amp;"*"&amp;$AC39&amp;"."&amp;AJ$5&amp;"*"))</f>
        <v>0</v>
      </c>
      <c r="AK39" s="668">
        <f>COUNTIF(Check[סימון],("O."&amp;"*"&amp;$AC39&amp;"."&amp;AK$5&amp;"*"))</f>
        <v>4</v>
      </c>
      <c r="AL39" s="674">
        <f>COUNTIF(Check[סימון],("S."&amp;"*"&amp;$AC39&amp;"."&amp;AL$5&amp;"*"))</f>
        <v>14</v>
      </c>
      <c r="AM39" s="675" t="s">
        <v>15</v>
      </c>
      <c r="AN39" s="626"/>
      <c r="AO39" s="465">
        <f t="shared" ref="AO39" si="157">AO43+5</f>
        <v>301</v>
      </c>
      <c r="AP39" s="520"/>
      <c r="AQ39" s="578">
        <f t="shared" ref="AQ39" si="158">AQ43+5</f>
        <v>300</v>
      </c>
      <c r="AR39" s="520"/>
      <c r="AS39" s="578">
        <f t="shared" ref="AS39" si="159">AS43+5</f>
        <v>299</v>
      </c>
      <c r="AT39" s="461"/>
      <c r="AU39" s="461"/>
      <c r="AV39" s="520"/>
      <c r="AW39" s="578">
        <f t="shared" ref="AW39" si="160">AW43+5</f>
        <v>298</v>
      </c>
      <c r="AX39" s="461"/>
      <c r="AY39" s="520"/>
      <c r="AZ39" s="520"/>
      <c r="BA39" s="578">
        <f t="shared" ref="BA39" si="161">BA43+5</f>
        <v>297</v>
      </c>
      <c r="BB39" s="461"/>
      <c r="BC39" s="466"/>
      <c r="BD39" s="466"/>
      <c r="BE39" s="466"/>
      <c r="BF39" s="466"/>
      <c r="BG39" s="579"/>
      <c r="BH39" s="557"/>
      <c r="BI39" s="557"/>
      <c r="BJ39" s="557"/>
      <c r="BK39" s="559"/>
      <c r="BL39" s="483" t="s">
        <v>0</v>
      </c>
      <c r="BM39" s="469" t="str">
        <f t="shared" ref="BM39" si="162">_xlfn.CONCAT("קומה ",BM40)</f>
        <v>קומה 42</v>
      </c>
      <c r="BN39" s="955"/>
      <c r="BO39" s="470"/>
      <c r="BP39" s="471" t="s">
        <v>0</v>
      </c>
    </row>
    <row r="40" spans="1:68" ht="25.5" hidden="1" x14ac:dyDescent="0.3">
      <c r="A40" s="937"/>
      <c r="B40" s="472">
        <f t="shared" si="40"/>
        <v>42</v>
      </c>
      <c r="C40" s="473" t="s">
        <v>89</v>
      </c>
      <c r="D40" s="560"/>
      <c r="E40" s="535"/>
      <c r="F40" s="535"/>
      <c r="G40" s="535"/>
      <c r="H40" s="475" t="str">
        <f>VLOOKUP("*"&amp;H$5&amp;".Ap."&amp;H39,Check2,1,FALSE)</f>
        <v>V.GMS.P.4D.TS.Ap.303</v>
      </c>
      <c r="I40" s="525" t="str">
        <f t="shared" ref="I40:N40" si="163">H40</f>
        <v>V.GMS.P.4D.TS.Ap.303</v>
      </c>
      <c r="J40" s="525" t="str">
        <f t="shared" si="163"/>
        <v>V.GMS.P.4D.TS.Ap.303</v>
      </c>
      <c r="K40" s="525" t="str">
        <f t="shared" si="163"/>
        <v>V.GMS.P.4D.TS.Ap.303</v>
      </c>
      <c r="L40" s="525" t="str">
        <f t="shared" si="163"/>
        <v>V.GMS.P.4D.TS.Ap.303</v>
      </c>
      <c r="M40" s="525" t="str">
        <f t="shared" si="163"/>
        <v>V.GMS.P.4D.TS.Ap.303</v>
      </c>
      <c r="N40" s="477" t="str">
        <f t="shared" si="163"/>
        <v>V.GMS.P.4D.TS.Ap.303</v>
      </c>
      <c r="O40" s="525" t="str">
        <f>VLOOKUP("*"&amp;O$5&amp;".Ap."&amp;O39,Check2,1,FALSE)</f>
        <v>O.P.4E.TS.Ap.304</v>
      </c>
      <c r="P40" s="525" t="str">
        <f t="shared" ref="P40:Q40" si="164">O40</f>
        <v>O.P.4E.TS.Ap.304</v>
      </c>
      <c r="Q40" s="477" t="str">
        <f t="shared" si="164"/>
        <v>O.P.4E.TS.Ap.304</v>
      </c>
      <c r="R40" s="525" t="str">
        <f>VLOOKUP("*"&amp;R$5&amp;".Ap."&amp;R39,Check2,1,FALSE)</f>
        <v>O.P.4F.TS.Ap.305</v>
      </c>
      <c r="S40" s="525" t="str">
        <f t="shared" ref="S40:U40" si="165">R40</f>
        <v>O.P.4F.TS.Ap.305</v>
      </c>
      <c r="T40" s="477" t="str">
        <f t="shared" si="165"/>
        <v>O.P.4F.TS.Ap.305</v>
      </c>
      <c r="U40" s="477" t="str">
        <f t="shared" si="165"/>
        <v>O.P.4F.TS.Ap.305</v>
      </c>
      <c r="V40" s="525" t="str">
        <f>VLOOKUP("*"&amp;V$5&amp;".Ap."&amp;V39,Check2,1,FALSE)</f>
        <v>S.P.5CP.TS.Ap.306</v>
      </c>
      <c r="W40" s="525" t="str">
        <f t="shared" si="44"/>
        <v>S.P.5CP.TS.Ap.306</v>
      </c>
      <c r="X40" s="525" t="str">
        <f t="shared" ref="X40:Y40" si="166">V40</f>
        <v>S.P.5CP.TS.Ap.306</v>
      </c>
      <c r="Y40" s="525" t="str">
        <f t="shared" si="166"/>
        <v>S.P.5CP.TS.Ap.306</v>
      </c>
      <c r="Z40" s="478" t="str">
        <f>VLOOKUP("*"&amp;Y$5&amp;".Ap."&amp;Z39,Check2,1,FALSE)</f>
        <v>V.GM.P.4BP.TS.Ap.307</v>
      </c>
      <c r="AA40" s="478" t="str">
        <f t="shared" ref="AA40" si="167">Z40</f>
        <v>V.GM.P.4BP.TS.Ap.307</v>
      </c>
      <c r="AB40" s="479"/>
      <c r="AC40" s="627"/>
      <c r="AD40" s="628"/>
      <c r="AE40" s="629"/>
      <c r="AF40" s="630"/>
      <c r="AG40" s="631"/>
      <c r="AH40" s="632"/>
      <c r="AI40" s="627"/>
      <c r="AJ40" s="633"/>
      <c r="AK40" s="629"/>
      <c r="AL40" s="634"/>
      <c r="AM40" s="635"/>
      <c r="AN40" s="636"/>
      <c r="AO40" s="480" t="str">
        <f>VLOOKUP("*"&amp;AO$5&amp;".Ap."&amp;AO39,Check2,1,FALSE)</f>
        <v>V.GMC.P.5BP.TN.Ap.301</v>
      </c>
      <c r="AP40" s="477" t="str">
        <f t="shared" ref="AP40" si="168">AO40</f>
        <v>V.GMC.P.5BP.TN.Ap.301</v>
      </c>
      <c r="AQ40" s="533" t="str">
        <f>VLOOKUP("*"&amp;AQ$5&amp;".Ap."&amp;AQ39,Check2,1,FALSE)</f>
        <v>O.P.5AP.TN.Ap.300</v>
      </c>
      <c r="AR40" s="477" t="str">
        <f t="shared" ref="AR40" si="169">AQ40</f>
        <v>O.P.5AP.TN.Ap.300</v>
      </c>
      <c r="AS40" s="533" t="str">
        <f>VLOOKUP("*"&amp;AS$5&amp;".Ap."&amp;AS39,Check2,1,FALSE)</f>
        <v>O.P.4F.TN.Ap.299</v>
      </c>
      <c r="AT40" s="476" t="str">
        <f t="shared" ref="AT40:AV40" si="170">AS40</f>
        <v>O.P.4F.TN.Ap.299</v>
      </c>
      <c r="AU40" s="476" t="str">
        <f t="shared" si="170"/>
        <v>O.P.4F.TN.Ap.299</v>
      </c>
      <c r="AV40" s="477" t="str">
        <f t="shared" si="170"/>
        <v>O.P.4F.TN.Ap.299</v>
      </c>
      <c r="AW40" s="533" t="str">
        <f>VLOOKUP("*"&amp;AW$5&amp;".Ap."&amp;AW39,Check2,1,FALSE)</f>
        <v>S.P.4E.TN.Ap.298</v>
      </c>
      <c r="AX40" s="476" t="str">
        <f t="shared" ref="AX40:AZ40" si="171">AW40</f>
        <v>S.P.4E.TN.Ap.298</v>
      </c>
      <c r="AY40" s="477" t="str">
        <f t="shared" si="171"/>
        <v>S.P.4E.TN.Ap.298</v>
      </c>
      <c r="AZ40" s="477" t="str">
        <f t="shared" si="171"/>
        <v>S.P.4E.TN.Ap.298</v>
      </c>
      <c r="BA40" s="533" t="str">
        <f>VLOOKUP("*"&amp;BA$5&amp;".Ap."&amp;BA39,Check2,1,FALSE)</f>
        <v>V.GMS.P.4D.TN.Ap.297</v>
      </c>
      <c r="BB40" s="476" t="str">
        <f t="shared" ref="BB40:BG40" si="172">BA40</f>
        <v>V.GMS.P.4D.TN.Ap.297</v>
      </c>
      <c r="BC40" s="481" t="str">
        <f t="shared" si="172"/>
        <v>V.GMS.P.4D.TN.Ap.297</v>
      </c>
      <c r="BD40" s="481" t="str">
        <f t="shared" si="172"/>
        <v>V.GMS.P.4D.TN.Ap.297</v>
      </c>
      <c r="BE40" s="481" t="str">
        <f t="shared" si="172"/>
        <v>V.GMS.P.4D.TN.Ap.297</v>
      </c>
      <c r="BF40" s="481" t="str">
        <f t="shared" si="172"/>
        <v>V.GMS.P.4D.TN.Ap.297</v>
      </c>
      <c r="BG40" s="534" t="str">
        <f t="shared" si="172"/>
        <v>V.GMS.P.4D.TN.Ap.297</v>
      </c>
      <c r="BH40" s="535"/>
      <c r="BI40" s="535"/>
      <c r="BJ40" s="535"/>
      <c r="BK40" s="561"/>
      <c r="BL40" s="483" t="s">
        <v>89</v>
      </c>
      <c r="BM40" s="472">
        <f t="shared" si="53"/>
        <v>42</v>
      </c>
      <c r="BN40" s="955"/>
      <c r="BO40" s="484"/>
      <c r="BP40" s="485" t="s">
        <v>89</v>
      </c>
    </row>
    <row r="41" spans="1:68" ht="21.75" x14ac:dyDescent="0.3">
      <c r="A41" s="937"/>
      <c r="B41" s="486"/>
      <c r="C41" s="487" t="s">
        <v>65</v>
      </c>
      <c r="D41" s="562"/>
      <c r="E41" s="563"/>
      <c r="F41" s="563"/>
      <c r="G41" s="563"/>
      <c r="H41" s="488">
        <f>VLOOKUP(H40,Check2,5,FALSE)</f>
        <v>4201</v>
      </c>
      <c r="I41" s="583"/>
      <c r="J41" s="583"/>
      <c r="K41" s="583"/>
      <c r="L41" s="583"/>
      <c r="M41" s="583"/>
      <c r="N41" s="584"/>
      <c r="O41" s="539">
        <f>VLOOKUP(O40,Check2,5,FALSE)</f>
        <v>4202</v>
      </c>
      <c r="P41" s="539"/>
      <c r="Q41" s="490"/>
      <c r="R41" s="539">
        <f>VLOOKUP(R40,Check2,5,FALSE)</f>
        <v>4203</v>
      </c>
      <c r="S41" s="539"/>
      <c r="T41" s="490"/>
      <c r="U41" s="490"/>
      <c r="V41" s="539">
        <f>VLOOKUP(V40,Check2,5,FALSE)</f>
        <v>4204</v>
      </c>
      <c r="W41" s="539"/>
      <c r="X41" s="539"/>
      <c r="Y41" s="539"/>
      <c r="Z41" s="491">
        <f>VLOOKUP(Z40,Check2,5,FALSE)</f>
        <v>4205</v>
      </c>
      <c r="AA41" s="491"/>
      <c r="AB41" s="449"/>
      <c r="AC41" s="1030" t="s">
        <v>9</v>
      </c>
      <c r="AD41" s="1032">
        <f>COUNTIF(Check[סימון],("S."&amp;"*"&amp;$AC41&amp;"."&amp;AD$5&amp;"*"))</f>
        <v>10</v>
      </c>
      <c r="AE41" s="1034">
        <f>COUNTIF(Check[סימון],("O."&amp;"*"&amp;$AC41&amp;"."&amp;AE$5&amp;"*"))</f>
        <v>13</v>
      </c>
      <c r="AF41" s="1054">
        <f>COUNTIF(Check[סימון],("V."&amp;"*"&amp;$AC41&amp;"."&amp;AF$5&amp;"*"))</f>
        <v>9</v>
      </c>
      <c r="AG41" s="1056">
        <f>SUM(AD41:AF41)</f>
        <v>32</v>
      </c>
      <c r="AH41" s="1040">
        <f>SUM(AI41,AG41)</f>
        <v>63</v>
      </c>
      <c r="AI41" s="1042">
        <f>SUM(AJ41:AL41)</f>
        <v>31</v>
      </c>
      <c r="AJ41" s="1058">
        <f>COUNTIF(Check[סימון],("V."&amp;"*"&amp;$AC41&amp;"."&amp;AJ$5&amp;"*"))</f>
        <v>11</v>
      </c>
      <c r="AK41" s="1034">
        <f>COUNTIF(Check[סימון],("O."&amp;"*"&amp;$AC41&amp;"."&amp;AK$5&amp;"*"))</f>
        <v>0</v>
      </c>
      <c r="AL41" s="1064">
        <f>COUNTIF(Check[סימון],("S."&amp;"*"&amp;$AC41&amp;"."&amp;AL$5&amp;"*"))</f>
        <v>20</v>
      </c>
      <c r="AM41" s="1066" t="s">
        <v>20</v>
      </c>
      <c r="AN41" s="637"/>
      <c r="AO41" s="492">
        <f>VLOOKUP(AO40,Check2,5,FALSE)</f>
        <v>4202</v>
      </c>
      <c r="AP41" s="543"/>
      <c r="AQ41" s="589">
        <f>VLOOKUP(AQ40,Check2,5,FALSE)</f>
        <v>4203</v>
      </c>
      <c r="AR41" s="543"/>
      <c r="AS41" s="589">
        <f>VLOOKUP(AS40,Check2,5,FALSE)</f>
        <v>4204</v>
      </c>
      <c r="AT41" s="489"/>
      <c r="AU41" s="489"/>
      <c r="AV41" s="543"/>
      <c r="AW41" s="589">
        <f>VLOOKUP(AW40,Check2,5,FALSE)</f>
        <v>4205</v>
      </c>
      <c r="AX41" s="590"/>
      <c r="AY41" s="584"/>
      <c r="AZ41" s="584"/>
      <c r="BA41" s="589">
        <f>VLOOKUP(BA40,Check2,5,FALSE)</f>
        <v>4201</v>
      </c>
      <c r="BB41" s="590"/>
      <c r="BC41" s="591"/>
      <c r="BD41" s="591"/>
      <c r="BE41" s="591"/>
      <c r="BF41" s="591"/>
      <c r="BG41" s="592"/>
      <c r="BH41" s="563"/>
      <c r="BI41" s="563"/>
      <c r="BJ41" s="563"/>
      <c r="BK41" s="564"/>
      <c r="BL41" s="495" t="s">
        <v>65</v>
      </c>
      <c r="BM41" s="486"/>
      <c r="BN41" s="955"/>
      <c r="BO41" s="434"/>
      <c r="BP41" s="496" t="s">
        <v>1078</v>
      </c>
    </row>
    <row r="42" spans="1:68" ht="22.5" thickBot="1" x14ac:dyDescent="0.45">
      <c r="A42" s="1014"/>
      <c r="B42" s="593">
        <f t="shared" ref="B42" si="173">B46+3.6</f>
        <v>153.64000000000001</v>
      </c>
      <c r="C42" s="594" t="s">
        <v>1</v>
      </c>
      <c r="D42" s="567"/>
      <c r="E42" s="568"/>
      <c r="F42" s="568"/>
      <c r="G42" s="568"/>
      <c r="H42" s="595" t="str">
        <f>VLOOKUP(H40,Check2,6,FALSE)</f>
        <v>4D</v>
      </c>
      <c r="I42" s="596"/>
      <c r="J42" s="596"/>
      <c r="K42" s="596"/>
      <c r="L42" s="596"/>
      <c r="M42" s="596"/>
      <c r="N42" s="597"/>
      <c r="O42" s="548" t="str">
        <f>VLOOKUP(O40,Check2,6,FALSE)</f>
        <v>4E</v>
      </c>
      <c r="P42" s="548"/>
      <c r="Q42" s="549"/>
      <c r="R42" s="548" t="str">
        <f>VLOOKUP(R40,Check2,6,FALSE)</f>
        <v>4F</v>
      </c>
      <c r="S42" s="548"/>
      <c r="T42" s="549"/>
      <c r="U42" s="549"/>
      <c r="V42" s="638" t="str">
        <f>VLOOKUP(V40,Check2,6,FALSE)</f>
        <v>5CP</v>
      </c>
      <c r="W42" s="638"/>
      <c r="X42" s="638"/>
      <c r="Y42" s="638"/>
      <c r="Z42" s="639" t="str">
        <f>VLOOKUP(Z40,Check2,6,FALSE)</f>
        <v>4BP</v>
      </c>
      <c r="AA42" s="615"/>
      <c r="AB42" s="503"/>
      <c r="AC42" s="1031"/>
      <c r="AD42" s="1033"/>
      <c r="AE42" s="1035"/>
      <c r="AF42" s="1055"/>
      <c r="AG42" s="1057"/>
      <c r="AH42" s="1041"/>
      <c r="AI42" s="1043"/>
      <c r="AJ42" s="1059"/>
      <c r="AK42" s="1035"/>
      <c r="AL42" s="1065"/>
      <c r="AM42" s="1067"/>
      <c r="AN42" s="640"/>
      <c r="AO42" s="602" t="str">
        <f>VLOOKUP(AO40,Check2,6,FALSE)</f>
        <v>5BP</v>
      </c>
      <c r="AP42" s="553"/>
      <c r="AQ42" s="603" t="str">
        <f>VLOOKUP(AQ40,Check2,6,FALSE)</f>
        <v>5AP</v>
      </c>
      <c r="AR42" s="553"/>
      <c r="AS42" s="603" t="str">
        <f>VLOOKUP(AS40,Check2,6,FALSE)</f>
        <v>4F</v>
      </c>
      <c r="AT42" s="552"/>
      <c r="AU42" s="552"/>
      <c r="AV42" s="553"/>
      <c r="AW42" s="603" t="str">
        <f>VLOOKUP(AW40,Check2,6,FALSE)</f>
        <v>4E</v>
      </c>
      <c r="AX42" s="604"/>
      <c r="AY42" s="597"/>
      <c r="AZ42" s="597"/>
      <c r="BA42" s="603" t="str">
        <f>VLOOKUP(BA40,Check2,6,FALSE)</f>
        <v>4D</v>
      </c>
      <c r="BB42" s="604"/>
      <c r="BC42" s="605"/>
      <c r="BD42" s="605"/>
      <c r="BE42" s="605"/>
      <c r="BF42" s="605"/>
      <c r="BG42" s="606"/>
      <c r="BH42" s="568"/>
      <c r="BI42" s="568"/>
      <c r="BJ42" s="568"/>
      <c r="BK42" s="572"/>
      <c r="BL42" s="607" t="s">
        <v>1</v>
      </c>
      <c r="BM42" s="593">
        <f t="shared" ref="BM42" si="174">BM46+3.6</f>
        <v>153.64000000000001</v>
      </c>
      <c r="BN42" s="1015"/>
      <c r="BO42" s="509"/>
      <c r="BP42" s="510" t="s">
        <v>1</v>
      </c>
    </row>
    <row r="43" spans="1:68" ht="26.25" thickTop="1" x14ac:dyDescent="0.45">
      <c r="A43" s="937"/>
      <c r="B43" s="469" t="str">
        <f t="shared" ref="B43" si="175">_xlfn.CONCAT("קומה ",B44)</f>
        <v>קומה 41</v>
      </c>
      <c r="C43" s="473" t="s">
        <v>0</v>
      </c>
      <c r="D43" s="556"/>
      <c r="E43" s="557"/>
      <c r="F43" s="557"/>
      <c r="G43" s="557"/>
      <c r="H43" s="460">
        <f t="shared" ref="H43" si="176">H47+5</f>
        <v>298</v>
      </c>
      <c r="I43" s="574"/>
      <c r="J43" s="574"/>
      <c r="K43" s="574"/>
      <c r="L43" s="574"/>
      <c r="M43" s="574"/>
      <c r="N43" s="520"/>
      <c r="O43" s="514">
        <f t="shared" ref="O43" si="177">O47+5</f>
        <v>299</v>
      </c>
      <c r="P43" s="514"/>
      <c r="Q43" s="462"/>
      <c r="R43" s="514">
        <f t="shared" ref="R43" si="178">R47+5</f>
        <v>300</v>
      </c>
      <c r="S43" s="514"/>
      <c r="T43" s="462"/>
      <c r="U43" s="641"/>
      <c r="V43" s="642">
        <f t="shared" ref="V43" si="179">V47+5</f>
        <v>301</v>
      </c>
      <c r="W43" s="643"/>
      <c r="X43" s="643"/>
      <c r="Y43" s="643">
        <f t="shared" ref="Y43" si="180">Y47+5</f>
        <v>302</v>
      </c>
      <c r="Z43" s="644"/>
      <c r="AA43" s="645"/>
      <c r="AB43" s="464"/>
      <c r="AC43" s="616" t="s">
        <v>19</v>
      </c>
      <c r="AD43" s="617">
        <f>COUNTIF(Check[סימון],("S."&amp;"*"&amp;$AC43&amp;"."&amp;AD$5&amp;"*"))</f>
        <v>0</v>
      </c>
      <c r="AE43" s="618">
        <f>COUNTIF(Check[סימון],("O."&amp;"*"&amp;$AC43&amp;"."&amp;AE$5&amp;"*"))</f>
        <v>2</v>
      </c>
      <c r="AF43" s="619">
        <f>COUNTIF(Check[סימון],("V."&amp;"*"&amp;$AC43&amp;"."&amp;AF$5&amp;"*"))</f>
        <v>9</v>
      </c>
      <c r="AG43" s="620">
        <f>SUM(AD43:AF43)</f>
        <v>11</v>
      </c>
      <c r="AH43" s="621">
        <f>SUM(AI43,AG43)</f>
        <v>21</v>
      </c>
      <c r="AI43" s="622">
        <f>SUM(AJ43:AL43)</f>
        <v>10</v>
      </c>
      <c r="AJ43" s="623">
        <f>COUNTIF(Check[סימון],("V."&amp;"*"&amp;$AC43&amp;"."&amp;AJ$5&amp;"*"))</f>
        <v>0</v>
      </c>
      <c r="AK43" s="618">
        <f>COUNTIF(Check[סימון],("O."&amp;"*"&amp;$AC43&amp;"."&amp;AK$5&amp;"*"))</f>
        <v>0</v>
      </c>
      <c r="AL43" s="624">
        <f>COUNTIF(Check[סימון],("S."&amp;"*"&amp;$AC43&amp;"."&amp;AL$5&amp;"*"))</f>
        <v>10</v>
      </c>
      <c r="AM43" s="625" t="s">
        <v>19</v>
      </c>
      <c r="AN43" s="626"/>
      <c r="AO43" s="465">
        <f t="shared" ref="AO43" si="181">AO47+5</f>
        <v>296</v>
      </c>
      <c r="AP43" s="520"/>
      <c r="AQ43" s="578">
        <f t="shared" ref="AQ43" si="182">AQ47+5</f>
        <v>295</v>
      </c>
      <c r="AR43" s="520"/>
      <c r="AS43" s="578">
        <f t="shared" ref="AS43" si="183">AS47+5</f>
        <v>294</v>
      </c>
      <c r="AT43" s="461"/>
      <c r="AU43" s="461"/>
      <c r="AV43" s="520"/>
      <c r="AW43" s="578">
        <f t="shared" ref="AW43" si="184">AW47+5</f>
        <v>293</v>
      </c>
      <c r="AX43" s="461"/>
      <c r="AY43" s="520"/>
      <c r="AZ43" s="520"/>
      <c r="BA43" s="578">
        <f t="shared" ref="BA43" si="185">BA47+5</f>
        <v>292</v>
      </c>
      <c r="BB43" s="461"/>
      <c r="BC43" s="466"/>
      <c r="BD43" s="466"/>
      <c r="BE43" s="466"/>
      <c r="BF43" s="466"/>
      <c r="BG43" s="579"/>
      <c r="BH43" s="557"/>
      <c r="BI43" s="557"/>
      <c r="BJ43" s="557"/>
      <c r="BK43" s="559"/>
      <c r="BL43" s="483" t="s">
        <v>0</v>
      </c>
      <c r="BM43" s="469" t="str">
        <f t="shared" ref="BM43" si="186">_xlfn.CONCAT("קומה ",BM44)</f>
        <v>קומה 41</v>
      </c>
      <c r="BN43" s="955"/>
      <c r="BO43" s="470"/>
      <c r="BP43" s="471" t="s">
        <v>0</v>
      </c>
    </row>
    <row r="44" spans="1:68" ht="25.5" hidden="1" x14ac:dyDescent="0.3">
      <c r="A44" s="937"/>
      <c r="B44" s="472">
        <f t="shared" si="40"/>
        <v>41</v>
      </c>
      <c r="C44" s="473" t="s">
        <v>89</v>
      </c>
      <c r="D44" s="560"/>
      <c r="E44" s="535"/>
      <c r="F44" s="535"/>
      <c r="G44" s="535"/>
      <c r="H44" s="475" t="str">
        <f>VLOOKUP("*"&amp;H$5&amp;".Ap."&amp;H43,Check2,1,FALSE)</f>
        <v>V.GMS.P.4D.TS.Ap.298</v>
      </c>
      <c r="I44" s="525" t="str">
        <f t="shared" ref="I44:N44" si="187">H44</f>
        <v>V.GMS.P.4D.TS.Ap.298</v>
      </c>
      <c r="J44" s="525" t="str">
        <f t="shared" si="187"/>
        <v>V.GMS.P.4D.TS.Ap.298</v>
      </c>
      <c r="K44" s="525" t="str">
        <f t="shared" si="187"/>
        <v>V.GMS.P.4D.TS.Ap.298</v>
      </c>
      <c r="L44" s="525" t="str">
        <f t="shared" si="187"/>
        <v>V.GMS.P.4D.TS.Ap.298</v>
      </c>
      <c r="M44" s="525" t="str">
        <f t="shared" si="187"/>
        <v>V.GMS.P.4D.TS.Ap.298</v>
      </c>
      <c r="N44" s="477" t="str">
        <f t="shared" si="187"/>
        <v>V.GMS.P.4D.TS.Ap.298</v>
      </c>
      <c r="O44" s="525" t="str">
        <f>VLOOKUP("*"&amp;O$5&amp;".Ap."&amp;O43,Check2,1,FALSE)</f>
        <v>O.P.4E.TS.Ap.299</v>
      </c>
      <c r="P44" s="525" t="str">
        <f t="shared" ref="P44:Q44" si="188">O44</f>
        <v>O.P.4E.TS.Ap.299</v>
      </c>
      <c r="Q44" s="477" t="str">
        <f t="shared" si="188"/>
        <v>O.P.4E.TS.Ap.299</v>
      </c>
      <c r="R44" s="525" t="str">
        <f>VLOOKUP("*"&amp;R$5&amp;".Ap."&amp;R43,Check2,1,FALSE)</f>
        <v>O.P.4F.TS.Ap.300</v>
      </c>
      <c r="S44" s="525" t="str">
        <f t="shared" ref="S44:U44" si="189">R44</f>
        <v>O.P.4F.TS.Ap.300</v>
      </c>
      <c r="T44" s="477" t="str">
        <f t="shared" si="189"/>
        <v>O.P.4F.TS.Ap.300</v>
      </c>
      <c r="U44" s="534" t="str">
        <f t="shared" si="189"/>
        <v>O.P.4F.TS.Ap.300</v>
      </c>
      <c r="V44" s="656" t="str">
        <f>VLOOKUP("*"&amp;V$5&amp;".Ap."&amp;V43,Check2,1,FALSE)</f>
        <v>S.P.5AP.TS.Ap.301</v>
      </c>
      <c r="W44" s="525" t="str">
        <f t="shared" si="44"/>
        <v>S.P.5AP.TS.Ap.301</v>
      </c>
      <c r="X44" s="525" t="str">
        <f t="shared" ref="X44" si="190">V44</f>
        <v>S.P.5AP.TS.Ap.301</v>
      </c>
      <c r="Y44" s="525" t="str">
        <f>VLOOKUP("*"&amp;Y$5&amp;".Ap."&amp;Y43,Check2,1,FALSE)</f>
        <v>S.P.5BP.TS.Ap.302</v>
      </c>
      <c r="Z44" s="478" t="str">
        <f t="shared" si="46"/>
        <v>S.P.5BP.TS.Ap.302</v>
      </c>
      <c r="AA44" s="657" t="str">
        <f t="shared" ref="AA44" si="191">Y44</f>
        <v>S.P.5BP.TS.Ap.302</v>
      </c>
      <c r="AB44" s="479"/>
      <c r="AC44" s="627"/>
      <c r="AD44" s="628"/>
      <c r="AE44" s="629"/>
      <c r="AF44" s="630"/>
      <c r="AG44" s="631"/>
      <c r="AH44" s="632"/>
      <c r="AI44" s="627"/>
      <c r="AJ44" s="633"/>
      <c r="AK44" s="629"/>
      <c r="AL44" s="634"/>
      <c r="AM44" s="635"/>
      <c r="AN44" s="636"/>
      <c r="AO44" s="480" t="str">
        <f>VLOOKUP("*"&amp;AO$5&amp;".Ap."&amp;AO43,Check2,1,FALSE)</f>
        <v>S.P.5BP.TN.Ap.296</v>
      </c>
      <c r="AP44" s="477" t="str">
        <f t="shared" ref="AP44" si="192">AO44</f>
        <v>S.P.5BP.TN.Ap.296</v>
      </c>
      <c r="AQ44" s="533" t="str">
        <f>VLOOKUP("*"&amp;AQ$5&amp;".Ap."&amp;AQ43,Check2,1,FALSE)</f>
        <v>S.P.5AP.TN.Ap.295</v>
      </c>
      <c r="AR44" s="477" t="str">
        <f t="shared" ref="AR44" si="193">AQ44</f>
        <v>S.P.5AP.TN.Ap.295</v>
      </c>
      <c r="AS44" s="533" t="str">
        <f>VLOOKUP("*"&amp;AS$5&amp;".Ap."&amp;AS43,Check2,1,FALSE)</f>
        <v>S.P.4F.TN.Ap.294</v>
      </c>
      <c r="AT44" s="476" t="str">
        <f t="shared" ref="AT44:AV44" si="194">AS44</f>
        <v>S.P.4F.TN.Ap.294</v>
      </c>
      <c r="AU44" s="476" t="str">
        <f t="shared" si="194"/>
        <v>S.P.4F.TN.Ap.294</v>
      </c>
      <c r="AV44" s="477" t="str">
        <f t="shared" si="194"/>
        <v>S.P.4F.TN.Ap.294</v>
      </c>
      <c r="AW44" s="533" t="str">
        <f>VLOOKUP("*"&amp;AW$5&amp;".Ap."&amp;AW43,Check2,1,FALSE)</f>
        <v>S.P.4E.TN.Ap.293</v>
      </c>
      <c r="AX44" s="476" t="str">
        <f t="shared" ref="AX44:AZ44" si="195">AW44</f>
        <v>S.P.4E.TN.Ap.293</v>
      </c>
      <c r="AY44" s="477" t="str">
        <f t="shared" si="195"/>
        <v>S.P.4E.TN.Ap.293</v>
      </c>
      <c r="AZ44" s="477" t="str">
        <f t="shared" si="195"/>
        <v>S.P.4E.TN.Ap.293</v>
      </c>
      <c r="BA44" s="533" t="str">
        <f>VLOOKUP("*"&amp;BA$5&amp;".Ap."&amp;BA43,Check2,1,FALSE)</f>
        <v>V.GMS.P.4D.TN.Ap.292</v>
      </c>
      <c r="BB44" s="476" t="str">
        <f t="shared" ref="BB44:BG44" si="196">BA44</f>
        <v>V.GMS.P.4D.TN.Ap.292</v>
      </c>
      <c r="BC44" s="481" t="str">
        <f t="shared" si="196"/>
        <v>V.GMS.P.4D.TN.Ap.292</v>
      </c>
      <c r="BD44" s="481" t="str">
        <f t="shared" si="196"/>
        <v>V.GMS.P.4D.TN.Ap.292</v>
      </c>
      <c r="BE44" s="481" t="str">
        <f t="shared" si="196"/>
        <v>V.GMS.P.4D.TN.Ap.292</v>
      </c>
      <c r="BF44" s="481" t="str">
        <f t="shared" si="196"/>
        <v>V.GMS.P.4D.TN.Ap.292</v>
      </c>
      <c r="BG44" s="534" t="str">
        <f t="shared" si="196"/>
        <v>V.GMS.P.4D.TN.Ap.292</v>
      </c>
      <c r="BH44" s="535"/>
      <c r="BI44" s="535"/>
      <c r="BJ44" s="535"/>
      <c r="BK44" s="561"/>
      <c r="BL44" s="483" t="s">
        <v>89</v>
      </c>
      <c r="BM44" s="472">
        <f t="shared" si="53"/>
        <v>41</v>
      </c>
      <c r="BN44" s="955"/>
      <c r="BO44" s="484"/>
      <c r="BP44" s="485" t="s">
        <v>89</v>
      </c>
    </row>
    <row r="45" spans="1:68" ht="21.75" x14ac:dyDescent="0.3">
      <c r="A45" s="937"/>
      <c r="B45" s="486"/>
      <c r="C45" s="487" t="s">
        <v>65</v>
      </c>
      <c r="D45" s="562"/>
      <c r="E45" s="563"/>
      <c r="F45" s="563"/>
      <c r="G45" s="563"/>
      <c r="H45" s="488">
        <f>VLOOKUP(H44,Check2,5,FALSE)</f>
        <v>4101</v>
      </c>
      <c r="I45" s="583"/>
      <c r="J45" s="583"/>
      <c r="K45" s="583"/>
      <c r="L45" s="583"/>
      <c r="M45" s="583"/>
      <c r="N45" s="584"/>
      <c r="O45" s="539">
        <f>VLOOKUP(O44,Check2,5,FALSE)</f>
        <v>4102</v>
      </c>
      <c r="P45" s="539"/>
      <c r="Q45" s="490"/>
      <c r="R45" s="539">
        <f>VLOOKUP(R44,Check2,5,FALSE)</f>
        <v>4103</v>
      </c>
      <c r="S45" s="539"/>
      <c r="T45" s="490"/>
      <c r="U45" s="658"/>
      <c r="V45" s="659">
        <f>VLOOKUP(V44,Check2,5,FALSE)</f>
        <v>4104</v>
      </c>
      <c r="W45" s="539"/>
      <c r="X45" s="539"/>
      <c r="Y45" s="539">
        <f>VLOOKUP(Y44,Check2,5,FALSE)</f>
        <v>4105</v>
      </c>
      <c r="Z45" s="491"/>
      <c r="AA45" s="660"/>
      <c r="AB45" s="449"/>
      <c r="AC45" s="1030" t="s">
        <v>18</v>
      </c>
      <c r="AD45" s="1032">
        <f>COUNTIF(Check[סימון],("S."&amp;"*"&amp;$AC45&amp;"."&amp;AD$5&amp;"*"))</f>
        <v>10</v>
      </c>
      <c r="AE45" s="1034">
        <f>COUNTIF(Check[סימון],("O."&amp;"*"&amp;$AC45&amp;"."&amp;AE$5&amp;"*"))</f>
        <v>1</v>
      </c>
      <c r="AF45" s="1054">
        <f>COUNTIF(Check[סימון],("V."&amp;"*"&amp;$AC45&amp;"."&amp;AF$5&amp;"*"))</f>
        <v>0</v>
      </c>
      <c r="AG45" s="1056">
        <f>SUM(AD45:AF45)</f>
        <v>11</v>
      </c>
      <c r="AH45" s="1040">
        <f>SUM(AI45,AG45)</f>
        <v>21</v>
      </c>
      <c r="AI45" s="1042">
        <f>SUM(AJ45:AL45)</f>
        <v>10</v>
      </c>
      <c r="AJ45" s="1058">
        <f>COUNTIF(Check[סימון],("V."&amp;"*"&amp;$AC45&amp;"."&amp;AJ$5&amp;"*"))</f>
        <v>0</v>
      </c>
      <c r="AK45" s="1034">
        <f>COUNTIF(Check[סימון],("O."&amp;"*"&amp;$AC45&amp;"."&amp;AK$5&amp;"*"))</f>
        <v>1</v>
      </c>
      <c r="AL45" s="1064">
        <f>COUNTIF(Check[סימון],("S."&amp;"*"&amp;$AC45&amp;"."&amp;AL$5&amp;"*"))</f>
        <v>9</v>
      </c>
      <c r="AM45" s="1066" t="s">
        <v>20</v>
      </c>
      <c r="AN45" s="637"/>
      <c r="AO45" s="492">
        <f>VLOOKUP(AO44,Check2,5,FALSE)</f>
        <v>4102</v>
      </c>
      <c r="AP45" s="543"/>
      <c r="AQ45" s="589">
        <f>VLOOKUP(AQ44,Check2,5,FALSE)</f>
        <v>4103</v>
      </c>
      <c r="AR45" s="543"/>
      <c r="AS45" s="589">
        <f>VLOOKUP(AS44,Check2,5,FALSE)</f>
        <v>4104</v>
      </c>
      <c r="AT45" s="489"/>
      <c r="AU45" s="489"/>
      <c r="AV45" s="543"/>
      <c r="AW45" s="589">
        <f>VLOOKUP(AW44,Check2,5,FALSE)</f>
        <v>4105</v>
      </c>
      <c r="AX45" s="590"/>
      <c r="AY45" s="584"/>
      <c r="AZ45" s="584"/>
      <c r="BA45" s="589">
        <f>VLOOKUP(BA44,Check2,5,FALSE)</f>
        <v>4101</v>
      </c>
      <c r="BB45" s="590"/>
      <c r="BC45" s="591"/>
      <c r="BD45" s="591"/>
      <c r="BE45" s="591"/>
      <c r="BF45" s="591"/>
      <c r="BG45" s="592"/>
      <c r="BH45" s="563"/>
      <c r="BI45" s="563"/>
      <c r="BJ45" s="563"/>
      <c r="BK45" s="564"/>
      <c r="BL45" s="495" t="s">
        <v>65</v>
      </c>
      <c r="BM45" s="486"/>
      <c r="BN45" s="955"/>
      <c r="BO45" s="434"/>
      <c r="BP45" s="496" t="s">
        <v>1078</v>
      </c>
    </row>
    <row r="46" spans="1:68" ht="22.5" thickBot="1" x14ac:dyDescent="0.45">
      <c r="A46" s="1014"/>
      <c r="B46" s="593">
        <f t="shared" ref="B46" si="197">B50+3.6</f>
        <v>150.04000000000002</v>
      </c>
      <c r="C46" s="594" t="s">
        <v>1</v>
      </c>
      <c r="D46" s="567"/>
      <c r="E46" s="568"/>
      <c r="F46" s="568"/>
      <c r="G46" s="568"/>
      <c r="H46" s="595" t="str">
        <f>VLOOKUP(H44,Check2,6,FALSE)</f>
        <v>4D</v>
      </c>
      <c r="I46" s="596"/>
      <c r="J46" s="596"/>
      <c r="K46" s="596"/>
      <c r="L46" s="596"/>
      <c r="M46" s="596"/>
      <c r="N46" s="597"/>
      <c r="O46" s="638" t="str">
        <f>VLOOKUP(O44,Check2,6,FALSE)</f>
        <v>4E</v>
      </c>
      <c r="P46" s="638"/>
      <c r="Q46" s="676"/>
      <c r="R46" s="638" t="str">
        <f>VLOOKUP(R44,Check2,6,FALSE)</f>
        <v>4F</v>
      </c>
      <c r="S46" s="638"/>
      <c r="T46" s="676"/>
      <c r="U46" s="677"/>
      <c r="V46" s="662" t="str">
        <f>VLOOKUP(V44,Check2,6,FALSE)</f>
        <v>5AP</v>
      </c>
      <c r="W46" s="663"/>
      <c r="X46" s="663"/>
      <c r="Y46" s="663" t="str">
        <f>VLOOKUP(Y44,Check2,6,FALSE)</f>
        <v>5BP</v>
      </c>
      <c r="Z46" s="664"/>
      <c r="AA46" s="665"/>
      <c r="AB46" s="503"/>
      <c r="AC46" s="1031"/>
      <c r="AD46" s="1033"/>
      <c r="AE46" s="1035"/>
      <c r="AF46" s="1055"/>
      <c r="AG46" s="1057"/>
      <c r="AH46" s="1041"/>
      <c r="AI46" s="1043"/>
      <c r="AJ46" s="1059"/>
      <c r="AK46" s="1035"/>
      <c r="AL46" s="1065"/>
      <c r="AM46" s="1067"/>
      <c r="AN46" s="640"/>
      <c r="AO46" s="602" t="str">
        <f>VLOOKUP(AO44,Check2,6,FALSE)</f>
        <v>5BP</v>
      </c>
      <c r="AP46" s="553"/>
      <c r="AQ46" s="603" t="str">
        <f>VLOOKUP(AQ44,Check2,6,FALSE)</f>
        <v>5AP</v>
      </c>
      <c r="AR46" s="553"/>
      <c r="AS46" s="603" t="str">
        <f>VLOOKUP(AS44,Check2,6,FALSE)</f>
        <v>4F</v>
      </c>
      <c r="AT46" s="552"/>
      <c r="AU46" s="552"/>
      <c r="AV46" s="553"/>
      <c r="AW46" s="603" t="str">
        <f>VLOOKUP(AW44,Check2,6,FALSE)</f>
        <v>4E</v>
      </c>
      <c r="AX46" s="604"/>
      <c r="AY46" s="597"/>
      <c r="AZ46" s="597"/>
      <c r="BA46" s="603" t="str">
        <f>VLOOKUP(BA44,Check2,6,FALSE)</f>
        <v>4D</v>
      </c>
      <c r="BB46" s="604"/>
      <c r="BC46" s="605"/>
      <c r="BD46" s="605"/>
      <c r="BE46" s="605"/>
      <c r="BF46" s="605"/>
      <c r="BG46" s="606"/>
      <c r="BH46" s="568"/>
      <c r="BI46" s="568"/>
      <c r="BJ46" s="568"/>
      <c r="BK46" s="572"/>
      <c r="BL46" s="607" t="s">
        <v>1</v>
      </c>
      <c r="BM46" s="593">
        <f t="shared" ref="BM46" si="198">BM50+3.6</f>
        <v>150.04000000000002</v>
      </c>
      <c r="BN46" s="1015"/>
      <c r="BO46" s="509"/>
      <c r="BP46" s="510" t="s">
        <v>1</v>
      </c>
    </row>
    <row r="47" spans="1:68" ht="26.25" thickTop="1" x14ac:dyDescent="0.45">
      <c r="A47" s="937"/>
      <c r="B47" s="469" t="str">
        <f t="shared" ref="B47" si="199">_xlfn.CONCAT("קומה ",B48)</f>
        <v>קומה 40</v>
      </c>
      <c r="C47" s="473" t="s">
        <v>0</v>
      </c>
      <c r="D47" s="556"/>
      <c r="E47" s="557"/>
      <c r="F47" s="557"/>
      <c r="G47" s="557"/>
      <c r="H47" s="460">
        <f t="shared" ref="H47" si="200">H51+5</f>
        <v>293</v>
      </c>
      <c r="I47" s="574"/>
      <c r="J47" s="574"/>
      <c r="K47" s="574"/>
      <c r="L47" s="574"/>
      <c r="M47" s="574"/>
      <c r="N47" s="579"/>
      <c r="O47" s="642">
        <f t="shared" ref="O47" si="201">O51+5</f>
        <v>294</v>
      </c>
      <c r="P47" s="643"/>
      <c r="Q47" s="678"/>
      <c r="R47" s="643">
        <f t="shared" ref="R47" si="202">R51+5</f>
        <v>295</v>
      </c>
      <c r="S47" s="643"/>
      <c r="T47" s="678"/>
      <c r="U47" s="679"/>
      <c r="V47" s="460">
        <f t="shared" ref="V47" si="203">V51+5</f>
        <v>296</v>
      </c>
      <c r="W47" s="514"/>
      <c r="X47" s="514"/>
      <c r="Y47" s="514">
        <f t="shared" ref="Y47" si="204">Y51+5</f>
        <v>297</v>
      </c>
      <c r="Z47" s="463"/>
      <c r="AA47" s="463"/>
      <c r="AB47" s="464"/>
      <c r="AC47" s="616" t="s">
        <v>21</v>
      </c>
      <c r="AD47" s="617">
        <f>COUNTIF(Check[סימון],("S."&amp;"*"&amp;$AC47&amp;"."&amp;AD$5&amp;"*"))</f>
        <v>10</v>
      </c>
      <c r="AE47" s="618">
        <f>COUNTIF(Check[סימון],("O."&amp;"*"&amp;$AC47&amp;"."&amp;AE$5&amp;"*"))</f>
        <v>1</v>
      </c>
      <c r="AF47" s="619">
        <f>COUNTIF(Check[סימון],("V."&amp;"*"&amp;$AC47&amp;"."&amp;AF$5&amp;"*"))</f>
        <v>0</v>
      </c>
      <c r="AG47" s="620">
        <f>SUM(AD47:AF47)</f>
        <v>11</v>
      </c>
      <c r="AH47" s="621">
        <f>SUM(AI47,AG47)</f>
        <v>21</v>
      </c>
      <c r="AI47" s="622">
        <f>SUM(AJ47:AL47)</f>
        <v>10</v>
      </c>
      <c r="AJ47" s="623">
        <f>COUNTIF(Check[סימון],("V."&amp;"*"&amp;$AC47&amp;"."&amp;AJ$5&amp;"*"))</f>
        <v>0</v>
      </c>
      <c r="AK47" s="618">
        <f>COUNTIF(Check[סימון],("O."&amp;"*"&amp;$AC47&amp;"."&amp;AK$5&amp;"*"))</f>
        <v>0</v>
      </c>
      <c r="AL47" s="624">
        <f>COUNTIF(Check[סימון],("S."&amp;"*"&amp;$AC47&amp;"."&amp;AL$5&amp;"*"))</f>
        <v>10</v>
      </c>
      <c r="AM47" s="625" t="s">
        <v>21</v>
      </c>
      <c r="AN47" s="626"/>
      <c r="AO47" s="465">
        <f t="shared" ref="AO47" si="205">AO51+5</f>
        <v>291</v>
      </c>
      <c r="AP47" s="520"/>
      <c r="AQ47" s="578">
        <f t="shared" ref="AQ47" si="206">AQ51+5</f>
        <v>290</v>
      </c>
      <c r="AR47" s="520"/>
      <c r="AS47" s="578">
        <f t="shared" ref="AS47" si="207">AS51+5</f>
        <v>289</v>
      </c>
      <c r="AT47" s="461"/>
      <c r="AU47" s="461"/>
      <c r="AV47" s="520"/>
      <c r="AW47" s="578">
        <f t="shared" ref="AW47" si="208">AW51+5</f>
        <v>288</v>
      </c>
      <c r="AX47" s="461"/>
      <c r="AY47" s="520"/>
      <c r="AZ47" s="520"/>
      <c r="BA47" s="578">
        <f t="shared" ref="BA47" si="209">BA51+5</f>
        <v>287</v>
      </c>
      <c r="BB47" s="461"/>
      <c r="BC47" s="466"/>
      <c r="BD47" s="466"/>
      <c r="BE47" s="466"/>
      <c r="BF47" s="466"/>
      <c r="BG47" s="579"/>
      <c r="BH47" s="557"/>
      <c r="BI47" s="557"/>
      <c r="BJ47" s="557"/>
      <c r="BK47" s="559"/>
      <c r="BL47" s="483" t="s">
        <v>0</v>
      </c>
      <c r="BM47" s="469" t="str">
        <f t="shared" ref="BM47" si="210">_xlfn.CONCAT("קומה ",BM48)</f>
        <v>קומה 40</v>
      </c>
      <c r="BN47" s="955"/>
      <c r="BO47" s="470"/>
      <c r="BP47" s="471" t="s">
        <v>0</v>
      </c>
    </row>
    <row r="48" spans="1:68" ht="25.5" hidden="1" x14ac:dyDescent="0.3">
      <c r="A48" s="937"/>
      <c r="B48" s="472">
        <f t="shared" si="40"/>
        <v>40</v>
      </c>
      <c r="C48" s="473" t="s">
        <v>89</v>
      </c>
      <c r="D48" s="560"/>
      <c r="E48" s="535"/>
      <c r="F48" s="535"/>
      <c r="G48" s="535"/>
      <c r="H48" s="475" t="str">
        <f>VLOOKUP("*"&amp;H$5&amp;".Ap."&amp;H47,Check2,1,FALSE)</f>
        <v>S.P.4D.TS.Ap.293</v>
      </c>
      <c r="I48" s="525" t="str">
        <f t="shared" ref="I48:N48" si="211">H48</f>
        <v>S.P.4D.TS.Ap.293</v>
      </c>
      <c r="J48" s="525" t="str">
        <f t="shared" si="211"/>
        <v>S.P.4D.TS.Ap.293</v>
      </c>
      <c r="K48" s="525" t="str">
        <f t="shared" si="211"/>
        <v>S.P.4D.TS.Ap.293</v>
      </c>
      <c r="L48" s="525" t="str">
        <f t="shared" si="211"/>
        <v>S.P.4D.TS.Ap.293</v>
      </c>
      <c r="M48" s="525" t="str">
        <f t="shared" si="211"/>
        <v>S.P.4D.TS.Ap.293</v>
      </c>
      <c r="N48" s="534" t="str">
        <f t="shared" si="211"/>
        <v>S.P.4D.TS.Ap.293</v>
      </c>
      <c r="O48" s="656" t="str">
        <f>VLOOKUP("*"&amp;O$5&amp;".Ap."&amp;O47,Check2,1,FALSE)</f>
        <v>S.P.4E.TS.Ap.294</v>
      </c>
      <c r="P48" s="525" t="str">
        <f t="shared" ref="P48:Q48" si="212">O48</f>
        <v>S.P.4E.TS.Ap.294</v>
      </c>
      <c r="Q48" s="477" t="str">
        <f t="shared" si="212"/>
        <v>S.P.4E.TS.Ap.294</v>
      </c>
      <c r="R48" s="525" t="str">
        <f>VLOOKUP("*"&amp;R$5&amp;".Ap."&amp;R47,Check2,1,FALSE)</f>
        <v>S.P.4F.TS.Ap.295</v>
      </c>
      <c r="S48" s="525" t="str">
        <f t="shared" ref="S48:U48" si="213">R48</f>
        <v>S.P.4F.TS.Ap.295</v>
      </c>
      <c r="T48" s="477" t="str">
        <f t="shared" si="213"/>
        <v>S.P.4F.TS.Ap.295</v>
      </c>
      <c r="U48" s="680" t="str">
        <f t="shared" si="213"/>
        <v>S.P.4F.TS.Ap.295</v>
      </c>
      <c r="V48" s="475" t="str">
        <f>VLOOKUP("*"&amp;V$5&amp;".Ap."&amp;V47,Check2,1,FALSE)</f>
        <v>S.P.5AP.TS.Ap.296</v>
      </c>
      <c r="W48" s="525" t="str">
        <f t="shared" si="44"/>
        <v>S.P.5AP.TS.Ap.296</v>
      </c>
      <c r="X48" s="525" t="str">
        <f t="shared" ref="X48" si="214">V48</f>
        <v>S.P.5AP.TS.Ap.296</v>
      </c>
      <c r="Y48" s="525" t="str">
        <f>VLOOKUP("*"&amp;Y$5&amp;".Ap."&amp;Y47,Check2,1,FALSE)</f>
        <v>V.GM.P.5BP.TS.Ap.297</v>
      </c>
      <c r="Z48" s="478" t="str">
        <f t="shared" si="46"/>
        <v>V.GM.P.5BP.TS.Ap.297</v>
      </c>
      <c r="AA48" s="478" t="str">
        <f t="shared" ref="AA48" si="215">Y48</f>
        <v>V.GM.P.5BP.TS.Ap.297</v>
      </c>
      <c r="AB48" s="479"/>
      <c r="AC48" s="627"/>
      <c r="AD48" s="628"/>
      <c r="AE48" s="629"/>
      <c r="AF48" s="630"/>
      <c r="AG48" s="631"/>
      <c r="AH48" s="632"/>
      <c r="AI48" s="627"/>
      <c r="AJ48" s="633"/>
      <c r="AK48" s="629"/>
      <c r="AL48" s="634"/>
      <c r="AM48" s="635"/>
      <c r="AN48" s="636"/>
      <c r="AO48" s="480" t="str">
        <f>VLOOKUP("*"&amp;AO$5&amp;".Ap."&amp;AO47,Check2,1,FALSE)</f>
        <v>S.P.5BP.TN.Ap.291</v>
      </c>
      <c r="AP48" s="477" t="str">
        <f t="shared" ref="AP48" si="216">AO48</f>
        <v>S.P.5BP.TN.Ap.291</v>
      </c>
      <c r="AQ48" s="533" t="str">
        <f>VLOOKUP("*"&amp;AQ$5&amp;".Ap."&amp;AQ47,Check2,1,FALSE)</f>
        <v>S.P.5AP.TN.Ap.290</v>
      </c>
      <c r="AR48" s="477" t="str">
        <f t="shared" ref="AR48" si="217">AQ48</f>
        <v>S.P.5AP.TN.Ap.290</v>
      </c>
      <c r="AS48" s="533" t="str">
        <f>VLOOKUP("*"&amp;AS$5&amp;".Ap."&amp;AS47,Check2,1,FALSE)</f>
        <v>O.P.4F.TN.Ap.289</v>
      </c>
      <c r="AT48" s="476" t="str">
        <f t="shared" ref="AT48:AV48" si="218">AS48</f>
        <v>O.P.4F.TN.Ap.289</v>
      </c>
      <c r="AU48" s="476" t="str">
        <f t="shared" si="218"/>
        <v>O.P.4F.TN.Ap.289</v>
      </c>
      <c r="AV48" s="477" t="str">
        <f t="shared" si="218"/>
        <v>O.P.4F.TN.Ap.289</v>
      </c>
      <c r="AW48" s="533" t="str">
        <f>VLOOKUP("*"&amp;AW$5&amp;".Ap."&amp;AW47,Check2,1,FALSE)</f>
        <v>O.P.4E.TN.Ap.288</v>
      </c>
      <c r="AX48" s="476" t="str">
        <f t="shared" ref="AX48:AZ48" si="219">AW48</f>
        <v>O.P.4E.TN.Ap.288</v>
      </c>
      <c r="AY48" s="477" t="str">
        <f t="shared" si="219"/>
        <v>O.P.4E.TN.Ap.288</v>
      </c>
      <c r="AZ48" s="477" t="str">
        <f t="shared" si="219"/>
        <v>O.P.4E.TN.Ap.288</v>
      </c>
      <c r="BA48" s="533" t="str">
        <f>VLOOKUP("*"&amp;BA$5&amp;".Ap."&amp;BA47,Check2,1,FALSE)</f>
        <v>V.GMS.P.4D.TN.Ap.287</v>
      </c>
      <c r="BB48" s="476" t="str">
        <f t="shared" ref="BB48:BG48" si="220">BA48</f>
        <v>V.GMS.P.4D.TN.Ap.287</v>
      </c>
      <c r="BC48" s="481" t="str">
        <f t="shared" si="220"/>
        <v>V.GMS.P.4D.TN.Ap.287</v>
      </c>
      <c r="BD48" s="481" t="str">
        <f t="shared" si="220"/>
        <v>V.GMS.P.4D.TN.Ap.287</v>
      </c>
      <c r="BE48" s="481" t="str">
        <f t="shared" si="220"/>
        <v>V.GMS.P.4D.TN.Ap.287</v>
      </c>
      <c r="BF48" s="481" t="str">
        <f t="shared" si="220"/>
        <v>V.GMS.P.4D.TN.Ap.287</v>
      </c>
      <c r="BG48" s="534" t="str">
        <f t="shared" si="220"/>
        <v>V.GMS.P.4D.TN.Ap.287</v>
      </c>
      <c r="BH48" s="535"/>
      <c r="BI48" s="535"/>
      <c r="BJ48" s="535"/>
      <c r="BK48" s="561"/>
      <c r="BL48" s="483" t="s">
        <v>89</v>
      </c>
      <c r="BM48" s="472">
        <f t="shared" si="53"/>
        <v>40</v>
      </c>
      <c r="BN48" s="955"/>
      <c r="BO48" s="484"/>
      <c r="BP48" s="485" t="s">
        <v>89</v>
      </c>
    </row>
    <row r="49" spans="1:68" ht="21.75" x14ac:dyDescent="0.3">
      <c r="A49" s="937"/>
      <c r="B49" s="486"/>
      <c r="C49" s="487" t="s">
        <v>65</v>
      </c>
      <c r="D49" s="562"/>
      <c r="E49" s="563"/>
      <c r="F49" s="563"/>
      <c r="G49" s="563"/>
      <c r="H49" s="488">
        <f>VLOOKUP(H48,Check2,5,FALSE)</f>
        <v>4001</v>
      </c>
      <c r="I49" s="583"/>
      <c r="J49" s="583"/>
      <c r="K49" s="583"/>
      <c r="L49" s="583"/>
      <c r="M49" s="583"/>
      <c r="N49" s="592"/>
      <c r="O49" s="659">
        <f>VLOOKUP(O48,Check2,5,FALSE)</f>
        <v>4002</v>
      </c>
      <c r="P49" s="539"/>
      <c r="Q49" s="490"/>
      <c r="R49" s="539">
        <f>VLOOKUP(R48,Check2,5,FALSE)</f>
        <v>4003</v>
      </c>
      <c r="S49" s="539"/>
      <c r="T49" s="490"/>
      <c r="U49" s="681"/>
      <c r="V49" s="488">
        <f>VLOOKUP(V48,Check2,5,FALSE)</f>
        <v>4004</v>
      </c>
      <c r="W49" s="539"/>
      <c r="X49" s="539"/>
      <c r="Y49" s="539">
        <f>VLOOKUP(Y48,Check2,5,FALSE)</f>
        <v>4005</v>
      </c>
      <c r="Z49" s="491"/>
      <c r="AA49" s="491"/>
      <c r="AB49" s="449"/>
      <c r="AC49" s="1030" t="s">
        <v>20</v>
      </c>
      <c r="AD49" s="1032">
        <f>COUNTIF(Check[סימון],("S."&amp;"*"&amp;$AC49&amp;"."&amp;AD$5&amp;"*"))</f>
        <v>10</v>
      </c>
      <c r="AE49" s="1034">
        <f>COUNTIF(Check[סימון],("O."&amp;"*"&amp;$AC49&amp;"."&amp;AE$5&amp;"*"))</f>
        <v>1</v>
      </c>
      <c r="AF49" s="1054">
        <f>COUNTIF(Check[סימון],("V."&amp;"*"&amp;$AC49&amp;"."&amp;AF$5&amp;"*"))</f>
        <v>0</v>
      </c>
      <c r="AG49" s="1056">
        <f>SUM(AD49:AF49)</f>
        <v>11</v>
      </c>
      <c r="AH49" s="1040">
        <f>SUM(AI49,AG49)</f>
        <v>21</v>
      </c>
      <c r="AI49" s="1042">
        <f>SUM(AJ49:AL49)</f>
        <v>10</v>
      </c>
      <c r="AJ49" s="1058">
        <f>COUNTIF(Check[סימון],("V."&amp;"*"&amp;$AC49&amp;"."&amp;AJ$5&amp;"*"))</f>
        <v>0</v>
      </c>
      <c r="AK49" s="1034">
        <f>COUNTIF(Check[סימון],("O."&amp;"*"&amp;$AC49&amp;"."&amp;AK$5&amp;"*"))</f>
        <v>0</v>
      </c>
      <c r="AL49" s="1064">
        <f>COUNTIF(Check[סימון],("S."&amp;"*"&amp;$AC49&amp;"."&amp;AL$5&amp;"*"))</f>
        <v>10</v>
      </c>
      <c r="AM49" s="1066" t="s">
        <v>20</v>
      </c>
      <c r="AN49" s="637"/>
      <c r="AO49" s="492">
        <f>VLOOKUP(AO48,Check2,5,FALSE)</f>
        <v>4002</v>
      </c>
      <c r="AP49" s="543"/>
      <c r="AQ49" s="589">
        <f>VLOOKUP(AQ48,Check2,5,FALSE)</f>
        <v>4003</v>
      </c>
      <c r="AR49" s="543"/>
      <c r="AS49" s="589">
        <f>VLOOKUP(AS48,Check2,5,FALSE)</f>
        <v>4004</v>
      </c>
      <c r="AT49" s="489"/>
      <c r="AU49" s="489"/>
      <c r="AV49" s="543"/>
      <c r="AW49" s="589">
        <f>VLOOKUP(AW48,Check2,5,FALSE)</f>
        <v>4005</v>
      </c>
      <c r="AX49" s="590"/>
      <c r="AY49" s="584"/>
      <c r="AZ49" s="584"/>
      <c r="BA49" s="589">
        <f>VLOOKUP(BA48,Check2,5,FALSE)</f>
        <v>4001</v>
      </c>
      <c r="BB49" s="590"/>
      <c r="BC49" s="591"/>
      <c r="BD49" s="591"/>
      <c r="BE49" s="591"/>
      <c r="BF49" s="591"/>
      <c r="BG49" s="592"/>
      <c r="BH49" s="563"/>
      <c r="BI49" s="563"/>
      <c r="BJ49" s="563"/>
      <c r="BK49" s="564"/>
      <c r="BL49" s="495" t="s">
        <v>65</v>
      </c>
      <c r="BM49" s="486"/>
      <c r="BN49" s="955"/>
      <c r="BO49" s="434"/>
      <c r="BP49" s="496" t="s">
        <v>1078</v>
      </c>
    </row>
    <row r="50" spans="1:68" ht="22.5" thickBot="1" x14ac:dyDescent="0.45">
      <c r="A50" s="1014"/>
      <c r="B50" s="593">
        <f t="shared" ref="B50" si="221">B54+3.6</f>
        <v>146.44000000000003</v>
      </c>
      <c r="C50" s="594" t="s">
        <v>1</v>
      </c>
      <c r="D50" s="567"/>
      <c r="E50" s="568"/>
      <c r="F50" s="568"/>
      <c r="G50" s="568"/>
      <c r="H50" s="595" t="str">
        <f>VLOOKUP(H48,Check2,6,FALSE)</f>
        <v>4D</v>
      </c>
      <c r="I50" s="596"/>
      <c r="J50" s="596"/>
      <c r="K50" s="596"/>
      <c r="L50" s="596"/>
      <c r="M50" s="596"/>
      <c r="N50" s="606"/>
      <c r="O50" s="662" t="str">
        <f>VLOOKUP(O48,Check2,6,FALSE)</f>
        <v>4E</v>
      </c>
      <c r="P50" s="663"/>
      <c r="Q50" s="682"/>
      <c r="R50" s="663" t="str">
        <f>VLOOKUP(R48,Check2,6,FALSE)</f>
        <v>4F</v>
      </c>
      <c r="S50" s="663"/>
      <c r="T50" s="682"/>
      <c r="U50" s="683"/>
      <c r="V50" s="595" t="str">
        <f>VLOOKUP(V48,Check2,6,FALSE)</f>
        <v>5AP</v>
      </c>
      <c r="W50" s="548"/>
      <c r="X50" s="548"/>
      <c r="Y50" s="548" t="str">
        <f>VLOOKUP(Y48,Check2,6,FALSE)</f>
        <v>5BP</v>
      </c>
      <c r="Z50" s="615"/>
      <c r="AA50" s="615"/>
      <c r="AB50" s="503"/>
      <c r="AC50" s="1031"/>
      <c r="AD50" s="1033"/>
      <c r="AE50" s="1035"/>
      <c r="AF50" s="1055"/>
      <c r="AG50" s="1057"/>
      <c r="AH50" s="1041"/>
      <c r="AI50" s="1043"/>
      <c r="AJ50" s="1059"/>
      <c r="AK50" s="1035"/>
      <c r="AL50" s="1065"/>
      <c r="AM50" s="1067"/>
      <c r="AN50" s="640"/>
      <c r="AO50" s="602" t="str">
        <f>VLOOKUP(AO48,Check2,6,FALSE)</f>
        <v>5BP</v>
      </c>
      <c r="AP50" s="553"/>
      <c r="AQ50" s="603" t="str">
        <f>VLOOKUP(AQ48,Check2,6,FALSE)</f>
        <v>5AP</v>
      </c>
      <c r="AR50" s="553"/>
      <c r="AS50" s="603" t="str">
        <f>VLOOKUP(AS48,Check2,6,FALSE)</f>
        <v>4F</v>
      </c>
      <c r="AT50" s="552"/>
      <c r="AU50" s="552"/>
      <c r="AV50" s="553"/>
      <c r="AW50" s="603" t="str">
        <f>VLOOKUP(AW48,Check2,6,FALSE)</f>
        <v>4E</v>
      </c>
      <c r="AX50" s="604"/>
      <c r="AY50" s="597"/>
      <c r="AZ50" s="597"/>
      <c r="BA50" s="603" t="str">
        <f>VLOOKUP(BA48,Check2,6,FALSE)</f>
        <v>4D</v>
      </c>
      <c r="BB50" s="604"/>
      <c r="BC50" s="605"/>
      <c r="BD50" s="605"/>
      <c r="BE50" s="605"/>
      <c r="BF50" s="605"/>
      <c r="BG50" s="606"/>
      <c r="BH50" s="568"/>
      <c r="BI50" s="568"/>
      <c r="BJ50" s="568"/>
      <c r="BK50" s="572"/>
      <c r="BL50" s="607" t="s">
        <v>1</v>
      </c>
      <c r="BM50" s="593">
        <f t="shared" ref="BM50" si="222">BM54+3.6</f>
        <v>146.44000000000003</v>
      </c>
      <c r="BN50" s="1015"/>
      <c r="BO50" s="509"/>
      <c r="BP50" s="510" t="s">
        <v>1</v>
      </c>
    </row>
    <row r="51" spans="1:68" ht="26.25" thickTop="1" x14ac:dyDescent="0.45">
      <c r="A51" s="937"/>
      <c r="B51" s="469" t="str">
        <f t="shared" ref="B51" si="223">_xlfn.CONCAT("קומה ",B52)</f>
        <v>קומה 39</v>
      </c>
      <c r="C51" s="473" t="s">
        <v>0</v>
      </c>
      <c r="D51" s="556"/>
      <c r="E51" s="557"/>
      <c r="F51" s="557"/>
      <c r="G51" s="557"/>
      <c r="H51" s="460">
        <f t="shared" ref="H51" si="224">H55+5</f>
        <v>288</v>
      </c>
      <c r="I51" s="574"/>
      <c r="J51" s="574"/>
      <c r="K51" s="574"/>
      <c r="L51" s="574"/>
      <c r="M51" s="574"/>
      <c r="N51" s="579"/>
      <c r="O51" s="684">
        <f t="shared" ref="O51" si="225">O55+5</f>
        <v>289</v>
      </c>
      <c r="P51" s="643"/>
      <c r="Q51" s="678"/>
      <c r="R51" s="643">
        <f t="shared" ref="R51" si="226">R55+5</f>
        <v>290</v>
      </c>
      <c r="S51" s="643"/>
      <c r="T51" s="678"/>
      <c r="U51" s="685"/>
      <c r="V51" s="460">
        <f t="shared" ref="V51" si="227">V55+5</f>
        <v>291</v>
      </c>
      <c r="W51" s="514"/>
      <c r="X51" s="514"/>
      <c r="Y51" s="514">
        <f t="shared" ref="Y51" si="228">Y55+5</f>
        <v>292</v>
      </c>
      <c r="Z51" s="463"/>
      <c r="AA51" s="463"/>
      <c r="AB51" s="464"/>
      <c r="AC51" s="616" t="s">
        <v>23</v>
      </c>
      <c r="AD51" s="617">
        <f>COUNTIF(Check[סימון],("S."&amp;"*"&amp;$AC51&amp;"."&amp;AD$5&amp;"*"))</f>
        <v>6</v>
      </c>
      <c r="AE51" s="618">
        <f>COUNTIF(Check[סימון],("O."&amp;"*"&amp;$AC51&amp;"."&amp;AE$5&amp;"*"))</f>
        <v>4</v>
      </c>
      <c r="AF51" s="619">
        <f>COUNTIF(Check[סימון],("V."&amp;"*"&amp;$AC51&amp;"."&amp;AF$5&amp;"*"))</f>
        <v>2</v>
      </c>
      <c r="AG51" s="620">
        <f>SUM(AD51:AF51)</f>
        <v>12</v>
      </c>
      <c r="AH51" s="621">
        <f>SUM(AI51,AG51)</f>
        <v>26</v>
      </c>
      <c r="AI51" s="622">
        <f>SUM(AJ51:AL51)</f>
        <v>14</v>
      </c>
      <c r="AJ51" s="623">
        <f>COUNTIF(Check[סימון],("V."&amp;"*"&amp;$AC51&amp;"."&amp;AJ$5&amp;"*"))</f>
        <v>5</v>
      </c>
      <c r="AK51" s="618">
        <f>COUNTIF(Check[סימון],("O."&amp;"*"&amp;$AC51&amp;"."&amp;AK$5&amp;"*"))</f>
        <v>1</v>
      </c>
      <c r="AL51" s="624">
        <f>COUNTIF(Check[סימון],("S."&amp;"*"&amp;$AC51&amp;"."&amp;AL$5&amp;"*"))</f>
        <v>8</v>
      </c>
      <c r="AM51" s="625" t="s">
        <v>23</v>
      </c>
      <c r="AN51" s="626"/>
      <c r="AO51" s="465">
        <f t="shared" ref="AO51" si="229">AO55+5</f>
        <v>286</v>
      </c>
      <c r="AP51" s="520"/>
      <c r="AQ51" s="578">
        <f t="shared" ref="AQ51" si="230">AQ55+5</f>
        <v>285</v>
      </c>
      <c r="AR51" s="520"/>
      <c r="AS51" s="578">
        <f t="shared" ref="AS51" si="231">AS55+5</f>
        <v>284</v>
      </c>
      <c r="AT51" s="461"/>
      <c r="AU51" s="461"/>
      <c r="AV51" s="520"/>
      <c r="AW51" s="578">
        <f t="shared" ref="AW51" si="232">AW55+5</f>
        <v>283</v>
      </c>
      <c r="AX51" s="461"/>
      <c r="AY51" s="520"/>
      <c r="AZ51" s="520"/>
      <c r="BA51" s="578">
        <f t="shared" ref="BA51" si="233">BA55+5</f>
        <v>282</v>
      </c>
      <c r="BB51" s="461"/>
      <c r="BC51" s="466"/>
      <c r="BD51" s="466"/>
      <c r="BE51" s="466"/>
      <c r="BF51" s="466"/>
      <c r="BG51" s="579"/>
      <c r="BH51" s="557"/>
      <c r="BI51" s="557"/>
      <c r="BJ51" s="557"/>
      <c r="BK51" s="559"/>
      <c r="BL51" s="483" t="s">
        <v>0</v>
      </c>
      <c r="BM51" s="469" t="str">
        <f t="shared" ref="BM51" si="234">_xlfn.CONCAT("קומה ",BM52)</f>
        <v>קומה 39</v>
      </c>
      <c r="BN51" s="955"/>
      <c r="BO51" s="470"/>
      <c r="BP51" s="471" t="s">
        <v>0</v>
      </c>
    </row>
    <row r="52" spans="1:68" ht="25.5" hidden="1" x14ac:dyDescent="0.3">
      <c r="A52" s="937"/>
      <c r="B52" s="472">
        <f t="shared" si="40"/>
        <v>39</v>
      </c>
      <c r="C52" s="473" t="s">
        <v>89</v>
      </c>
      <c r="D52" s="560"/>
      <c r="E52" s="535"/>
      <c r="F52" s="535"/>
      <c r="G52" s="535"/>
      <c r="H52" s="475" t="str">
        <f>VLOOKUP("*"&amp;H$5&amp;".Ap."&amp;H51,Check2,1,FALSE)</f>
        <v>S.P.4D.TS.Ap.288</v>
      </c>
      <c r="I52" s="525" t="str">
        <f t="shared" ref="I52:N52" si="235">H52</f>
        <v>S.P.4D.TS.Ap.288</v>
      </c>
      <c r="J52" s="525" t="str">
        <f t="shared" si="235"/>
        <v>S.P.4D.TS.Ap.288</v>
      </c>
      <c r="K52" s="525" t="str">
        <f t="shared" si="235"/>
        <v>S.P.4D.TS.Ap.288</v>
      </c>
      <c r="L52" s="525" t="str">
        <f t="shared" si="235"/>
        <v>S.P.4D.TS.Ap.288</v>
      </c>
      <c r="M52" s="525" t="str">
        <f t="shared" si="235"/>
        <v>S.P.4D.TS.Ap.288</v>
      </c>
      <c r="N52" s="534" t="str">
        <f t="shared" si="235"/>
        <v>S.P.4D.TS.Ap.288</v>
      </c>
      <c r="O52" s="482" t="str">
        <f>VLOOKUP("*"&amp;O$5&amp;".Ap."&amp;O51,Check2,1,FALSE)</f>
        <v>S.P.4E.TS.Ap.289</v>
      </c>
      <c r="P52" s="525" t="str">
        <f t="shared" ref="P52:Q52" si="236">O52</f>
        <v>S.P.4E.TS.Ap.289</v>
      </c>
      <c r="Q52" s="477" t="str">
        <f t="shared" si="236"/>
        <v>S.P.4E.TS.Ap.289</v>
      </c>
      <c r="R52" s="525" t="str">
        <f>VLOOKUP("*"&amp;R$5&amp;".Ap."&amp;R51,Check2,1,FALSE)</f>
        <v>S.P.4F.TS.Ap.290</v>
      </c>
      <c r="S52" s="525" t="str">
        <f t="shared" ref="S52:U52" si="237">R52</f>
        <v>S.P.4F.TS.Ap.290</v>
      </c>
      <c r="T52" s="477" t="str">
        <f t="shared" si="237"/>
        <v>S.P.4F.TS.Ap.290</v>
      </c>
      <c r="U52" s="481" t="str">
        <f t="shared" si="237"/>
        <v>S.P.4F.TS.Ap.290</v>
      </c>
      <c r="V52" s="475" t="str">
        <f>VLOOKUP("*"&amp;V$5&amp;".Ap."&amp;V51,Check2,1,FALSE)</f>
        <v>S.P.5AP.TS.Ap.291</v>
      </c>
      <c r="W52" s="525" t="str">
        <f t="shared" si="44"/>
        <v>S.P.5AP.TS.Ap.291</v>
      </c>
      <c r="X52" s="525" t="str">
        <f t="shared" ref="X52" si="238">V52</f>
        <v>S.P.5AP.TS.Ap.291</v>
      </c>
      <c r="Y52" s="525" t="str">
        <f>VLOOKUP("*"&amp;Y$5&amp;".Ap."&amp;Y51,Check2,1,FALSE)</f>
        <v>V.GMC.P.5BP.TS.Ap.292</v>
      </c>
      <c r="Z52" s="478" t="str">
        <f t="shared" si="46"/>
        <v>V.GMC.P.5BP.TS.Ap.292</v>
      </c>
      <c r="AA52" s="478" t="str">
        <f t="shared" ref="AA52" si="239">Y52</f>
        <v>V.GMC.P.5BP.TS.Ap.292</v>
      </c>
      <c r="AB52" s="479"/>
      <c r="AC52" s="627"/>
      <c r="AD52" s="628"/>
      <c r="AE52" s="629"/>
      <c r="AF52" s="630"/>
      <c r="AG52" s="631"/>
      <c r="AH52" s="632"/>
      <c r="AI52" s="627"/>
      <c r="AJ52" s="633"/>
      <c r="AK52" s="629"/>
      <c r="AL52" s="634"/>
      <c r="AM52" s="635"/>
      <c r="AN52" s="636"/>
      <c r="AO52" s="480" t="str">
        <f>VLOOKUP("*"&amp;AO$5&amp;".Ap."&amp;AO51,Check2,1,FALSE)</f>
        <v>O.P.5BP.TN.Ap.286</v>
      </c>
      <c r="AP52" s="477" t="str">
        <f t="shared" ref="AP52" si="240">AO52</f>
        <v>O.P.5BP.TN.Ap.286</v>
      </c>
      <c r="AQ52" s="533" t="str">
        <f>VLOOKUP("*"&amp;AQ$5&amp;".Ap."&amp;AQ51,Check2,1,FALSE)</f>
        <v>O.P.5AP.TN.Ap.285</v>
      </c>
      <c r="AR52" s="477" t="str">
        <f t="shared" ref="AR52" si="241">AQ52</f>
        <v>O.P.5AP.TN.Ap.285</v>
      </c>
      <c r="AS52" s="533" t="str">
        <f>VLOOKUP("*"&amp;AS$5&amp;".Ap."&amp;AS51,Check2,1,FALSE)</f>
        <v>S.P.4F.TN.Ap.284</v>
      </c>
      <c r="AT52" s="476" t="str">
        <f t="shared" ref="AT52:AV52" si="242">AS52</f>
        <v>S.P.4F.TN.Ap.284</v>
      </c>
      <c r="AU52" s="476" t="str">
        <f t="shared" si="242"/>
        <v>S.P.4F.TN.Ap.284</v>
      </c>
      <c r="AV52" s="477" t="str">
        <f t="shared" si="242"/>
        <v>S.P.4F.TN.Ap.284</v>
      </c>
      <c r="AW52" s="533" t="str">
        <f>VLOOKUP("*"&amp;AW$5&amp;".Ap."&amp;AW51,Check2,1,FALSE)</f>
        <v>O.P.4E.TN.Ap.283</v>
      </c>
      <c r="AX52" s="476" t="str">
        <f t="shared" ref="AX52:AZ52" si="243">AW52</f>
        <v>O.P.4E.TN.Ap.283</v>
      </c>
      <c r="AY52" s="477" t="str">
        <f t="shared" si="243"/>
        <v>O.P.4E.TN.Ap.283</v>
      </c>
      <c r="AZ52" s="477" t="str">
        <f t="shared" si="243"/>
        <v>O.P.4E.TN.Ap.283</v>
      </c>
      <c r="BA52" s="533" t="str">
        <f>VLOOKUP("*"&amp;BA$5&amp;".Ap."&amp;BA51,Check2,1,FALSE)</f>
        <v>V.GMS.P.4D.TN.Ap.282</v>
      </c>
      <c r="BB52" s="476" t="str">
        <f t="shared" ref="BB52:BG52" si="244">BA52</f>
        <v>V.GMS.P.4D.TN.Ap.282</v>
      </c>
      <c r="BC52" s="481" t="str">
        <f t="shared" si="244"/>
        <v>V.GMS.P.4D.TN.Ap.282</v>
      </c>
      <c r="BD52" s="481" t="str">
        <f t="shared" si="244"/>
        <v>V.GMS.P.4D.TN.Ap.282</v>
      </c>
      <c r="BE52" s="481" t="str">
        <f t="shared" si="244"/>
        <v>V.GMS.P.4D.TN.Ap.282</v>
      </c>
      <c r="BF52" s="481" t="str">
        <f t="shared" si="244"/>
        <v>V.GMS.P.4D.TN.Ap.282</v>
      </c>
      <c r="BG52" s="534" t="str">
        <f t="shared" si="244"/>
        <v>V.GMS.P.4D.TN.Ap.282</v>
      </c>
      <c r="BH52" s="535"/>
      <c r="BI52" s="535"/>
      <c r="BJ52" s="535"/>
      <c r="BK52" s="561"/>
      <c r="BL52" s="483" t="s">
        <v>89</v>
      </c>
      <c r="BM52" s="472">
        <f t="shared" si="53"/>
        <v>39</v>
      </c>
      <c r="BN52" s="955"/>
      <c r="BO52" s="484"/>
      <c r="BP52" s="485" t="s">
        <v>89</v>
      </c>
    </row>
    <row r="53" spans="1:68" ht="21.75" x14ac:dyDescent="0.3">
      <c r="A53" s="937"/>
      <c r="B53" s="486"/>
      <c r="C53" s="487" t="s">
        <v>65</v>
      </c>
      <c r="D53" s="562"/>
      <c r="E53" s="563"/>
      <c r="F53" s="563"/>
      <c r="G53" s="563"/>
      <c r="H53" s="488">
        <f>VLOOKUP(H52,Check2,5,FALSE)</f>
        <v>3901</v>
      </c>
      <c r="I53" s="583"/>
      <c r="J53" s="583"/>
      <c r="K53" s="583"/>
      <c r="L53" s="583"/>
      <c r="M53" s="583"/>
      <c r="N53" s="592"/>
      <c r="O53" s="686">
        <f>VLOOKUP(O52,Check2,5,FALSE)</f>
        <v>3902</v>
      </c>
      <c r="P53" s="539"/>
      <c r="Q53" s="490"/>
      <c r="R53" s="539">
        <f>VLOOKUP(R52,Check2,5,FALSE)</f>
        <v>3903</v>
      </c>
      <c r="S53" s="539"/>
      <c r="T53" s="490"/>
      <c r="U53" s="687"/>
      <c r="V53" s="488">
        <f>VLOOKUP(V52,Check2,5,FALSE)</f>
        <v>3904</v>
      </c>
      <c r="W53" s="539"/>
      <c r="X53" s="539"/>
      <c r="Y53" s="539">
        <f>VLOOKUP(Y52,Check2,5,FALSE)</f>
        <v>3905</v>
      </c>
      <c r="Z53" s="491"/>
      <c r="AA53" s="491"/>
      <c r="AB53" s="449"/>
      <c r="AC53" s="1030" t="s">
        <v>22</v>
      </c>
      <c r="AD53" s="1032">
        <f>COUNTIF(Check[סימון],("S."&amp;"*"&amp;$AC53&amp;"."&amp;AD$5&amp;"*"))</f>
        <v>5</v>
      </c>
      <c r="AE53" s="1034">
        <f>COUNTIF(Check[סימון],("O."&amp;"*"&amp;$AC53&amp;"."&amp;AE$5&amp;"*"))</f>
        <v>0</v>
      </c>
      <c r="AF53" s="1054">
        <f>COUNTIF(Check[סימון],("V."&amp;"*"&amp;$AC53&amp;"."&amp;AF$5&amp;"*"))</f>
        <v>7</v>
      </c>
      <c r="AG53" s="1056">
        <f>SUM(AD53:AF53)</f>
        <v>12</v>
      </c>
      <c r="AH53" s="1040">
        <f>SUM(AI53,AG53)</f>
        <v>26</v>
      </c>
      <c r="AI53" s="1042">
        <f>SUM(AJ53:AL53)</f>
        <v>14</v>
      </c>
      <c r="AJ53" s="1058">
        <f>COUNTIF(Check[סימון],("V."&amp;"*"&amp;$AC53&amp;"."&amp;AJ$5&amp;"*"))</f>
        <v>1</v>
      </c>
      <c r="AK53" s="1034">
        <f>COUNTIF(Check[סימון],("O."&amp;"*"&amp;$AC53&amp;"."&amp;AK$5&amp;"*"))</f>
        <v>0</v>
      </c>
      <c r="AL53" s="1064">
        <f>COUNTIF(Check[סימון],("S."&amp;"*"&amp;$AC53&amp;"."&amp;AL$5&amp;"*"))</f>
        <v>13</v>
      </c>
      <c r="AM53" s="1066" t="s">
        <v>22</v>
      </c>
      <c r="AN53" s="637"/>
      <c r="AO53" s="492">
        <f>VLOOKUP(AO52,Check2,5,FALSE)</f>
        <v>3902</v>
      </c>
      <c r="AP53" s="543"/>
      <c r="AQ53" s="589">
        <f>VLOOKUP(AQ52,Check2,5,FALSE)</f>
        <v>3903</v>
      </c>
      <c r="AR53" s="543"/>
      <c r="AS53" s="589">
        <f>VLOOKUP(AS52,Check2,5,FALSE)</f>
        <v>3904</v>
      </c>
      <c r="AT53" s="489"/>
      <c r="AU53" s="489"/>
      <c r="AV53" s="543"/>
      <c r="AW53" s="589">
        <f>VLOOKUP(AW52,Check2,5,FALSE)</f>
        <v>3905</v>
      </c>
      <c r="AX53" s="590"/>
      <c r="AY53" s="584"/>
      <c r="AZ53" s="584"/>
      <c r="BA53" s="589">
        <f>VLOOKUP(BA52,Check2,5,FALSE)</f>
        <v>3901</v>
      </c>
      <c r="BB53" s="590"/>
      <c r="BC53" s="591"/>
      <c r="BD53" s="591"/>
      <c r="BE53" s="591"/>
      <c r="BF53" s="591"/>
      <c r="BG53" s="592"/>
      <c r="BH53" s="563"/>
      <c r="BI53" s="563"/>
      <c r="BJ53" s="563"/>
      <c r="BK53" s="564"/>
      <c r="BL53" s="495" t="s">
        <v>65</v>
      </c>
      <c r="BM53" s="486"/>
      <c r="BN53" s="955"/>
      <c r="BO53" s="434"/>
      <c r="BP53" s="496" t="s">
        <v>1078</v>
      </c>
    </row>
    <row r="54" spans="1:68" ht="22.5" thickBot="1" x14ac:dyDescent="0.45">
      <c r="A54" s="1014"/>
      <c r="B54" s="593">
        <f t="shared" ref="B54" si="245">B58+3.6</f>
        <v>142.84000000000003</v>
      </c>
      <c r="C54" s="594" t="s">
        <v>1</v>
      </c>
      <c r="D54" s="567"/>
      <c r="E54" s="568"/>
      <c r="F54" s="568"/>
      <c r="G54" s="568"/>
      <c r="H54" s="595" t="str">
        <f>VLOOKUP(H52,Check2,6,FALSE)</f>
        <v>4D</v>
      </c>
      <c r="I54" s="596"/>
      <c r="J54" s="596"/>
      <c r="K54" s="596"/>
      <c r="L54" s="596"/>
      <c r="M54" s="596"/>
      <c r="N54" s="606"/>
      <c r="O54" s="688" t="str">
        <f>VLOOKUP(O52,Check2,6,FALSE)</f>
        <v>4E</v>
      </c>
      <c r="P54" s="663"/>
      <c r="Q54" s="682"/>
      <c r="R54" s="663" t="str">
        <f>VLOOKUP(R52,Check2,6,FALSE)</f>
        <v>4F</v>
      </c>
      <c r="S54" s="663"/>
      <c r="T54" s="682"/>
      <c r="U54" s="689"/>
      <c r="V54" s="595" t="str">
        <f>VLOOKUP(V52,Check2,6,FALSE)</f>
        <v>5AP</v>
      </c>
      <c r="W54" s="548"/>
      <c r="X54" s="548"/>
      <c r="Y54" s="548" t="str">
        <f>VLOOKUP(Y52,Check2,6,FALSE)</f>
        <v>5BP</v>
      </c>
      <c r="Z54" s="615"/>
      <c r="AA54" s="615"/>
      <c r="AB54" s="503"/>
      <c r="AC54" s="1068"/>
      <c r="AD54" s="1069"/>
      <c r="AE54" s="1070"/>
      <c r="AF54" s="1071"/>
      <c r="AG54" s="1072"/>
      <c r="AH54" s="1073"/>
      <c r="AI54" s="1074"/>
      <c r="AJ54" s="1075"/>
      <c r="AK54" s="1070"/>
      <c r="AL54" s="1076"/>
      <c r="AM54" s="1077"/>
      <c r="AN54" s="640"/>
      <c r="AO54" s="602" t="str">
        <f>VLOOKUP(AO52,Check2,6,FALSE)</f>
        <v>5BP</v>
      </c>
      <c r="AP54" s="553"/>
      <c r="AQ54" s="603" t="str">
        <f>VLOOKUP(AQ52,Check2,6,FALSE)</f>
        <v>5AP</v>
      </c>
      <c r="AR54" s="553"/>
      <c r="AS54" s="603" t="str">
        <f>VLOOKUP(AS52,Check2,6,FALSE)</f>
        <v>4F</v>
      </c>
      <c r="AT54" s="552"/>
      <c r="AU54" s="552"/>
      <c r="AV54" s="553"/>
      <c r="AW54" s="603" t="str">
        <f>VLOOKUP(AW52,Check2,6,FALSE)</f>
        <v>4E</v>
      </c>
      <c r="AX54" s="604"/>
      <c r="AY54" s="597"/>
      <c r="AZ54" s="597"/>
      <c r="BA54" s="603" t="str">
        <f>VLOOKUP(BA52,Check2,6,FALSE)</f>
        <v>4D</v>
      </c>
      <c r="BB54" s="604"/>
      <c r="BC54" s="605"/>
      <c r="BD54" s="605"/>
      <c r="BE54" s="605"/>
      <c r="BF54" s="605"/>
      <c r="BG54" s="606"/>
      <c r="BH54" s="568"/>
      <c r="BI54" s="568"/>
      <c r="BJ54" s="568"/>
      <c r="BK54" s="572"/>
      <c r="BL54" s="607" t="s">
        <v>1</v>
      </c>
      <c r="BM54" s="593">
        <f t="shared" ref="BM54" si="246">BM58+3.6</f>
        <v>142.84000000000003</v>
      </c>
      <c r="BN54" s="1015"/>
      <c r="BO54" s="509"/>
      <c r="BP54" s="510" t="s">
        <v>1</v>
      </c>
    </row>
    <row r="55" spans="1:68" ht="26.25" thickTop="1" x14ac:dyDescent="0.45">
      <c r="A55" s="937"/>
      <c r="B55" s="469" t="str">
        <f t="shared" ref="B55" si="247">_xlfn.CONCAT("קומה ",B56)</f>
        <v>קומה 38</v>
      </c>
      <c r="C55" s="473" t="s">
        <v>0</v>
      </c>
      <c r="D55" s="556"/>
      <c r="E55" s="557"/>
      <c r="F55" s="557"/>
      <c r="G55" s="557"/>
      <c r="H55" s="460">
        <f t="shared" ref="H55" si="248">H59+5</f>
        <v>283</v>
      </c>
      <c r="I55" s="574"/>
      <c r="J55" s="574"/>
      <c r="K55" s="574"/>
      <c r="L55" s="574"/>
      <c r="M55" s="574"/>
      <c r="N55" s="579"/>
      <c r="O55" s="642">
        <f t="shared" ref="O55" si="249">O59+5</f>
        <v>284</v>
      </c>
      <c r="P55" s="643"/>
      <c r="Q55" s="678"/>
      <c r="R55" s="643">
        <f t="shared" ref="R55" si="250">R59+5</f>
        <v>285</v>
      </c>
      <c r="S55" s="643"/>
      <c r="T55" s="678"/>
      <c r="U55" s="679"/>
      <c r="V55" s="460">
        <f t="shared" ref="V55" si="251">V59+5</f>
        <v>286</v>
      </c>
      <c r="W55" s="514"/>
      <c r="X55" s="514"/>
      <c r="Y55" s="514">
        <f t="shared" ref="Y55" si="252">Y59+5</f>
        <v>287</v>
      </c>
      <c r="Z55" s="463"/>
      <c r="AA55" s="463"/>
      <c r="AB55" s="464"/>
      <c r="AC55" s="616" t="s">
        <v>14</v>
      </c>
      <c r="AD55" s="617">
        <f>COUNTIF(Check[סימון],("S."&amp;"*"&amp;$AC55&amp;"."&amp;AD$5&amp;"*"))</f>
        <v>7</v>
      </c>
      <c r="AE55" s="618">
        <f>COUNTIF(Check[סימון],("O."&amp;"*"&amp;$AC55&amp;"."&amp;AE$5&amp;"*"))</f>
        <v>5</v>
      </c>
      <c r="AF55" s="619">
        <f>COUNTIF(Check[סימון],("V."&amp;"*"&amp;$AC55&amp;"."&amp;AF$5&amp;"*"))</f>
        <v>7</v>
      </c>
      <c r="AG55" s="620">
        <f>SUM(AD55:AF55)</f>
        <v>19</v>
      </c>
      <c r="AH55" s="621">
        <f>SUM(AI55,AG55)</f>
        <v>37</v>
      </c>
      <c r="AI55" s="622">
        <f>SUM(AJ55:AL55)</f>
        <v>18</v>
      </c>
      <c r="AJ55" s="623">
        <f>COUNTIF(Check[סימון],("V."&amp;"*"&amp;$AC55&amp;"."&amp;AJ$5&amp;"*"))</f>
        <v>2</v>
      </c>
      <c r="AK55" s="618">
        <f>COUNTIF(Check[סימון],("O."&amp;"*"&amp;$AC55&amp;"."&amp;AK$5&amp;"*"))</f>
        <v>2</v>
      </c>
      <c r="AL55" s="624">
        <f>COUNTIF(Check[סימון],("S."&amp;"*"&amp;$AC55&amp;"."&amp;AL$5&amp;"*"))</f>
        <v>14</v>
      </c>
      <c r="AM55" s="625" t="s">
        <v>14</v>
      </c>
      <c r="AN55" s="626"/>
      <c r="AO55" s="465">
        <f t="shared" ref="AO55" si="253">AO59+5</f>
        <v>281</v>
      </c>
      <c r="AP55" s="520"/>
      <c r="AQ55" s="578">
        <f t="shared" ref="AQ55" si="254">AQ59+5</f>
        <v>280</v>
      </c>
      <c r="AR55" s="520"/>
      <c r="AS55" s="578">
        <f t="shared" ref="AS55" si="255">AS59+5</f>
        <v>279</v>
      </c>
      <c r="AT55" s="461"/>
      <c r="AU55" s="461"/>
      <c r="AV55" s="520"/>
      <c r="AW55" s="578">
        <f t="shared" ref="AW55" si="256">AW59+5</f>
        <v>278</v>
      </c>
      <c r="AX55" s="461"/>
      <c r="AY55" s="520"/>
      <c r="AZ55" s="520"/>
      <c r="BA55" s="578">
        <f t="shared" ref="BA55" si="257">BA59+5</f>
        <v>277</v>
      </c>
      <c r="BB55" s="461"/>
      <c r="BC55" s="466"/>
      <c r="BD55" s="466"/>
      <c r="BE55" s="466"/>
      <c r="BF55" s="466"/>
      <c r="BG55" s="579"/>
      <c r="BH55" s="557"/>
      <c r="BI55" s="557"/>
      <c r="BJ55" s="557"/>
      <c r="BK55" s="559"/>
      <c r="BL55" s="483" t="s">
        <v>0</v>
      </c>
      <c r="BM55" s="469" t="str">
        <f t="shared" ref="BM55" si="258">_xlfn.CONCAT("קומה ",BM56)</f>
        <v>קומה 38</v>
      </c>
      <c r="BN55" s="955"/>
      <c r="BO55" s="470"/>
      <c r="BP55" s="471" t="s">
        <v>0</v>
      </c>
    </row>
    <row r="56" spans="1:68" ht="25.5" hidden="1" x14ac:dyDescent="0.3">
      <c r="A56" s="937"/>
      <c r="B56" s="472">
        <f t="shared" si="40"/>
        <v>38</v>
      </c>
      <c r="C56" s="473" t="s">
        <v>89</v>
      </c>
      <c r="D56" s="560"/>
      <c r="E56" s="535"/>
      <c r="F56" s="535"/>
      <c r="G56" s="535"/>
      <c r="H56" s="475" t="str">
        <f>VLOOKUP("*"&amp;H$5&amp;".Ap."&amp;H55,Check2,1,FALSE)</f>
        <v>S.P.4D.TS.Ap.283</v>
      </c>
      <c r="I56" s="525" t="str">
        <f t="shared" ref="I56:N56" si="259">H56</f>
        <v>S.P.4D.TS.Ap.283</v>
      </c>
      <c r="J56" s="525" t="str">
        <f t="shared" si="259"/>
        <v>S.P.4D.TS.Ap.283</v>
      </c>
      <c r="K56" s="525" t="str">
        <f t="shared" si="259"/>
        <v>S.P.4D.TS.Ap.283</v>
      </c>
      <c r="L56" s="525" t="str">
        <f t="shared" si="259"/>
        <v>S.P.4D.TS.Ap.283</v>
      </c>
      <c r="M56" s="525" t="str">
        <f t="shared" si="259"/>
        <v>S.P.4D.TS.Ap.283</v>
      </c>
      <c r="N56" s="534" t="str">
        <f t="shared" si="259"/>
        <v>S.P.4D.TS.Ap.283</v>
      </c>
      <c r="O56" s="656" t="str">
        <f>VLOOKUP("*"&amp;O$5&amp;".Ap."&amp;O55,Check2,1,FALSE)</f>
        <v>S.P.4E.TS.Ap.284</v>
      </c>
      <c r="P56" s="525" t="str">
        <f t="shared" ref="P56:Q56" si="260">O56</f>
        <v>S.P.4E.TS.Ap.284</v>
      </c>
      <c r="Q56" s="477" t="str">
        <f t="shared" si="260"/>
        <v>S.P.4E.TS.Ap.284</v>
      </c>
      <c r="R56" s="525" t="str">
        <f>VLOOKUP("*"&amp;R$5&amp;".Ap."&amp;R55,Check2,1,FALSE)</f>
        <v>S.P.4F.TS.Ap.285</v>
      </c>
      <c r="S56" s="525" t="str">
        <f t="shared" ref="S56:U56" si="261">R56</f>
        <v>S.P.4F.TS.Ap.285</v>
      </c>
      <c r="T56" s="477" t="str">
        <f t="shared" si="261"/>
        <v>S.P.4F.TS.Ap.285</v>
      </c>
      <c r="U56" s="680" t="str">
        <f t="shared" si="261"/>
        <v>S.P.4F.TS.Ap.285</v>
      </c>
      <c r="V56" s="475" t="str">
        <f>VLOOKUP("*"&amp;V$5&amp;".Ap."&amp;V55,Check2,1,FALSE)</f>
        <v>O.P.5AP.TS.Ap.286</v>
      </c>
      <c r="W56" s="525" t="str">
        <f t="shared" si="44"/>
        <v>O.P.5AP.TS.Ap.286</v>
      </c>
      <c r="X56" s="525" t="str">
        <f t="shared" ref="X56" si="262">V56</f>
        <v>O.P.5AP.TS.Ap.286</v>
      </c>
      <c r="Y56" s="525" t="str">
        <f>VLOOKUP("*"&amp;Y$5&amp;".Ap."&amp;Y55,Check2,1,FALSE)</f>
        <v>O.P.5BP.TS.Ap.287</v>
      </c>
      <c r="Z56" s="478" t="str">
        <f t="shared" si="46"/>
        <v>O.P.5BP.TS.Ap.287</v>
      </c>
      <c r="AA56" s="478" t="str">
        <f t="shared" ref="AA56" si="263">Y56</f>
        <v>O.P.5BP.TS.Ap.287</v>
      </c>
      <c r="AB56" s="479"/>
      <c r="AC56" s="627"/>
      <c r="AD56" s="628"/>
      <c r="AE56" s="629"/>
      <c r="AF56" s="630"/>
      <c r="AG56" s="631"/>
      <c r="AH56" s="632"/>
      <c r="AI56" s="627"/>
      <c r="AJ56" s="633"/>
      <c r="AK56" s="629"/>
      <c r="AL56" s="634"/>
      <c r="AM56" s="635"/>
      <c r="AN56" s="636"/>
      <c r="AO56" s="480" t="str">
        <f>VLOOKUP("*"&amp;AO$5&amp;".Ap."&amp;AO55,Check2,1,FALSE)</f>
        <v>S.P.5BP.TN.Ap.281</v>
      </c>
      <c r="AP56" s="477" t="str">
        <f t="shared" ref="AP56" si="264">AO56</f>
        <v>S.P.5BP.TN.Ap.281</v>
      </c>
      <c r="AQ56" s="533" t="str">
        <f>VLOOKUP("*"&amp;AQ$5&amp;".Ap."&amp;AQ55,Check2,1,FALSE)</f>
        <v>S.P.5AP.TN.Ap.280</v>
      </c>
      <c r="AR56" s="477" t="str">
        <f t="shared" ref="AR56" si="265">AQ56</f>
        <v>S.P.5AP.TN.Ap.280</v>
      </c>
      <c r="AS56" s="533" t="str">
        <f>VLOOKUP("*"&amp;AS$5&amp;".Ap."&amp;AS55,Check2,1,FALSE)</f>
        <v>O.P.4F.TN.Ap.279</v>
      </c>
      <c r="AT56" s="476" t="str">
        <f t="shared" ref="AT56:AV56" si="266">AS56</f>
        <v>O.P.4F.TN.Ap.279</v>
      </c>
      <c r="AU56" s="476" t="str">
        <f t="shared" si="266"/>
        <v>O.P.4F.TN.Ap.279</v>
      </c>
      <c r="AV56" s="477" t="str">
        <f t="shared" si="266"/>
        <v>O.P.4F.TN.Ap.279</v>
      </c>
      <c r="AW56" s="533" t="str">
        <f>VLOOKUP("*"&amp;AW$5&amp;".Ap."&amp;AW55,Check2,1,FALSE)</f>
        <v>O.P.4E.TN.Ap.278</v>
      </c>
      <c r="AX56" s="476" t="str">
        <f t="shared" ref="AX56:AZ56" si="267">AW56</f>
        <v>O.P.4E.TN.Ap.278</v>
      </c>
      <c r="AY56" s="477" t="str">
        <f t="shared" si="267"/>
        <v>O.P.4E.TN.Ap.278</v>
      </c>
      <c r="AZ56" s="477" t="str">
        <f t="shared" si="267"/>
        <v>O.P.4E.TN.Ap.278</v>
      </c>
      <c r="BA56" s="533" t="str">
        <f>VLOOKUP("*"&amp;BA$5&amp;".Ap."&amp;BA55,Check2,1,FALSE)</f>
        <v>S.P.4D.TN.Ap.277</v>
      </c>
      <c r="BB56" s="476" t="str">
        <f t="shared" ref="BB56:BG56" si="268">BA56</f>
        <v>S.P.4D.TN.Ap.277</v>
      </c>
      <c r="BC56" s="481" t="str">
        <f t="shared" si="268"/>
        <v>S.P.4D.TN.Ap.277</v>
      </c>
      <c r="BD56" s="481" t="str">
        <f t="shared" si="268"/>
        <v>S.P.4D.TN.Ap.277</v>
      </c>
      <c r="BE56" s="481" t="str">
        <f t="shared" si="268"/>
        <v>S.P.4D.TN.Ap.277</v>
      </c>
      <c r="BF56" s="481" t="str">
        <f t="shared" si="268"/>
        <v>S.P.4D.TN.Ap.277</v>
      </c>
      <c r="BG56" s="534" t="str">
        <f t="shared" si="268"/>
        <v>S.P.4D.TN.Ap.277</v>
      </c>
      <c r="BH56" s="535"/>
      <c r="BI56" s="535"/>
      <c r="BJ56" s="535"/>
      <c r="BK56" s="561"/>
      <c r="BL56" s="483" t="s">
        <v>89</v>
      </c>
      <c r="BM56" s="472">
        <f t="shared" si="53"/>
        <v>38</v>
      </c>
      <c r="BN56" s="955"/>
      <c r="BO56" s="484"/>
      <c r="BP56" s="485" t="s">
        <v>89</v>
      </c>
    </row>
    <row r="57" spans="1:68" ht="21.75" x14ac:dyDescent="0.3">
      <c r="A57" s="937"/>
      <c r="B57" s="486"/>
      <c r="C57" s="487" t="s">
        <v>65</v>
      </c>
      <c r="D57" s="562"/>
      <c r="E57" s="563"/>
      <c r="F57" s="563"/>
      <c r="G57" s="563"/>
      <c r="H57" s="488">
        <f>VLOOKUP(H56,Check2,5,FALSE)</f>
        <v>3801</v>
      </c>
      <c r="I57" s="583"/>
      <c r="J57" s="583"/>
      <c r="K57" s="583"/>
      <c r="L57" s="583"/>
      <c r="M57" s="583"/>
      <c r="N57" s="592"/>
      <c r="O57" s="659">
        <f>VLOOKUP(O56,Check2,5,FALSE)</f>
        <v>3802</v>
      </c>
      <c r="P57" s="539"/>
      <c r="Q57" s="490"/>
      <c r="R57" s="539">
        <f>VLOOKUP(R56,Check2,5,FALSE)</f>
        <v>3803</v>
      </c>
      <c r="S57" s="539"/>
      <c r="T57" s="490"/>
      <c r="U57" s="681"/>
      <c r="V57" s="488">
        <f>VLOOKUP(V56,Check2,5,FALSE)</f>
        <v>3804</v>
      </c>
      <c r="W57" s="539"/>
      <c r="X57" s="539"/>
      <c r="Y57" s="539">
        <f>VLOOKUP(Y56,Check2,5,FALSE)</f>
        <v>3805</v>
      </c>
      <c r="Z57" s="491"/>
      <c r="AA57" s="491"/>
      <c r="AB57" s="449"/>
      <c r="AC57" s="1030" t="s">
        <v>16</v>
      </c>
      <c r="AD57" s="1032">
        <f>COUNTIF(Check[סימון],("S."&amp;"*"&amp;$AC57&amp;"."&amp;AD$5&amp;"*"))</f>
        <v>3</v>
      </c>
      <c r="AE57" s="1034">
        <f>COUNTIF(Check[סימון],("O."&amp;"*"&amp;$AC57&amp;"."&amp;AE$5&amp;"*"))</f>
        <v>5</v>
      </c>
      <c r="AF57" s="1054">
        <f>COUNTIF(Check[סימון],("V."&amp;"*"&amp;$AC57&amp;"."&amp;AF$5&amp;"*"))</f>
        <v>11</v>
      </c>
      <c r="AG57" s="1056">
        <f>SUM(AD57:AF57)</f>
        <v>19</v>
      </c>
      <c r="AH57" s="1040">
        <f>SUM(AI57,AG57)</f>
        <v>37</v>
      </c>
      <c r="AI57" s="1042">
        <f>SUM(AJ57:AL57)</f>
        <v>18</v>
      </c>
      <c r="AJ57" s="1058">
        <f>COUNTIF(Check[סימון],("V."&amp;"*"&amp;$AC57&amp;"."&amp;AJ$5&amp;"*"))</f>
        <v>0</v>
      </c>
      <c r="AK57" s="1034">
        <f>COUNTIF(Check[סימון],("O."&amp;"*"&amp;$AC57&amp;"."&amp;AK$5&amp;"*"))</f>
        <v>0</v>
      </c>
      <c r="AL57" s="1064">
        <f>COUNTIF(Check[סימון],("S."&amp;"*"&amp;$AC57&amp;"."&amp;AL$5&amp;"*"))</f>
        <v>18</v>
      </c>
      <c r="AM57" s="1066" t="s">
        <v>16</v>
      </c>
      <c r="AN57" s="637"/>
      <c r="AO57" s="492">
        <f>VLOOKUP(AO56,Check2,5,FALSE)</f>
        <v>3802</v>
      </c>
      <c r="AP57" s="543"/>
      <c r="AQ57" s="589">
        <f>VLOOKUP(AQ56,Check2,5,FALSE)</f>
        <v>3803</v>
      </c>
      <c r="AR57" s="543"/>
      <c r="AS57" s="589">
        <f>VLOOKUP(AS56,Check2,5,FALSE)</f>
        <v>3804</v>
      </c>
      <c r="AT57" s="489"/>
      <c r="AU57" s="489"/>
      <c r="AV57" s="543"/>
      <c r="AW57" s="589">
        <f>VLOOKUP(AW56,Check2,5,FALSE)</f>
        <v>3805</v>
      </c>
      <c r="AX57" s="590"/>
      <c r="AY57" s="584"/>
      <c r="AZ57" s="584"/>
      <c r="BA57" s="589">
        <f>VLOOKUP(BA56,Check2,5,FALSE)</f>
        <v>3801</v>
      </c>
      <c r="BB57" s="590"/>
      <c r="BC57" s="591"/>
      <c r="BD57" s="591"/>
      <c r="BE57" s="591"/>
      <c r="BF57" s="591"/>
      <c r="BG57" s="592"/>
      <c r="BH57" s="563"/>
      <c r="BI57" s="563"/>
      <c r="BJ57" s="563"/>
      <c r="BK57" s="564"/>
      <c r="BL57" s="495" t="s">
        <v>65</v>
      </c>
      <c r="BM57" s="486"/>
      <c r="BN57" s="955"/>
      <c r="BO57" s="434"/>
      <c r="BP57" s="496" t="s">
        <v>1078</v>
      </c>
    </row>
    <row r="58" spans="1:68" ht="22.5" thickBot="1" x14ac:dyDescent="0.45">
      <c r="A58" s="1014"/>
      <c r="B58" s="593">
        <f t="shared" ref="B58" si="269">B62+3.6</f>
        <v>139.24000000000004</v>
      </c>
      <c r="C58" s="594" t="s">
        <v>1</v>
      </c>
      <c r="D58" s="567"/>
      <c r="E58" s="568"/>
      <c r="F58" s="568"/>
      <c r="G58" s="568"/>
      <c r="H58" s="595" t="str">
        <f>VLOOKUP(H56,Check2,6,FALSE)</f>
        <v>4D</v>
      </c>
      <c r="I58" s="596"/>
      <c r="J58" s="596"/>
      <c r="K58" s="596"/>
      <c r="L58" s="596"/>
      <c r="M58" s="596"/>
      <c r="N58" s="606"/>
      <c r="O58" s="662" t="str">
        <f>VLOOKUP(O56,Check2,6,FALSE)</f>
        <v>4E</v>
      </c>
      <c r="P58" s="663"/>
      <c r="Q58" s="682"/>
      <c r="R58" s="663" t="str">
        <f>VLOOKUP(R56,Check2,6,FALSE)</f>
        <v>4F</v>
      </c>
      <c r="S58" s="663"/>
      <c r="T58" s="682"/>
      <c r="U58" s="683"/>
      <c r="V58" s="595" t="str">
        <f>VLOOKUP(V56,Check2,6,FALSE)</f>
        <v>5AP</v>
      </c>
      <c r="W58" s="548"/>
      <c r="X58" s="548"/>
      <c r="Y58" s="548" t="str">
        <f>VLOOKUP(Y56,Check2,6,FALSE)</f>
        <v>5BP</v>
      </c>
      <c r="Z58" s="615"/>
      <c r="AA58" s="615"/>
      <c r="AB58" s="503"/>
      <c r="AC58" s="1031"/>
      <c r="AD58" s="1033"/>
      <c r="AE58" s="1035"/>
      <c r="AF58" s="1055"/>
      <c r="AG58" s="1057"/>
      <c r="AH58" s="1041"/>
      <c r="AI58" s="1043"/>
      <c r="AJ58" s="1059"/>
      <c r="AK58" s="1035"/>
      <c r="AL58" s="1065"/>
      <c r="AM58" s="1067"/>
      <c r="AN58" s="640"/>
      <c r="AO58" s="602" t="str">
        <f>VLOOKUP(AO56,Check2,6,FALSE)</f>
        <v>5BP</v>
      </c>
      <c r="AP58" s="553"/>
      <c r="AQ58" s="603" t="str">
        <f>VLOOKUP(AQ56,Check2,6,FALSE)</f>
        <v>5AP</v>
      </c>
      <c r="AR58" s="553"/>
      <c r="AS58" s="603" t="str">
        <f>VLOOKUP(AS56,Check2,6,FALSE)</f>
        <v>4F</v>
      </c>
      <c r="AT58" s="552"/>
      <c r="AU58" s="552"/>
      <c r="AV58" s="553"/>
      <c r="AW58" s="603" t="str">
        <f>VLOOKUP(AW56,Check2,6,FALSE)</f>
        <v>4E</v>
      </c>
      <c r="AX58" s="604"/>
      <c r="AY58" s="597"/>
      <c r="AZ58" s="597"/>
      <c r="BA58" s="603" t="str">
        <f>VLOOKUP(BA56,Check2,6,FALSE)</f>
        <v>4D</v>
      </c>
      <c r="BB58" s="604"/>
      <c r="BC58" s="605"/>
      <c r="BD58" s="605"/>
      <c r="BE58" s="605"/>
      <c r="BF58" s="605"/>
      <c r="BG58" s="606"/>
      <c r="BH58" s="568"/>
      <c r="BI58" s="568"/>
      <c r="BJ58" s="568"/>
      <c r="BK58" s="572"/>
      <c r="BL58" s="607" t="s">
        <v>1</v>
      </c>
      <c r="BM58" s="593">
        <f t="shared" ref="BM58" si="270">BM62+3.6</f>
        <v>139.24000000000004</v>
      </c>
      <c r="BN58" s="1015"/>
      <c r="BO58" s="509"/>
      <c r="BP58" s="510" t="s">
        <v>1</v>
      </c>
    </row>
    <row r="59" spans="1:68" ht="25.5" x14ac:dyDescent="0.45">
      <c r="A59" s="937"/>
      <c r="B59" s="469" t="str">
        <f t="shared" ref="B59" si="271">_xlfn.CONCAT("קומה ",B60)</f>
        <v>קומה 37</v>
      </c>
      <c r="C59" s="473" t="s">
        <v>0</v>
      </c>
      <c r="D59" s="556"/>
      <c r="E59" s="557"/>
      <c r="F59" s="557"/>
      <c r="G59" s="557"/>
      <c r="H59" s="460">
        <f t="shared" ref="H59" si="272">H63+5</f>
        <v>278</v>
      </c>
      <c r="I59" s="574"/>
      <c r="J59" s="574"/>
      <c r="K59" s="574"/>
      <c r="L59" s="574"/>
      <c r="M59" s="574"/>
      <c r="N59" s="520"/>
      <c r="O59" s="514">
        <f t="shared" ref="O59" si="273">O63+5</f>
        <v>279</v>
      </c>
      <c r="P59" s="514"/>
      <c r="Q59" s="462"/>
      <c r="R59" s="690">
        <f t="shared" ref="R59" si="274">R63+5</f>
        <v>280</v>
      </c>
      <c r="S59" s="690"/>
      <c r="T59" s="691"/>
      <c r="U59" s="691"/>
      <c r="V59" s="514">
        <f t="shared" ref="V59" si="275">V63+5</f>
        <v>281</v>
      </c>
      <c r="W59" s="514"/>
      <c r="X59" s="514"/>
      <c r="Y59" s="514">
        <f t="shared" ref="Y59" si="276">Y63+5</f>
        <v>282</v>
      </c>
      <c r="Z59" s="463"/>
      <c r="AA59" s="463"/>
      <c r="AB59" s="464"/>
      <c r="AC59" s="616" t="s">
        <v>1271</v>
      </c>
      <c r="AD59" s="617">
        <f>COUNTIF(Check[סימון],("S."&amp;"*"&amp;$AC59&amp;"."&amp;AD$5&amp;"*"))</f>
        <v>1</v>
      </c>
      <c r="AE59" s="618">
        <f>COUNTIF(Check[סימון],("O."&amp;"*"&amp;$AC59&amp;"."&amp;AE$5&amp;"*"))</f>
        <v>0</v>
      </c>
      <c r="AF59" s="619">
        <f>COUNTIF(Check[סימון],("V."&amp;"*"&amp;$AC59&amp;"."&amp;AF$5&amp;"*"))</f>
        <v>3</v>
      </c>
      <c r="AG59" s="620">
        <f>SUM(AD59:AF59)</f>
        <v>4</v>
      </c>
      <c r="AH59" s="621">
        <f>SUM(AI59,AG59)</f>
        <v>5</v>
      </c>
      <c r="AI59" s="622">
        <f>SUM(AJ59:AL59)</f>
        <v>1</v>
      </c>
      <c r="AJ59" s="623">
        <f>COUNTIF(Check[סימון],("V."&amp;"*"&amp;$AC59&amp;"."&amp;AJ$5&amp;"*"))</f>
        <v>0</v>
      </c>
      <c r="AK59" s="618">
        <f>COUNTIF(Check[סימון],("O."&amp;"*"&amp;$AC59&amp;"."&amp;AK$5&amp;"*"))</f>
        <v>1</v>
      </c>
      <c r="AL59" s="624">
        <f>COUNTIF(Check[סימון],("S."&amp;"*"&amp;$AC59&amp;"."&amp;AL$5&amp;"*"))</f>
        <v>0</v>
      </c>
      <c r="AM59" s="625" t="s">
        <v>1271</v>
      </c>
      <c r="AN59" s="626"/>
      <c r="AO59" s="465">
        <f t="shared" ref="AO59" si="277">AO63+5</f>
        <v>276</v>
      </c>
      <c r="AP59" s="520"/>
      <c r="AQ59" s="578">
        <f t="shared" ref="AQ59" si="278">AQ63+5</f>
        <v>275</v>
      </c>
      <c r="AR59" s="520"/>
      <c r="AS59" s="578">
        <f t="shared" ref="AS59" si="279">AS63+5</f>
        <v>274</v>
      </c>
      <c r="AT59" s="461"/>
      <c r="AU59" s="461"/>
      <c r="AV59" s="520"/>
      <c r="AW59" s="578">
        <f t="shared" ref="AW59" si="280">AW63+5</f>
        <v>273</v>
      </c>
      <c r="AX59" s="461"/>
      <c r="AY59" s="520"/>
      <c r="AZ59" s="520"/>
      <c r="BA59" s="578">
        <f t="shared" ref="BA59" si="281">BA63+5</f>
        <v>272</v>
      </c>
      <c r="BB59" s="461"/>
      <c r="BC59" s="466"/>
      <c r="BD59" s="466"/>
      <c r="BE59" s="466"/>
      <c r="BF59" s="466"/>
      <c r="BG59" s="579"/>
      <c r="BH59" s="557"/>
      <c r="BI59" s="557"/>
      <c r="BJ59" s="557"/>
      <c r="BK59" s="559"/>
      <c r="BL59" s="483" t="s">
        <v>0</v>
      </c>
      <c r="BM59" s="469" t="str">
        <f t="shared" ref="BM59" si="282">_xlfn.CONCAT("קומה ",BM60)</f>
        <v>קומה 37</v>
      </c>
      <c r="BN59" s="955"/>
      <c r="BO59" s="470"/>
      <c r="BP59" s="471" t="s">
        <v>0</v>
      </c>
    </row>
    <row r="60" spans="1:68" ht="18.75" hidden="1" customHeight="1" x14ac:dyDescent="0.3">
      <c r="A60" s="937"/>
      <c r="B60" s="472">
        <f t="shared" si="40"/>
        <v>37</v>
      </c>
      <c r="C60" s="473" t="s">
        <v>89</v>
      </c>
      <c r="D60" s="560"/>
      <c r="E60" s="535"/>
      <c r="F60" s="535"/>
      <c r="G60" s="535"/>
      <c r="H60" s="475" t="str">
        <f>VLOOKUP("*"&amp;H$5&amp;".Ap."&amp;H59,Check2,1,FALSE)</f>
        <v>S.P.4D.TS.Ap.278</v>
      </c>
      <c r="I60" s="525" t="str">
        <f t="shared" ref="I60:N60" si="283">H60</f>
        <v>S.P.4D.TS.Ap.278</v>
      </c>
      <c r="J60" s="525" t="str">
        <f t="shared" si="283"/>
        <v>S.P.4D.TS.Ap.278</v>
      </c>
      <c r="K60" s="525" t="str">
        <f t="shared" si="283"/>
        <v>S.P.4D.TS.Ap.278</v>
      </c>
      <c r="L60" s="525" t="str">
        <f t="shared" si="283"/>
        <v>S.P.4D.TS.Ap.278</v>
      </c>
      <c r="M60" s="525" t="str">
        <f t="shared" si="283"/>
        <v>S.P.4D.TS.Ap.278</v>
      </c>
      <c r="N60" s="477" t="str">
        <f t="shared" si="283"/>
        <v>S.P.4D.TS.Ap.278</v>
      </c>
      <c r="O60" s="525" t="str">
        <f>VLOOKUP("*"&amp;O$5&amp;".Ap."&amp;O59,Check2,1,FALSE)</f>
        <v>S.P.4E.TS.Ap.279</v>
      </c>
      <c r="P60" s="525" t="str">
        <f t="shared" ref="P60:Q60" si="284">O60</f>
        <v>S.P.4E.TS.Ap.279</v>
      </c>
      <c r="Q60" s="477" t="str">
        <f t="shared" si="284"/>
        <v>S.P.4E.TS.Ap.279</v>
      </c>
      <c r="R60" s="692" t="str">
        <f>VLOOKUP("*"&amp;R$5&amp;".Ap."&amp;R59,Check2,1,FALSE)</f>
        <v>S.P.4F.TS.Ap.280</v>
      </c>
      <c r="S60" s="692" t="str">
        <f t="shared" ref="S60:U60" si="285">R60</f>
        <v>S.P.4F.TS.Ap.280</v>
      </c>
      <c r="T60" s="693" t="str">
        <f t="shared" si="285"/>
        <v>S.P.4F.TS.Ap.280</v>
      </c>
      <c r="U60" s="693" t="str">
        <f t="shared" si="285"/>
        <v>S.P.4F.TS.Ap.280</v>
      </c>
      <c r="V60" s="525" t="str">
        <f>VLOOKUP("*"&amp;V$5&amp;".Ap."&amp;V59,Check2,1,FALSE)</f>
        <v>O.P.5AP.TS.Ap.281</v>
      </c>
      <c r="W60" s="525" t="str">
        <f t="shared" si="44"/>
        <v>O.P.5AP.TS.Ap.281</v>
      </c>
      <c r="X60" s="525" t="str">
        <f t="shared" ref="X60" si="286">V60</f>
        <v>O.P.5AP.TS.Ap.281</v>
      </c>
      <c r="Y60" s="525" t="str">
        <f>VLOOKUP("*"&amp;Y$5&amp;".Ap."&amp;Y59,Check2,1,FALSE)</f>
        <v>O.P.5BP.TS.Ap.282</v>
      </c>
      <c r="Z60" s="478" t="str">
        <f t="shared" si="46"/>
        <v>O.P.5BP.TS.Ap.282</v>
      </c>
      <c r="AA60" s="478" t="str">
        <f t="shared" ref="AA60" si="287">Y60</f>
        <v>O.P.5BP.TS.Ap.282</v>
      </c>
      <c r="AB60" s="479"/>
      <c r="AC60" s="627"/>
      <c r="AD60" s="628"/>
      <c r="AE60" s="629"/>
      <c r="AF60" s="630"/>
      <c r="AG60" s="631"/>
      <c r="AH60" s="632"/>
      <c r="AI60" s="627"/>
      <c r="AJ60" s="633"/>
      <c r="AK60" s="629"/>
      <c r="AL60" s="634"/>
      <c r="AM60" s="635"/>
      <c r="AN60" s="636"/>
      <c r="AO60" s="480" t="str">
        <f>VLOOKUP("*"&amp;AO$5&amp;".Ap."&amp;AO59,Check2,1,FALSE)</f>
        <v>S.P.5BP.TN.Ap.276</v>
      </c>
      <c r="AP60" s="477" t="str">
        <f t="shared" ref="AP60" si="288">AO60</f>
        <v>S.P.5BP.TN.Ap.276</v>
      </c>
      <c r="AQ60" s="533" t="str">
        <f>VLOOKUP("*"&amp;AQ$5&amp;".Ap."&amp;AQ59,Check2,1,FALSE)</f>
        <v>S.P.5AP.TN.Ap.275</v>
      </c>
      <c r="AR60" s="477" t="str">
        <f t="shared" ref="AR60" si="289">AQ60</f>
        <v>S.P.5AP.TN.Ap.275</v>
      </c>
      <c r="AS60" s="533" t="str">
        <f>VLOOKUP("*"&amp;AS$5&amp;".Ap."&amp;AS59,Check2,1,FALSE)</f>
        <v>S.P.4F.TN.Ap.274</v>
      </c>
      <c r="AT60" s="476" t="str">
        <f t="shared" ref="AT60:AV60" si="290">AS60</f>
        <v>S.P.4F.TN.Ap.274</v>
      </c>
      <c r="AU60" s="476" t="str">
        <f t="shared" si="290"/>
        <v>S.P.4F.TN.Ap.274</v>
      </c>
      <c r="AV60" s="477" t="str">
        <f t="shared" si="290"/>
        <v>S.P.4F.TN.Ap.274</v>
      </c>
      <c r="AW60" s="533" t="str">
        <f>VLOOKUP("*"&amp;AW$5&amp;".Ap."&amp;AW59,Check2,1,FALSE)</f>
        <v>O.P.4E.TN.Ap.273</v>
      </c>
      <c r="AX60" s="476" t="str">
        <f t="shared" ref="AX60:AZ60" si="291">AW60</f>
        <v>O.P.4E.TN.Ap.273</v>
      </c>
      <c r="AY60" s="477" t="str">
        <f t="shared" si="291"/>
        <v>O.P.4E.TN.Ap.273</v>
      </c>
      <c r="AZ60" s="477" t="str">
        <f t="shared" si="291"/>
        <v>O.P.4E.TN.Ap.273</v>
      </c>
      <c r="BA60" s="533" t="str">
        <f>VLOOKUP("*"&amp;BA$5&amp;".Ap."&amp;BA59,Check2,1,FALSE)</f>
        <v>V.GMS.P.4D.TN.Ap.272</v>
      </c>
      <c r="BB60" s="476" t="str">
        <f t="shared" ref="BB60:BG60" si="292">BA60</f>
        <v>V.GMS.P.4D.TN.Ap.272</v>
      </c>
      <c r="BC60" s="481" t="str">
        <f t="shared" si="292"/>
        <v>V.GMS.P.4D.TN.Ap.272</v>
      </c>
      <c r="BD60" s="481" t="str">
        <f t="shared" si="292"/>
        <v>V.GMS.P.4D.TN.Ap.272</v>
      </c>
      <c r="BE60" s="481" t="str">
        <f t="shared" si="292"/>
        <v>V.GMS.P.4D.TN.Ap.272</v>
      </c>
      <c r="BF60" s="481" t="str">
        <f t="shared" si="292"/>
        <v>V.GMS.P.4D.TN.Ap.272</v>
      </c>
      <c r="BG60" s="534" t="str">
        <f t="shared" si="292"/>
        <v>V.GMS.P.4D.TN.Ap.272</v>
      </c>
      <c r="BH60" s="535"/>
      <c r="BI60" s="535"/>
      <c r="BJ60" s="535"/>
      <c r="BK60" s="561"/>
      <c r="BL60" s="483" t="s">
        <v>89</v>
      </c>
      <c r="BM60" s="472">
        <f t="shared" si="53"/>
        <v>37</v>
      </c>
      <c r="BN60" s="955"/>
      <c r="BO60" s="484"/>
      <c r="BP60" s="485" t="s">
        <v>89</v>
      </c>
    </row>
    <row r="61" spans="1:68" ht="18.75" customHeight="1" x14ac:dyDescent="0.3">
      <c r="A61" s="937"/>
      <c r="B61" s="486"/>
      <c r="C61" s="487" t="s">
        <v>65</v>
      </c>
      <c r="D61" s="562"/>
      <c r="E61" s="563"/>
      <c r="F61" s="563"/>
      <c r="G61" s="563"/>
      <c r="H61" s="488">
        <f>VLOOKUP(H60,Check2,5,FALSE)</f>
        <v>3701</v>
      </c>
      <c r="I61" s="583"/>
      <c r="J61" s="583"/>
      <c r="K61" s="583"/>
      <c r="L61" s="583"/>
      <c r="M61" s="583"/>
      <c r="N61" s="584"/>
      <c r="O61" s="539">
        <f>VLOOKUP(O60,Check2,5,FALSE)</f>
        <v>3702</v>
      </c>
      <c r="P61" s="539"/>
      <c r="Q61" s="490"/>
      <c r="R61" s="694">
        <f>VLOOKUP(R60,Check2,5,FALSE)</f>
        <v>3703</v>
      </c>
      <c r="S61" s="694"/>
      <c r="T61" s="695"/>
      <c r="U61" s="695"/>
      <c r="V61" s="539">
        <f>VLOOKUP(V60,Check2,5,FALSE)</f>
        <v>3704</v>
      </c>
      <c r="W61" s="539"/>
      <c r="X61" s="539"/>
      <c r="Y61" s="539">
        <f>VLOOKUP(Y60,Check2,5,FALSE)</f>
        <v>3705</v>
      </c>
      <c r="Z61" s="491"/>
      <c r="AA61" s="491"/>
      <c r="AB61" s="449"/>
      <c r="AC61" s="1030" t="s">
        <v>26</v>
      </c>
      <c r="AD61" s="1032">
        <f>COUNTIF(Check[סימון],("S."&amp;"*"&amp;$AC61&amp;"."&amp;AD$5&amp;"*"))</f>
        <v>8</v>
      </c>
      <c r="AE61" s="1034">
        <f>COUNTIF(Check[סימון],("O."&amp;"*"&amp;$AC61&amp;"."&amp;AE$5&amp;"*"))</f>
        <v>4</v>
      </c>
      <c r="AF61" s="1054">
        <f>COUNTIF(Check[סימון],("V."&amp;"*"&amp;$AC61&amp;"."&amp;AF$5&amp;"*"))</f>
        <v>0</v>
      </c>
      <c r="AG61" s="1056">
        <f>SUM(AD61:AF61)</f>
        <v>12</v>
      </c>
      <c r="AH61" s="1040">
        <f>SUM(AI61,AG61)</f>
        <v>26</v>
      </c>
      <c r="AI61" s="1042">
        <f>SUM(AJ61:AL61)</f>
        <v>14</v>
      </c>
      <c r="AJ61" s="1058">
        <f>COUNTIF(Check[סימון],("V."&amp;"*"&amp;$AC61&amp;"."&amp;AJ$5&amp;"*"))</f>
        <v>0</v>
      </c>
      <c r="AK61" s="1034">
        <f>COUNTIF(Check[סימון],("O."&amp;"*"&amp;$AC61&amp;"."&amp;AK$5&amp;"*"))</f>
        <v>4</v>
      </c>
      <c r="AL61" s="1064">
        <f>COUNTIF(Check[סימון],("S."&amp;"*"&amp;$AC61&amp;"."&amp;AL$5&amp;"*"))</f>
        <v>10</v>
      </c>
      <c r="AM61" s="1066" t="s">
        <v>26</v>
      </c>
      <c r="AN61" s="637"/>
      <c r="AO61" s="492">
        <f>VLOOKUP(AO60,Check2,5,FALSE)</f>
        <v>3702</v>
      </c>
      <c r="AP61" s="543"/>
      <c r="AQ61" s="589">
        <f>VLOOKUP(AQ60,Check2,5,FALSE)</f>
        <v>3703</v>
      </c>
      <c r="AR61" s="543"/>
      <c r="AS61" s="589">
        <f>VLOOKUP(AS60,Check2,5,FALSE)</f>
        <v>3704</v>
      </c>
      <c r="AT61" s="489"/>
      <c r="AU61" s="489"/>
      <c r="AV61" s="543"/>
      <c r="AW61" s="589">
        <f>VLOOKUP(AW60,Check2,5,FALSE)</f>
        <v>3705</v>
      </c>
      <c r="AX61" s="590"/>
      <c r="AY61" s="584"/>
      <c r="AZ61" s="584"/>
      <c r="BA61" s="589">
        <f>VLOOKUP(BA60,Check2,5,FALSE)</f>
        <v>3701</v>
      </c>
      <c r="BB61" s="590"/>
      <c r="BC61" s="591"/>
      <c r="BD61" s="591"/>
      <c r="BE61" s="591"/>
      <c r="BF61" s="591"/>
      <c r="BG61" s="592"/>
      <c r="BH61" s="563"/>
      <c r="BI61" s="563"/>
      <c r="BJ61" s="563"/>
      <c r="BK61" s="564"/>
      <c r="BL61" s="495" t="s">
        <v>65</v>
      </c>
      <c r="BM61" s="486"/>
      <c r="BN61" s="955"/>
      <c r="BO61" s="434"/>
      <c r="BP61" s="496" t="s">
        <v>1078</v>
      </c>
    </row>
    <row r="62" spans="1:68" ht="19.5" customHeight="1" thickBot="1" x14ac:dyDescent="0.45">
      <c r="A62" s="1014"/>
      <c r="B62" s="593">
        <f t="shared" ref="B62" si="293">B66+3.6</f>
        <v>135.64000000000004</v>
      </c>
      <c r="C62" s="594" t="s">
        <v>1</v>
      </c>
      <c r="D62" s="567"/>
      <c r="E62" s="568"/>
      <c r="F62" s="568"/>
      <c r="G62" s="568"/>
      <c r="H62" s="595" t="str">
        <f>VLOOKUP(H60,Check2,6,FALSE)</f>
        <v>4D</v>
      </c>
      <c r="I62" s="596"/>
      <c r="J62" s="596"/>
      <c r="K62" s="596"/>
      <c r="L62" s="596"/>
      <c r="M62" s="596"/>
      <c r="N62" s="597"/>
      <c r="O62" s="548" t="str">
        <f>VLOOKUP(O60,Check2,6,FALSE)</f>
        <v>4E</v>
      </c>
      <c r="P62" s="548"/>
      <c r="Q62" s="549"/>
      <c r="R62" s="696" t="str">
        <f>VLOOKUP(R60,Check2,6,FALSE)</f>
        <v>4F</v>
      </c>
      <c r="S62" s="696"/>
      <c r="T62" s="697"/>
      <c r="U62" s="697"/>
      <c r="V62" s="548" t="str">
        <f>VLOOKUP(V60,Check2,6,FALSE)</f>
        <v>5AP</v>
      </c>
      <c r="W62" s="548"/>
      <c r="X62" s="548"/>
      <c r="Y62" s="548" t="str">
        <f>VLOOKUP(Y60,Check2,6,FALSE)</f>
        <v>5BP</v>
      </c>
      <c r="Z62" s="615"/>
      <c r="AA62" s="615"/>
      <c r="AB62" s="503"/>
      <c r="AC62" s="1031"/>
      <c r="AD62" s="1033"/>
      <c r="AE62" s="1035"/>
      <c r="AF62" s="1055"/>
      <c r="AG62" s="1057"/>
      <c r="AH62" s="1041"/>
      <c r="AI62" s="1043"/>
      <c r="AJ62" s="1059"/>
      <c r="AK62" s="1035"/>
      <c r="AL62" s="1065"/>
      <c r="AM62" s="1067"/>
      <c r="AN62" s="640"/>
      <c r="AO62" s="602" t="str">
        <f>VLOOKUP(AO60,Check2,6,FALSE)</f>
        <v>5BP</v>
      </c>
      <c r="AP62" s="553"/>
      <c r="AQ62" s="603" t="str">
        <f>VLOOKUP(AQ60,Check2,6,FALSE)</f>
        <v>5AP</v>
      </c>
      <c r="AR62" s="553"/>
      <c r="AS62" s="603" t="str">
        <f>VLOOKUP(AS60,Check2,6,FALSE)</f>
        <v>4F</v>
      </c>
      <c r="AT62" s="552"/>
      <c r="AU62" s="552"/>
      <c r="AV62" s="553"/>
      <c r="AW62" s="603" t="str">
        <f>VLOOKUP(AW60,Check2,6,FALSE)</f>
        <v>4E</v>
      </c>
      <c r="AX62" s="604"/>
      <c r="AY62" s="597"/>
      <c r="AZ62" s="597"/>
      <c r="BA62" s="603" t="str">
        <f>VLOOKUP(BA60,Check2,6,FALSE)</f>
        <v>4D</v>
      </c>
      <c r="BB62" s="604"/>
      <c r="BC62" s="605"/>
      <c r="BD62" s="605"/>
      <c r="BE62" s="605"/>
      <c r="BF62" s="605"/>
      <c r="BG62" s="606"/>
      <c r="BH62" s="568"/>
      <c r="BI62" s="568"/>
      <c r="BJ62" s="568"/>
      <c r="BK62" s="572"/>
      <c r="BL62" s="607" t="s">
        <v>1</v>
      </c>
      <c r="BM62" s="593">
        <f t="shared" ref="BM62" si="294">BM66+3.6</f>
        <v>135.64000000000004</v>
      </c>
      <c r="BN62" s="1015"/>
      <c r="BO62" s="509"/>
      <c r="BP62" s="510" t="s">
        <v>1</v>
      </c>
    </row>
    <row r="63" spans="1:68" ht="25.5" x14ac:dyDescent="0.45">
      <c r="A63" s="937"/>
      <c r="B63" s="469" t="str">
        <f t="shared" ref="B63" si="295">_xlfn.CONCAT("קומה ",B64)</f>
        <v>קומה 36</v>
      </c>
      <c r="C63" s="473" t="s">
        <v>0</v>
      </c>
      <c r="D63" s="556"/>
      <c r="E63" s="557"/>
      <c r="F63" s="557"/>
      <c r="G63" s="557"/>
      <c r="H63" s="460">
        <f t="shared" ref="H63" si="296">H67+5</f>
        <v>273</v>
      </c>
      <c r="I63" s="574"/>
      <c r="J63" s="574"/>
      <c r="K63" s="574"/>
      <c r="L63" s="574"/>
      <c r="M63" s="574"/>
      <c r="N63" s="520"/>
      <c r="O63" s="514">
        <f t="shared" ref="O63" si="297">O67+5</f>
        <v>274</v>
      </c>
      <c r="P63" s="514"/>
      <c r="Q63" s="462"/>
      <c r="R63" s="514">
        <f t="shared" ref="R63" si="298">R67+5</f>
        <v>275</v>
      </c>
      <c r="S63" s="514"/>
      <c r="T63" s="462"/>
      <c r="U63" s="462"/>
      <c r="V63" s="514">
        <f t="shared" ref="V63" si="299">V67+5</f>
        <v>276</v>
      </c>
      <c r="W63" s="514"/>
      <c r="X63" s="514"/>
      <c r="Y63" s="514">
        <f t="shared" ref="Y63" si="300">Y67+5</f>
        <v>277</v>
      </c>
      <c r="Z63" s="463"/>
      <c r="AA63" s="463"/>
      <c r="AB63" s="464"/>
      <c r="AC63" s="616" t="s">
        <v>27</v>
      </c>
      <c r="AD63" s="617">
        <f>COUNTIF(Check[סימון],("S."&amp;"*"&amp;$AC63&amp;"."&amp;AD$5&amp;"*"))</f>
        <v>6</v>
      </c>
      <c r="AE63" s="618">
        <f>COUNTIF(Check[סימון],("O."&amp;"*"&amp;$AC63&amp;"."&amp;AE$5&amp;"*"))</f>
        <v>3</v>
      </c>
      <c r="AF63" s="619">
        <f>COUNTIF(Check[סימון],("V."&amp;"*"&amp;$AC63&amp;"."&amp;AF$5&amp;"*"))</f>
        <v>5</v>
      </c>
      <c r="AG63" s="620">
        <f>SUM(AD63:AF63)</f>
        <v>14</v>
      </c>
      <c r="AH63" s="621">
        <f>SUM(AI63,AG63)</f>
        <v>28</v>
      </c>
      <c r="AI63" s="622">
        <f>SUM(AJ63:AL63)</f>
        <v>14</v>
      </c>
      <c r="AJ63" s="623">
        <f>COUNTIF(Check[סימון],("V."&amp;"*"&amp;$AC63&amp;"."&amp;AJ$5&amp;"*"))</f>
        <v>11</v>
      </c>
      <c r="AK63" s="618">
        <f>COUNTIF(Check[סימון],("O."&amp;"*"&amp;$AC63&amp;"."&amp;AK$5&amp;"*"))</f>
        <v>2</v>
      </c>
      <c r="AL63" s="624">
        <f>COUNTIF(Check[סימון],("S."&amp;"*"&amp;$AC63&amp;"."&amp;AL$5&amp;"*"))</f>
        <v>1</v>
      </c>
      <c r="AM63" s="625" t="s">
        <v>27</v>
      </c>
      <c r="AN63" s="626"/>
      <c r="AO63" s="465">
        <f t="shared" ref="AO63" si="301">AO67+5</f>
        <v>271</v>
      </c>
      <c r="AP63" s="520"/>
      <c r="AQ63" s="578">
        <f t="shared" ref="AQ63" si="302">AQ67+5</f>
        <v>270</v>
      </c>
      <c r="AR63" s="520"/>
      <c r="AS63" s="578">
        <f t="shared" ref="AS63" si="303">AS67+5</f>
        <v>269</v>
      </c>
      <c r="AT63" s="461"/>
      <c r="AU63" s="461"/>
      <c r="AV63" s="520"/>
      <c r="AW63" s="578">
        <f t="shared" ref="AW63" si="304">AW67+5</f>
        <v>268</v>
      </c>
      <c r="AX63" s="461"/>
      <c r="AY63" s="520"/>
      <c r="AZ63" s="520"/>
      <c r="BA63" s="578">
        <f t="shared" ref="BA63" si="305">BA67+5</f>
        <v>267</v>
      </c>
      <c r="BB63" s="461"/>
      <c r="BC63" s="466"/>
      <c r="BD63" s="466"/>
      <c r="BE63" s="466"/>
      <c r="BF63" s="466"/>
      <c r="BG63" s="579"/>
      <c r="BH63" s="557"/>
      <c r="BI63" s="557"/>
      <c r="BJ63" s="557"/>
      <c r="BK63" s="559"/>
      <c r="BL63" s="483" t="s">
        <v>0</v>
      </c>
      <c r="BM63" s="469" t="str">
        <f t="shared" ref="BM63" si="306">_xlfn.CONCAT("קומה ",BM64)</f>
        <v>קומה 36</v>
      </c>
      <c r="BN63" s="955"/>
      <c r="BO63" s="470"/>
      <c r="BP63" s="471" t="s">
        <v>0</v>
      </c>
    </row>
    <row r="64" spans="1:68" ht="25.5" hidden="1" x14ac:dyDescent="0.3">
      <c r="A64" s="937"/>
      <c r="B64" s="472">
        <f t="shared" si="40"/>
        <v>36</v>
      </c>
      <c r="C64" s="473" t="s">
        <v>89</v>
      </c>
      <c r="D64" s="560"/>
      <c r="E64" s="535"/>
      <c r="F64" s="535"/>
      <c r="G64" s="535"/>
      <c r="H64" s="475" t="str">
        <f>VLOOKUP("*"&amp;H$5&amp;".Ap."&amp;H63,Check2,1,FALSE)</f>
        <v>V.GMS.P.4D.TS.Ap.273</v>
      </c>
      <c r="I64" s="525" t="str">
        <f t="shared" ref="I64:N64" si="307">H64</f>
        <v>V.GMS.P.4D.TS.Ap.273</v>
      </c>
      <c r="J64" s="525" t="str">
        <f t="shared" si="307"/>
        <v>V.GMS.P.4D.TS.Ap.273</v>
      </c>
      <c r="K64" s="525" t="str">
        <f t="shared" si="307"/>
        <v>V.GMS.P.4D.TS.Ap.273</v>
      </c>
      <c r="L64" s="525" t="str">
        <f t="shared" si="307"/>
        <v>V.GMS.P.4D.TS.Ap.273</v>
      </c>
      <c r="M64" s="525" t="str">
        <f t="shared" si="307"/>
        <v>V.GMS.P.4D.TS.Ap.273</v>
      </c>
      <c r="N64" s="477" t="str">
        <f t="shared" si="307"/>
        <v>V.GMS.P.4D.TS.Ap.273</v>
      </c>
      <c r="O64" s="525" t="str">
        <f>VLOOKUP("*"&amp;O$5&amp;".Ap."&amp;O63,Check2,1,FALSE)</f>
        <v>S.P.4E.TS.Ap.274</v>
      </c>
      <c r="P64" s="525" t="str">
        <f t="shared" ref="P64:Q64" si="308">O64</f>
        <v>S.P.4E.TS.Ap.274</v>
      </c>
      <c r="Q64" s="477" t="str">
        <f t="shared" si="308"/>
        <v>S.P.4E.TS.Ap.274</v>
      </c>
      <c r="R64" s="525" t="str">
        <f>VLOOKUP("*"&amp;R$5&amp;".Ap."&amp;R63,Check2,1,FALSE)</f>
        <v>O.P.4F.TS.Ap.275</v>
      </c>
      <c r="S64" s="525" t="str">
        <f t="shared" ref="S64:U64" si="309">R64</f>
        <v>O.P.4F.TS.Ap.275</v>
      </c>
      <c r="T64" s="477" t="str">
        <f t="shared" si="309"/>
        <v>O.P.4F.TS.Ap.275</v>
      </c>
      <c r="U64" s="477" t="str">
        <f t="shared" si="309"/>
        <v>O.P.4F.TS.Ap.275</v>
      </c>
      <c r="V64" s="525" t="str">
        <f>VLOOKUP("*"&amp;V$5&amp;".Ap."&amp;V63,Check2,1,FALSE)</f>
        <v>S.P.5AP.TS.Ap.276</v>
      </c>
      <c r="W64" s="525" t="str">
        <f t="shared" si="44"/>
        <v>S.P.5AP.TS.Ap.276</v>
      </c>
      <c r="X64" s="525" t="str">
        <f t="shared" ref="X64" si="310">V64</f>
        <v>S.P.5AP.TS.Ap.276</v>
      </c>
      <c r="Y64" s="525" t="str">
        <f>VLOOKUP("*"&amp;Y$5&amp;".Ap."&amp;Y63,Check2,1,FALSE)</f>
        <v>V.GM.P.5BP.TS.Ap.277</v>
      </c>
      <c r="Z64" s="478" t="str">
        <f t="shared" si="46"/>
        <v>V.GM.P.5BP.TS.Ap.277</v>
      </c>
      <c r="AA64" s="478" t="str">
        <f t="shared" ref="AA64" si="311">Y64</f>
        <v>V.GM.P.5BP.TS.Ap.277</v>
      </c>
      <c r="AB64" s="479"/>
      <c r="AC64" s="627"/>
      <c r="AD64" s="628"/>
      <c r="AE64" s="629"/>
      <c r="AF64" s="630"/>
      <c r="AG64" s="631"/>
      <c r="AH64" s="632"/>
      <c r="AI64" s="627"/>
      <c r="AJ64" s="633"/>
      <c r="AK64" s="629"/>
      <c r="AL64" s="634"/>
      <c r="AM64" s="635"/>
      <c r="AN64" s="636"/>
      <c r="AO64" s="480" t="str">
        <f>VLOOKUP("*"&amp;AO$5&amp;".Ap."&amp;AO63,Check2,1,FALSE)</f>
        <v>S.P.5BP.TN.Ap.271</v>
      </c>
      <c r="AP64" s="477" t="str">
        <f t="shared" ref="AP64" si="312">AO64</f>
        <v>S.P.5BP.TN.Ap.271</v>
      </c>
      <c r="AQ64" s="533" t="str">
        <f>VLOOKUP("*"&amp;AQ$5&amp;".Ap."&amp;AQ63,Check2,1,FALSE)</f>
        <v>S.P.5AP.TN.Ap.270</v>
      </c>
      <c r="AR64" s="477" t="str">
        <f t="shared" ref="AR64" si="313">AQ64</f>
        <v>S.P.5AP.TN.Ap.270</v>
      </c>
      <c r="AS64" s="533" t="str">
        <f>VLOOKUP("*"&amp;AS$5&amp;".Ap."&amp;AS63,Check2,1,FALSE)</f>
        <v>S.P.4F.TN.Ap.269</v>
      </c>
      <c r="AT64" s="476" t="str">
        <f t="shared" ref="AT64:AV64" si="314">AS64</f>
        <v>S.P.4F.TN.Ap.269</v>
      </c>
      <c r="AU64" s="476" t="str">
        <f t="shared" si="314"/>
        <v>S.P.4F.TN.Ap.269</v>
      </c>
      <c r="AV64" s="477" t="str">
        <f t="shared" si="314"/>
        <v>S.P.4F.TN.Ap.269</v>
      </c>
      <c r="AW64" s="533" t="str">
        <f>VLOOKUP("*"&amp;AW$5&amp;".Ap."&amp;AW63,Check2,1,FALSE)</f>
        <v>S.P.4E.TN.Ap.268</v>
      </c>
      <c r="AX64" s="476" t="str">
        <f t="shared" ref="AX64:AZ64" si="315">AW64</f>
        <v>S.P.4E.TN.Ap.268</v>
      </c>
      <c r="AY64" s="477" t="str">
        <f t="shared" si="315"/>
        <v>S.P.4E.TN.Ap.268</v>
      </c>
      <c r="AZ64" s="477" t="str">
        <f t="shared" si="315"/>
        <v>S.P.4E.TN.Ap.268</v>
      </c>
      <c r="BA64" s="533" t="str">
        <f>VLOOKUP("*"&amp;BA$5&amp;".Ap."&amp;BA63,Check2,1,FALSE)</f>
        <v>V.GMS.P.4D.TN.Ap.267</v>
      </c>
      <c r="BB64" s="476" t="str">
        <f t="shared" ref="BB64:BG64" si="316">BA64</f>
        <v>V.GMS.P.4D.TN.Ap.267</v>
      </c>
      <c r="BC64" s="481" t="str">
        <f t="shared" si="316"/>
        <v>V.GMS.P.4D.TN.Ap.267</v>
      </c>
      <c r="BD64" s="481" t="str">
        <f t="shared" si="316"/>
        <v>V.GMS.P.4D.TN.Ap.267</v>
      </c>
      <c r="BE64" s="481" t="str">
        <f t="shared" si="316"/>
        <v>V.GMS.P.4D.TN.Ap.267</v>
      </c>
      <c r="BF64" s="481" t="str">
        <f t="shared" si="316"/>
        <v>V.GMS.P.4D.TN.Ap.267</v>
      </c>
      <c r="BG64" s="534" t="str">
        <f t="shared" si="316"/>
        <v>V.GMS.P.4D.TN.Ap.267</v>
      </c>
      <c r="BH64" s="535"/>
      <c r="BI64" s="535"/>
      <c r="BJ64" s="535"/>
      <c r="BK64" s="561"/>
      <c r="BL64" s="483" t="s">
        <v>89</v>
      </c>
      <c r="BM64" s="472">
        <f t="shared" si="53"/>
        <v>36</v>
      </c>
      <c r="BN64" s="955"/>
      <c r="BO64" s="484"/>
      <c r="BP64" s="485" t="s">
        <v>89</v>
      </c>
    </row>
    <row r="65" spans="1:68" ht="18.75" customHeight="1" x14ac:dyDescent="0.3">
      <c r="A65" s="937"/>
      <c r="B65" s="486"/>
      <c r="C65" s="487" t="s">
        <v>65</v>
      </c>
      <c r="D65" s="562"/>
      <c r="E65" s="563"/>
      <c r="F65" s="563"/>
      <c r="G65" s="563"/>
      <c r="H65" s="488">
        <f>VLOOKUP(H64,Check2,5,FALSE)</f>
        <v>3601</v>
      </c>
      <c r="I65" s="583"/>
      <c r="J65" s="583"/>
      <c r="K65" s="583"/>
      <c r="L65" s="583"/>
      <c r="M65" s="583"/>
      <c r="N65" s="584"/>
      <c r="O65" s="539">
        <f>VLOOKUP(O64,Check2,5,FALSE)</f>
        <v>3602</v>
      </c>
      <c r="P65" s="539"/>
      <c r="Q65" s="490"/>
      <c r="R65" s="539">
        <f>VLOOKUP(R64,Check2,5,FALSE)</f>
        <v>3603</v>
      </c>
      <c r="S65" s="539"/>
      <c r="T65" s="490"/>
      <c r="U65" s="490"/>
      <c r="V65" s="539">
        <f>VLOOKUP(V64,Check2,5,FALSE)</f>
        <v>3604</v>
      </c>
      <c r="W65" s="539"/>
      <c r="X65" s="539"/>
      <c r="Y65" s="539">
        <f>VLOOKUP(Y64,Check2,5,FALSE)</f>
        <v>3605</v>
      </c>
      <c r="Z65" s="491"/>
      <c r="AA65" s="491"/>
      <c r="AB65" s="449"/>
      <c r="AC65" s="1030" t="s">
        <v>28</v>
      </c>
      <c r="AD65" s="1032">
        <f>COUNTIF(Check[סימון],("S."&amp;"*"&amp;$AC65&amp;"."&amp;AD$5&amp;"*"))</f>
        <v>8</v>
      </c>
      <c r="AE65" s="1034">
        <f>COUNTIF(Check[סימון],("O."&amp;"*"&amp;$AC65&amp;"."&amp;AE$5&amp;"*"))</f>
        <v>6</v>
      </c>
      <c r="AF65" s="1054">
        <f>COUNTIF(Check[סימון],("V."&amp;"*"&amp;$AC65&amp;"."&amp;AF$5&amp;"*"))</f>
        <v>0</v>
      </c>
      <c r="AG65" s="1056">
        <f>SUM(AD65:AF65)</f>
        <v>14</v>
      </c>
      <c r="AH65" s="1040">
        <f>SUM(AI65,AG65)</f>
        <v>28</v>
      </c>
      <c r="AI65" s="1042">
        <f>SUM(AJ65:AL65)</f>
        <v>14</v>
      </c>
      <c r="AJ65" s="1058">
        <f>COUNTIF(Check[סימון],("V."&amp;"*"&amp;$AC65&amp;"."&amp;AJ$5&amp;"*"))</f>
        <v>0</v>
      </c>
      <c r="AK65" s="1034">
        <f>COUNTIF(Check[סימון],("O."&amp;"*"&amp;$AC65&amp;"."&amp;AK$5&amp;"*"))</f>
        <v>7</v>
      </c>
      <c r="AL65" s="1064">
        <f>COUNTIF(Check[סימון],("S."&amp;"*"&amp;$AC65&amp;"."&amp;AL$5&amp;"*"))</f>
        <v>7</v>
      </c>
      <c r="AM65" s="1066" t="s">
        <v>28</v>
      </c>
      <c r="AN65" s="637"/>
      <c r="AO65" s="492">
        <f>VLOOKUP(AO64,Check2,5,FALSE)</f>
        <v>3602</v>
      </c>
      <c r="AP65" s="543"/>
      <c r="AQ65" s="589">
        <f>VLOOKUP(AQ64,Check2,5,FALSE)</f>
        <v>3603</v>
      </c>
      <c r="AR65" s="543"/>
      <c r="AS65" s="589">
        <f>VLOOKUP(AS64,Check2,5,FALSE)</f>
        <v>3604</v>
      </c>
      <c r="AT65" s="489"/>
      <c r="AU65" s="489"/>
      <c r="AV65" s="543"/>
      <c r="AW65" s="589">
        <f>VLOOKUP(AW64,Check2,5,FALSE)</f>
        <v>3605</v>
      </c>
      <c r="AX65" s="590"/>
      <c r="AY65" s="584"/>
      <c r="AZ65" s="584"/>
      <c r="BA65" s="589">
        <f>VLOOKUP(BA64,Check2,5,FALSE)</f>
        <v>3601</v>
      </c>
      <c r="BB65" s="590"/>
      <c r="BC65" s="591"/>
      <c r="BD65" s="591"/>
      <c r="BE65" s="591"/>
      <c r="BF65" s="591"/>
      <c r="BG65" s="592"/>
      <c r="BH65" s="563"/>
      <c r="BI65" s="563"/>
      <c r="BJ65" s="563"/>
      <c r="BK65" s="564"/>
      <c r="BL65" s="495" t="s">
        <v>65</v>
      </c>
      <c r="BM65" s="486"/>
      <c r="BN65" s="955"/>
      <c r="BO65" s="434"/>
      <c r="BP65" s="496" t="s">
        <v>1078</v>
      </c>
    </row>
    <row r="66" spans="1:68" ht="19.5" customHeight="1" thickBot="1" x14ac:dyDescent="0.45">
      <c r="A66" s="1014"/>
      <c r="B66" s="593">
        <f t="shared" ref="B66" si="317">B70+3.6</f>
        <v>132.04000000000005</v>
      </c>
      <c r="C66" s="594" t="s">
        <v>1</v>
      </c>
      <c r="D66" s="567"/>
      <c r="E66" s="568"/>
      <c r="F66" s="568"/>
      <c r="G66" s="568"/>
      <c r="H66" s="595" t="str">
        <f>VLOOKUP(H64,Check2,6,FALSE)</f>
        <v>4D</v>
      </c>
      <c r="I66" s="596"/>
      <c r="J66" s="596"/>
      <c r="K66" s="596"/>
      <c r="L66" s="596"/>
      <c r="M66" s="596"/>
      <c r="N66" s="597"/>
      <c r="O66" s="548" t="str">
        <f>VLOOKUP(O64,Check2,6,FALSE)</f>
        <v>4E</v>
      </c>
      <c r="P66" s="548"/>
      <c r="Q66" s="549"/>
      <c r="R66" s="548" t="str">
        <f>VLOOKUP(R64,Check2,6,FALSE)</f>
        <v>4F</v>
      </c>
      <c r="S66" s="548"/>
      <c r="T66" s="549"/>
      <c r="U66" s="549"/>
      <c r="V66" s="548" t="str">
        <f>VLOOKUP(V64,Check2,6,FALSE)</f>
        <v>5AP</v>
      </c>
      <c r="W66" s="548"/>
      <c r="X66" s="548"/>
      <c r="Y66" s="548" t="str">
        <f>VLOOKUP(Y64,Check2,6,FALSE)</f>
        <v>5BP</v>
      </c>
      <c r="Z66" s="615"/>
      <c r="AA66" s="615"/>
      <c r="AB66" s="503"/>
      <c r="AC66" s="1031"/>
      <c r="AD66" s="1033"/>
      <c r="AE66" s="1035"/>
      <c r="AF66" s="1055"/>
      <c r="AG66" s="1057"/>
      <c r="AH66" s="1041"/>
      <c r="AI66" s="1043"/>
      <c r="AJ66" s="1059"/>
      <c r="AK66" s="1035"/>
      <c r="AL66" s="1065"/>
      <c r="AM66" s="1067"/>
      <c r="AN66" s="640"/>
      <c r="AO66" s="602" t="str">
        <f>VLOOKUP(AO64,Check2,6,FALSE)</f>
        <v>5BP</v>
      </c>
      <c r="AP66" s="553"/>
      <c r="AQ66" s="603" t="str">
        <f>VLOOKUP(AQ64,Check2,6,FALSE)</f>
        <v>5AP</v>
      </c>
      <c r="AR66" s="553"/>
      <c r="AS66" s="603" t="str">
        <f>VLOOKUP(AS64,Check2,6,FALSE)</f>
        <v>4F</v>
      </c>
      <c r="AT66" s="552"/>
      <c r="AU66" s="552"/>
      <c r="AV66" s="553"/>
      <c r="AW66" s="603" t="str">
        <f>VLOOKUP(AW64,Check2,6,FALSE)</f>
        <v>4E</v>
      </c>
      <c r="AX66" s="604"/>
      <c r="AY66" s="597"/>
      <c r="AZ66" s="597"/>
      <c r="BA66" s="603" t="str">
        <f>VLOOKUP(BA64,Check2,6,FALSE)</f>
        <v>4D</v>
      </c>
      <c r="BB66" s="604"/>
      <c r="BC66" s="605"/>
      <c r="BD66" s="605"/>
      <c r="BE66" s="605"/>
      <c r="BF66" s="605"/>
      <c r="BG66" s="606"/>
      <c r="BH66" s="568"/>
      <c r="BI66" s="568"/>
      <c r="BJ66" s="568"/>
      <c r="BK66" s="572"/>
      <c r="BL66" s="607" t="s">
        <v>1</v>
      </c>
      <c r="BM66" s="593">
        <f t="shared" ref="BM66" si="318">BM70+3.6</f>
        <v>132.04000000000005</v>
      </c>
      <c r="BN66" s="1015"/>
      <c r="BO66" s="509"/>
      <c r="BP66" s="510" t="s">
        <v>1</v>
      </c>
    </row>
    <row r="67" spans="1:68" ht="25.5" x14ac:dyDescent="0.45">
      <c r="A67" s="937"/>
      <c r="B67" s="469" t="str">
        <f t="shared" ref="B67" si="319">_xlfn.CONCAT("קומה ",B68)</f>
        <v>קומה 35</v>
      </c>
      <c r="C67" s="473" t="s">
        <v>0</v>
      </c>
      <c r="D67" s="556"/>
      <c r="E67" s="557"/>
      <c r="F67" s="557"/>
      <c r="G67" s="557"/>
      <c r="H67" s="460">
        <f>H71+5</f>
        <v>268</v>
      </c>
      <c r="I67" s="574"/>
      <c r="J67" s="574"/>
      <c r="K67" s="574"/>
      <c r="L67" s="574"/>
      <c r="M67" s="574"/>
      <c r="N67" s="520"/>
      <c r="O67" s="514">
        <f>O71+5</f>
        <v>269</v>
      </c>
      <c r="P67" s="514"/>
      <c r="Q67" s="462"/>
      <c r="R67" s="514">
        <f>R71+5</f>
        <v>270</v>
      </c>
      <c r="S67" s="514"/>
      <c r="T67" s="462"/>
      <c r="U67" s="462"/>
      <c r="V67" s="514">
        <f>V71+5</f>
        <v>271</v>
      </c>
      <c r="W67" s="514"/>
      <c r="X67" s="514"/>
      <c r="Y67" s="514">
        <f>Y71+5</f>
        <v>272</v>
      </c>
      <c r="Z67" s="463"/>
      <c r="AA67" s="463"/>
      <c r="AB67" s="464"/>
      <c r="AC67" s="616" t="s">
        <v>29</v>
      </c>
      <c r="AD67" s="617">
        <f>COUNTIF(Check[סימון],("S."&amp;"*"&amp;$AC67&amp;"."&amp;AD$5&amp;"*"))</f>
        <v>6</v>
      </c>
      <c r="AE67" s="618">
        <f>COUNTIF(Check[סימון],("O."&amp;"*"&amp;$AC67&amp;"."&amp;AE$5&amp;"*"))</f>
        <v>8</v>
      </c>
      <c r="AF67" s="619">
        <f>COUNTIF(Check[סימון],("V."&amp;"*"&amp;$AC67&amp;"."&amp;AF$5&amp;"*"))</f>
        <v>0</v>
      </c>
      <c r="AG67" s="620">
        <f>SUM(AD67:AF67)</f>
        <v>14</v>
      </c>
      <c r="AH67" s="621">
        <f>SUM(AI67,AG67)</f>
        <v>28</v>
      </c>
      <c r="AI67" s="622">
        <f>SUM(AJ67:AL67)</f>
        <v>14</v>
      </c>
      <c r="AJ67" s="623">
        <f>COUNTIF(Check[סימון],("V."&amp;"*"&amp;$AC67&amp;"."&amp;AJ$5&amp;"*"))</f>
        <v>0</v>
      </c>
      <c r="AK67" s="618">
        <f>COUNTIF(Check[סימון],("O."&amp;"*"&amp;$AC67&amp;"."&amp;AK$5&amp;"*"))</f>
        <v>6</v>
      </c>
      <c r="AL67" s="624">
        <f>COUNTIF(Check[סימון],("S."&amp;"*"&amp;$AC67&amp;"."&amp;AL$5&amp;"*"))</f>
        <v>8</v>
      </c>
      <c r="AM67" s="625" t="s">
        <v>29</v>
      </c>
      <c r="AN67" s="626"/>
      <c r="AO67" s="465">
        <f>AO71+5</f>
        <v>266</v>
      </c>
      <c r="AP67" s="520"/>
      <c r="AQ67" s="578">
        <f>AR71+5</f>
        <v>265</v>
      </c>
      <c r="AR67" s="520"/>
      <c r="AS67" s="578">
        <f>AS71+5</f>
        <v>264</v>
      </c>
      <c r="AT67" s="461"/>
      <c r="AU67" s="461"/>
      <c r="AV67" s="520"/>
      <c r="AW67" s="578">
        <f>AW71+5</f>
        <v>263</v>
      </c>
      <c r="AX67" s="461"/>
      <c r="AY67" s="520"/>
      <c r="AZ67" s="520"/>
      <c r="BA67" s="578">
        <f>BA71+5</f>
        <v>262</v>
      </c>
      <c r="BB67" s="461"/>
      <c r="BC67" s="466"/>
      <c r="BD67" s="466"/>
      <c r="BE67" s="466"/>
      <c r="BF67" s="466"/>
      <c r="BG67" s="579"/>
      <c r="BH67" s="557"/>
      <c r="BI67" s="557"/>
      <c r="BJ67" s="557"/>
      <c r="BK67" s="559"/>
      <c r="BL67" s="483" t="s">
        <v>0</v>
      </c>
      <c r="BM67" s="469" t="str">
        <f t="shared" ref="BM67" si="320">_xlfn.CONCAT("קומה ",BM68)</f>
        <v>קומה 35</v>
      </c>
      <c r="BN67" s="955"/>
      <c r="BO67" s="470"/>
      <c r="BP67" s="471" t="s">
        <v>0</v>
      </c>
    </row>
    <row r="68" spans="1:68" ht="25.5" hidden="1" x14ac:dyDescent="0.3">
      <c r="A68" s="937"/>
      <c r="B68" s="472">
        <f t="shared" ref="B68" si="321">B72+1</f>
        <v>35</v>
      </c>
      <c r="C68" s="473" t="s">
        <v>89</v>
      </c>
      <c r="D68" s="560"/>
      <c r="E68" s="535"/>
      <c r="F68" s="535"/>
      <c r="G68" s="535"/>
      <c r="H68" s="475" t="str">
        <f>VLOOKUP("*"&amp;H$5&amp;".Ap."&amp;H67,Check2,1,FALSE)</f>
        <v>V.GMS.P.4D.TS.Ap.268</v>
      </c>
      <c r="I68" s="525" t="str">
        <f t="shared" ref="I68:N68" si="322">H68</f>
        <v>V.GMS.P.4D.TS.Ap.268</v>
      </c>
      <c r="J68" s="525" t="str">
        <f t="shared" si="322"/>
        <v>V.GMS.P.4D.TS.Ap.268</v>
      </c>
      <c r="K68" s="525" t="str">
        <f t="shared" si="322"/>
        <v>V.GMS.P.4D.TS.Ap.268</v>
      </c>
      <c r="L68" s="525" t="str">
        <f t="shared" si="322"/>
        <v>V.GMS.P.4D.TS.Ap.268</v>
      </c>
      <c r="M68" s="525" t="str">
        <f t="shared" si="322"/>
        <v>V.GMS.P.4D.TS.Ap.268</v>
      </c>
      <c r="N68" s="477" t="str">
        <f t="shared" si="322"/>
        <v>V.GMS.P.4D.TS.Ap.268</v>
      </c>
      <c r="O68" s="525" t="str">
        <f>VLOOKUP("*"&amp;O$5&amp;".Ap."&amp;O67,Check2,1,FALSE)</f>
        <v>O.P.4E.TS.Ap.269</v>
      </c>
      <c r="P68" s="525" t="str">
        <f t="shared" ref="P68:Q68" si="323">O68</f>
        <v>O.P.4E.TS.Ap.269</v>
      </c>
      <c r="Q68" s="477" t="str">
        <f t="shared" si="323"/>
        <v>O.P.4E.TS.Ap.269</v>
      </c>
      <c r="R68" s="525" t="str">
        <f>VLOOKUP("*"&amp;R$5&amp;".Ap."&amp;R67,Check2,1,FALSE)</f>
        <v>S.P.4F.TS.Ap.270</v>
      </c>
      <c r="S68" s="525" t="str">
        <f t="shared" ref="S68:U68" si="324">R68</f>
        <v>S.P.4F.TS.Ap.270</v>
      </c>
      <c r="T68" s="477" t="str">
        <f t="shared" si="324"/>
        <v>S.P.4F.TS.Ap.270</v>
      </c>
      <c r="U68" s="477" t="str">
        <f t="shared" si="324"/>
        <v>S.P.4F.TS.Ap.270</v>
      </c>
      <c r="V68" s="525" t="str">
        <f>VLOOKUP("*"&amp;V$5&amp;".Ap."&amp;V67,Check2,1,FALSE)</f>
        <v>S.P.5AP.TS.Ap.271</v>
      </c>
      <c r="W68" s="525" t="str">
        <f t="shared" ref="W68" si="325">V68</f>
        <v>S.P.5AP.TS.Ap.271</v>
      </c>
      <c r="X68" s="525" t="str">
        <f t="shared" ref="X68" si="326">V68</f>
        <v>S.P.5AP.TS.Ap.271</v>
      </c>
      <c r="Y68" s="525" t="str">
        <f>VLOOKUP("*"&amp;Y$5&amp;".Ap."&amp;Y67,Check2,1,FALSE)</f>
        <v>V.DS.P.5BP.TS.Ap.272</v>
      </c>
      <c r="Z68" s="478" t="str">
        <f t="shared" ref="Z68" si="327">Y68</f>
        <v>V.DS.P.5BP.TS.Ap.272</v>
      </c>
      <c r="AA68" s="478" t="str">
        <f t="shared" ref="AA68" si="328">Y68</f>
        <v>V.DS.P.5BP.TS.Ap.272</v>
      </c>
      <c r="AB68" s="479"/>
      <c r="AC68" s="627"/>
      <c r="AD68" s="628"/>
      <c r="AE68" s="629"/>
      <c r="AF68" s="630"/>
      <c r="AG68" s="631"/>
      <c r="AH68" s="632"/>
      <c r="AI68" s="627"/>
      <c r="AJ68" s="633"/>
      <c r="AK68" s="629"/>
      <c r="AL68" s="634"/>
      <c r="AM68" s="635"/>
      <c r="AN68" s="636"/>
      <c r="AO68" s="480" t="str">
        <f>VLOOKUP("*"&amp;AO$5&amp;".Ap."&amp;AO67,Check2,1,FALSE)</f>
        <v>S.P.5BP.TN.Ap.266</v>
      </c>
      <c r="AP68" s="477" t="str">
        <f>AO68</f>
        <v>S.P.5BP.TN.Ap.266</v>
      </c>
      <c r="AQ68" s="533" t="str">
        <f>VLOOKUP("*"&amp;AQ$5&amp;".Ap."&amp;AQ67,Check2,1,FALSE)</f>
        <v>S.P.5AP.TN.Ap.265</v>
      </c>
      <c r="AR68" s="477" t="str">
        <f>AQ68</f>
        <v>S.P.5AP.TN.Ap.265</v>
      </c>
      <c r="AS68" s="533" t="str">
        <f>VLOOKUP("*"&amp;AS$5&amp;".Ap."&amp;AS67,Check2,1,FALSE)</f>
        <v>O.P.4F.TN.Ap.264</v>
      </c>
      <c r="AT68" s="476" t="str">
        <f>AS68</f>
        <v>O.P.4F.TN.Ap.264</v>
      </c>
      <c r="AU68" s="476" t="str">
        <f>AT68</f>
        <v>O.P.4F.TN.Ap.264</v>
      </c>
      <c r="AV68" s="477" t="str">
        <f>AU68</f>
        <v>O.P.4F.TN.Ap.264</v>
      </c>
      <c r="AW68" s="533" t="str">
        <f>VLOOKUP("*"&amp;AW$5&amp;".Ap."&amp;AW67,Check2,1,FALSE)</f>
        <v>S.P.4E.TN.Ap.263</v>
      </c>
      <c r="AX68" s="476" t="str">
        <f>AW68</f>
        <v>S.P.4E.TN.Ap.263</v>
      </c>
      <c r="AY68" s="477" t="str">
        <f>AX68</f>
        <v>S.P.4E.TN.Ap.263</v>
      </c>
      <c r="AZ68" s="477" t="str">
        <f>AY68</f>
        <v>S.P.4E.TN.Ap.263</v>
      </c>
      <c r="BA68" s="533" t="str">
        <f>VLOOKUP("*"&amp;BA$5&amp;".Ap."&amp;BA67,Check2,1,FALSE)</f>
        <v>V.GMS.P.4D.TN.Ap.262</v>
      </c>
      <c r="BB68" s="476" t="str">
        <f>BA68</f>
        <v>V.GMS.P.4D.TN.Ap.262</v>
      </c>
      <c r="BC68" s="481" t="str">
        <f t="shared" ref="BC68:BG68" si="329">BB68</f>
        <v>V.GMS.P.4D.TN.Ap.262</v>
      </c>
      <c r="BD68" s="481" t="str">
        <f t="shared" si="329"/>
        <v>V.GMS.P.4D.TN.Ap.262</v>
      </c>
      <c r="BE68" s="481" t="str">
        <f t="shared" si="329"/>
        <v>V.GMS.P.4D.TN.Ap.262</v>
      </c>
      <c r="BF68" s="481" t="str">
        <f t="shared" si="329"/>
        <v>V.GMS.P.4D.TN.Ap.262</v>
      </c>
      <c r="BG68" s="534" t="str">
        <f t="shared" si="329"/>
        <v>V.GMS.P.4D.TN.Ap.262</v>
      </c>
      <c r="BH68" s="535"/>
      <c r="BI68" s="535"/>
      <c r="BJ68" s="535"/>
      <c r="BK68" s="561"/>
      <c r="BL68" s="483" t="s">
        <v>89</v>
      </c>
      <c r="BM68" s="472">
        <f t="shared" ref="BM68" si="330">BM72+1</f>
        <v>35</v>
      </c>
      <c r="BN68" s="955"/>
      <c r="BO68" s="484"/>
      <c r="BP68" s="485" t="s">
        <v>89</v>
      </c>
    </row>
    <row r="69" spans="1:68" ht="18.75" customHeight="1" x14ac:dyDescent="0.3">
      <c r="A69" s="937"/>
      <c r="B69" s="486"/>
      <c r="C69" s="487" t="s">
        <v>65</v>
      </c>
      <c r="D69" s="562"/>
      <c r="E69" s="563"/>
      <c r="F69" s="563"/>
      <c r="G69" s="563"/>
      <c r="H69" s="488">
        <f>VLOOKUP(H68,Check2,5,FALSE)</f>
        <v>3501</v>
      </c>
      <c r="I69" s="583"/>
      <c r="J69" s="583"/>
      <c r="K69" s="583"/>
      <c r="L69" s="583"/>
      <c r="M69" s="583"/>
      <c r="N69" s="584"/>
      <c r="O69" s="539">
        <f>VLOOKUP(O68,Check2,5,FALSE)</f>
        <v>3502</v>
      </c>
      <c r="P69" s="539"/>
      <c r="Q69" s="490"/>
      <c r="R69" s="539">
        <f>VLOOKUP(R68,Check2,5,FALSE)</f>
        <v>3503</v>
      </c>
      <c r="S69" s="539"/>
      <c r="T69" s="490"/>
      <c r="U69" s="490"/>
      <c r="V69" s="539">
        <f>VLOOKUP(V68,Check2,5,FALSE)</f>
        <v>3504</v>
      </c>
      <c r="W69" s="539"/>
      <c r="X69" s="539"/>
      <c r="Y69" s="539">
        <f>VLOOKUP(Y68,Check2,5,FALSE)</f>
        <v>3505</v>
      </c>
      <c r="Z69" s="491"/>
      <c r="AA69" s="491"/>
      <c r="AB69" s="449"/>
      <c r="AC69" s="1030" t="s">
        <v>3</v>
      </c>
      <c r="AD69" s="1032">
        <f>COUNTIF(Check[סימון],("S."&amp;"*"&amp;$AC69&amp;"."&amp;AD$5&amp;"*"))</f>
        <v>0</v>
      </c>
      <c r="AE69" s="1034">
        <f>COUNTIF(Check[סימון],("O."&amp;"*"&amp;$AC69&amp;"."&amp;AE$5&amp;"*"))</f>
        <v>1</v>
      </c>
      <c r="AF69" s="1054">
        <f>COUNTIF(Check[סימון],("V."&amp;"*"&amp;$AC69&amp;"."&amp;AF$5&amp;"*"))</f>
        <v>0</v>
      </c>
      <c r="AG69" s="1056">
        <f>SUM(AD69:AF69)</f>
        <v>1</v>
      </c>
      <c r="AH69" s="1040">
        <f>SUM(AI69,AG69)</f>
        <v>2</v>
      </c>
      <c r="AI69" s="1042">
        <f>SUM(AJ69:AL69)</f>
        <v>1</v>
      </c>
      <c r="AJ69" s="1058">
        <f>COUNTIF(Check[סימון],("V."&amp;"*"&amp;$AC69&amp;"."&amp;AJ$5&amp;"*"))</f>
        <v>0</v>
      </c>
      <c r="AK69" s="1034">
        <f>COUNTIF(Check[סימון],("O."&amp;"*"&amp;$AC69&amp;"."&amp;AK$5&amp;"*"))</f>
        <v>1</v>
      </c>
      <c r="AL69" s="1064">
        <f>COUNTIF(Check[סימון],("S."&amp;"*"&amp;$AC69&amp;"."&amp;AL$5&amp;"*"))</f>
        <v>0</v>
      </c>
      <c r="AM69" s="1066" t="s">
        <v>13</v>
      </c>
      <c r="AN69" s="637"/>
      <c r="AO69" s="492">
        <f>VLOOKUP(AO68,Check2,5,FALSE)</f>
        <v>3502</v>
      </c>
      <c r="AP69" s="543"/>
      <c r="AQ69" s="589">
        <f>VLOOKUP(AQ68,Check2,5,FALSE)</f>
        <v>3503</v>
      </c>
      <c r="AR69" s="543"/>
      <c r="AS69" s="589">
        <f>VLOOKUP(AS68,Check2,5,FALSE)</f>
        <v>3504</v>
      </c>
      <c r="AT69" s="489"/>
      <c r="AU69" s="489"/>
      <c r="AV69" s="543"/>
      <c r="AW69" s="589">
        <f>VLOOKUP(AW68,Check2,5,FALSE)</f>
        <v>3505</v>
      </c>
      <c r="AX69" s="590"/>
      <c r="AY69" s="584"/>
      <c r="AZ69" s="584"/>
      <c r="BA69" s="589">
        <f>VLOOKUP(BA68,Check2,5,FALSE)</f>
        <v>3501</v>
      </c>
      <c r="BB69" s="590"/>
      <c r="BC69" s="591"/>
      <c r="BD69" s="591"/>
      <c r="BE69" s="591"/>
      <c r="BF69" s="591"/>
      <c r="BG69" s="592"/>
      <c r="BH69" s="563"/>
      <c r="BI69" s="563"/>
      <c r="BJ69" s="563"/>
      <c r="BK69" s="564"/>
      <c r="BL69" s="495" t="s">
        <v>65</v>
      </c>
      <c r="BM69" s="486"/>
      <c r="BN69" s="955"/>
      <c r="BO69" s="434"/>
      <c r="BP69" s="496" t="s">
        <v>1078</v>
      </c>
    </row>
    <row r="70" spans="1:68" ht="19.5" customHeight="1" thickBot="1" x14ac:dyDescent="0.45">
      <c r="A70" s="1014"/>
      <c r="B70" s="593">
        <f>B74+3.6</f>
        <v>128.44000000000005</v>
      </c>
      <c r="C70" s="594" t="s">
        <v>1</v>
      </c>
      <c r="D70" s="567"/>
      <c r="E70" s="568"/>
      <c r="F70" s="568"/>
      <c r="G70" s="568"/>
      <c r="H70" s="595" t="str">
        <f>VLOOKUP(H68,Check2,6,FALSE)</f>
        <v>4D</v>
      </c>
      <c r="I70" s="596"/>
      <c r="J70" s="596"/>
      <c r="K70" s="596"/>
      <c r="L70" s="596"/>
      <c r="M70" s="596"/>
      <c r="N70" s="597"/>
      <c r="O70" s="548" t="str">
        <f>VLOOKUP(O68,Check2,6,FALSE)</f>
        <v>4E</v>
      </c>
      <c r="P70" s="548"/>
      <c r="Q70" s="549"/>
      <c r="R70" s="548" t="str">
        <f>VLOOKUP(R68,Check2,6,FALSE)</f>
        <v>4F</v>
      </c>
      <c r="S70" s="548"/>
      <c r="T70" s="549"/>
      <c r="U70" s="549"/>
      <c r="V70" s="548" t="str">
        <f>VLOOKUP(V68,Check2,6,FALSE)</f>
        <v>5AP</v>
      </c>
      <c r="W70" s="548"/>
      <c r="X70" s="548"/>
      <c r="Y70" s="548" t="str">
        <f>VLOOKUP(Y68,Check2,6,FALSE)</f>
        <v>5BP</v>
      </c>
      <c r="Z70" s="615"/>
      <c r="AA70" s="615"/>
      <c r="AB70" s="503"/>
      <c r="AC70" s="1031"/>
      <c r="AD70" s="1033"/>
      <c r="AE70" s="1035"/>
      <c r="AF70" s="1055"/>
      <c r="AG70" s="1057"/>
      <c r="AH70" s="1041"/>
      <c r="AI70" s="1043"/>
      <c r="AJ70" s="1059"/>
      <c r="AK70" s="1035"/>
      <c r="AL70" s="1065"/>
      <c r="AM70" s="1067"/>
      <c r="AN70" s="640"/>
      <c r="AO70" s="698" t="str">
        <f>VLOOKUP(AO68,Check2,6,FALSE)</f>
        <v>5BP</v>
      </c>
      <c r="AP70" s="699"/>
      <c r="AQ70" s="700" t="str">
        <f>VLOOKUP(AQ68,Check2,6,FALSE)</f>
        <v>5AP</v>
      </c>
      <c r="AR70" s="699"/>
      <c r="AS70" s="603" t="str">
        <f>VLOOKUP(AS68,Check2,6,FALSE)</f>
        <v>4F</v>
      </c>
      <c r="AT70" s="552"/>
      <c r="AU70" s="552"/>
      <c r="AV70" s="553"/>
      <c r="AW70" s="603" t="str">
        <f>VLOOKUP(AW68,Check2,6,FALSE)</f>
        <v>4E</v>
      </c>
      <c r="AX70" s="604"/>
      <c r="AY70" s="597"/>
      <c r="AZ70" s="597"/>
      <c r="BA70" s="603" t="str">
        <f>VLOOKUP(BA68,Check2,6,FALSE)</f>
        <v>4D</v>
      </c>
      <c r="BB70" s="604"/>
      <c r="BC70" s="605"/>
      <c r="BD70" s="605"/>
      <c r="BE70" s="605"/>
      <c r="BF70" s="605"/>
      <c r="BG70" s="606"/>
      <c r="BH70" s="568"/>
      <c r="BI70" s="568"/>
      <c r="BJ70" s="568"/>
      <c r="BK70" s="572"/>
      <c r="BL70" s="607" t="s">
        <v>1</v>
      </c>
      <c r="BM70" s="593">
        <f>BM74+3.6</f>
        <v>128.44000000000005</v>
      </c>
      <c r="BN70" s="1015"/>
      <c r="BO70" s="509"/>
      <c r="BP70" s="510" t="s">
        <v>1</v>
      </c>
    </row>
    <row r="71" spans="1:68" ht="27" thickTop="1" thickBot="1" x14ac:dyDescent="0.5">
      <c r="A71" s="937"/>
      <c r="B71" s="469" t="str">
        <f t="shared" ref="B71" si="331">_xlfn.CONCAT("קומה ",B72)</f>
        <v>קומה 34</v>
      </c>
      <c r="C71" s="473" t="s">
        <v>0</v>
      </c>
      <c r="D71" s="556"/>
      <c r="E71" s="557"/>
      <c r="F71" s="557"/>
      <c r="G71" s="557"/>
      <c r="H71" s="460">
        <v>263</v>
      </c>
      <c r="I71" s="574"/>
      <c r="J71" s="574"/>
      <c r="K71" s="574"/>
      <c r="L71" s="574"/>
      <c r="M71" s="574"/>
      <c r="N71" s="520"/>
      <c r="O71" s="514">
        <v>264</v>
      </c>
      <c r="P71" s="514"/>
      <c r="Q71" s="462"/>
      <c r="R71" s="514">
        <v>265</v>
      </c>
      <c r="S71" s="514"/>
      <c r="T71" s="462"/>
      <c r="U71" s="462"/>
      <c r="V71" s="514">
        <v>266</v>
      </c>
      <c r="W71" s="514"/>
      <c r="X71" s="514"/>
      <c r="Y71" s="514">
        <v>267</v>
      </c>
      <c r="Z71" s="463"/>
      <c r="AA71" s="463"/>
      <c r="AB71" s="464"/>
      <c r="AC71" s="666" t="s">
        <v>2</v>
      </c>
      <c r="AD71" s="667">
        <f>COUNTIF(Check[סימון],("S."&amp;"*"&amp;$AC71&amp;"."&amp;AD$5&amp;"*"))</f>
        <v>0</v>
      </c>
      <c r="AE71" s="668">
        <f>COUNTIF(Check[סימון],("O."&amp;"*"&amp;$AC71&amp;"."&amp;AE$5&amp;"*"))</f>
        <v>1</v>
      </c>
      <c r="AF71" s="669">
        <f>COUNTIF(Check[סימון],("V."&amp;"*"&amp;$AC71&amp;"."&amp;AF$5&amp;"*"))</f>
        <v>0</v>
      </c>
      <c r="AG71" s="670">
        <f>SUM(AD71:AF71)</f>
        <v>1</v>
      </c>
      <c r="AH71" s="671">
        <f>SUM(AI71,AG71)</f>
        <v>2</v>
      </c>
      <c r="AI71" s="672">
        <f>SUM(AJ71:AL71)</f>
        <v>1</v>
      </c>
      <c r="AJ71" s="673">
        <f>COUNTIF(Check[סימון],("V."&amp;"*"&amp;$AC71&amp;"."&amp;AJ$5&amp;"*"))</f>
        <v>0</v>
      </c>
      <c r="AK71" s="668">
        <f>COUNTIF(Check[סימון],("O."&amp;"*"&amp;$AC71&amp;"."&amp;AK$5&amp;"*"))</f>
        <v>1</v>
      </c>
      <c r="AL71" s="674">
        <f>COUNTIF(Check[סימון],("S."&amp;"*"&amp;$AC71&amp;"."&amp;AL$5&amp;"*"))</f>
        <v>0</v>
      </c>
      <c r="AM71" s="675" t="s">
        <v>17</v>
      </c>
      <c r="AN71" s="464"/>
      <c r="AO71" s="701">
        <v>261</v>
      </c>
      <c r="AP71" s="702"/>
      <c r="AQ71" s="702"/>
      <c r="AR71" s="703">
        <v>260</v>
      </c>
      <c r="AS71" s="519">
        <v>259</v>
      </c>
      <c r="AT71" s="461"/>
      <c r="AU71" s="461"/>
      <c r="AV71" s="520"/>
      <c r="AW71" s="578">
        <v>258</v>
      </c>
      <c r="AX71" s="461"/>
      <c r="AY71" s="520"/>
      <c r="AZ71" s="520"/>
      <c r="BA71" s="578">
        <v>257</v>
      </c>
      <c r="BB71" s="461"/>
      <c r="BC71" s="466"/>
      <c r="BD71" s="466"/>
      <c r="BE71" s="466"/>
      <c r="BF71" s="466"/>
      <c r="BG71" s="579"/>
      <c r="BH71" s="557"/>
      <c r="BI71" s="557"/>
      <c r="BJ71" s="557"/>
      <c r="BK71" s="559"/>
      <c r="BL71" s="483" t="s">
        <v>0</v>
      </c>
      <c r="BM71" s="469" t="str">
        <f t="shared" ref="BM71" si="332">_xlfn.CONCAT("קומה ",BM72)</f>
        <v>קומה 34</v>
      </c>
      <c r="BN71" s="955"/>
      <c r="BO71" s="470"/>
      <c r="BP71" s="471" t="s">
        <v>0</v>
      </c>
    </row>
    <row r="72" spans="1:68" ht="25.5" hidden="1" x14ac:dyDescent="0.3">
      <c r="A72" s="937"/>
      <c r="B72" s="472">
        <f t="shared" ref="B72" si="333">B76+1</f>
        <v>34</v>
      </c>
      <c r="C72" s="473" t="s">
        <v>89</v>
      </c>
      <c r="D72" s="560"/>
      <c r="E72" s="535"/>
      <c r="F72" s="535"/>
      <c r="G72" s="535"/>
      <c r="H72" s="475" t="str">
        <f>VLOOKUP("*"&amp;H$5&amp;".Ap."&amp;H71,Check2,1,FALSE)</f>
        <v>S.P.4D.TS.Ap.263</v>
      </c>
      <c r="I72" s="525" t="str">
        <f t="shared" ref="I72:N72" si="334">H72</f>
        <v>S.P.4D.TS.Ap.263</v>
      </c>
      <c r="J72" s="525" t="str">
        <f t="shared" si="334"/>
        <v>S.P.4D.TS.Ap.263</v>
      </c>
      <c r="K72" s="525" t="str">
        <f t="shared" si="334"/>
        <v>S.P.4D.TS.Ap.263</v>
      </c>
      <c r="L72" s="525" t="str">
        <f t="shared" si="334"/>
        <v>S.P.4D.TS.Ap.263</v>
      </c>
      <c r="M72" s="525" t="str">
        <f t="shared" si="334"/>
        <v>S.P.4D.TS.Ap.263</v>
      </c>
      <c r="N72" s="477" t="str">
        <f t="shared" si="334"/>
        <v>S.P.4D.TS.Ap.263</v>
      </c>
      <c r="O72" s="525" t="str">
        <f>VLOOKUP("*"&amp;O$5&amp;".Ap."&amp;O71,Check2,1,FALSE)</f>
        <v>S.P.4E.TS.Ap.264</v>
      </c>
      <c r="P72" s="525" t="str">
        <f t="shared" ref="P72:Q72" si="335">O72</f>
        <v>S.P.4E.TS.Ap.264</v>
      </c>
      <c r="Q72" s="477" t="str">
        <f t="shared" si="335"/>
        <v>S.P.4E.TS.Ap.264</v>
      </c>
      <c r="R72" s="525" t="str">
        <f>VLOOKUP("*"&amp;R$5&amp;".Ap."&amp;R71,Check2,1,FALSE)</f>
        <v>S.P.4F.TS.Ap.265</v>
      </c>
      <c r="S72" s="525" t="str">
        <f t="shared" ref="S72:U72" si="336">R72</f>
        <v>S.P.4F.TS.Ap.265</v>
      </c>
      <c r="T72" s="477" t="str">
        <f t="shared" si="336"/>
        <v>S.P.4F.TS.Ap.265</v>
      </c>
      <c r="U72" s="477" t="str">
        <f t="shared" si="336"/>
        <v>S.P.4F.TS.Ap.265</v>
      </c>
      <c r="V72" s="525" t="str">
        <f>VLOOKUP("*"&amp;V$5&amp;".Ap."&amp;V71,Check2,1,FALSE)</f>
        <v>O.P.5AP.TS.Ap.266</v>
      </c>
      <c r="W72" s="525" t="str">
        <f t="shared" ref="W72" si="337">V72</f>
        <v>O.P.5AP.TS.Ap.266</v>
      </c>
      <c r="X72" s="525" t="str">
        <f t="shared" ref="X72" si="338">V72</f>
        <v>O.P.5AP.TS.Ap.266</v>
      </c>
      <c r="Y72" s="525" t="str">
        <f>VLOOKUP("*"&amp;Y$5&amp;".Ap."&amp;Y71,Check2,1,FALSE)</f>
        <v>O.P.5BP.TS.Ap.267</v>
      </c>
      <c r="Z72" s="478" t="str">
        <f t="shared" ref="Z72" si="339">Y72</f>
        <v>O.P.5BP.TS.Ap.267</v>
      </c>
      <c r="AA72" s="478" t="str">
        <f t="shared" ref="AA72" si="340">Y72</f>
        <v>O.P.5BP.TS.Ap.267</v>
      </c>
      <c r="AB72" s="479"/>
      <c r="AC72" s="627"/>
      <c r="AD72" s="628"/>
      <c r="AE72" s="629"/>
      <c r="AF72" s="630"/>
      <c r="AG72" s="631"/>
      <c r="AH72" s="632"/>
      <c r="AI72" s="627"/>
      <c r="AJ72" s="633"/>
      <c r="AK72" s="629"/>
      <c r="AL72" s="634"/>
      <c r="AM72" s="635"/>
      <c r="AN72" s="479"/>
      <c r="AO72" s="704" t="str">
        <f>VLOOKUP("*"&amp;AO$5&amp;".Ap."&amp;AO71,Check2,1,FALSE)</f>
        <v>O.P.4BP.TN.Ap.261</v>
      </c>
      <c r="AP72" s="477" t="str">
        <f>AO72</f>
        <v>O.P.4BP.TN.Ap.261</v>
      </c>
      <c r="AQ72" s="477" t="str">
        <f>AP72</f>
        <v>O.P.4BP.TN.Ap.261</v>
      </c>
      <c r="AR72" s="657" t="str">
        <f>VLOOKUP("*"&amp;AR$5&amp;".Ap."&amp;AR71,Check2,1,FALSE)</f>
        <v>O.P.5CP.TN.Ap.260</v>
      </c>
      <c r="AS72" s="532" t="str">
        <f>VLOOKUP("*"&amp;AS$5&amp;".Ap."&amp;AS71,Check2,1,FALSE)</f>
        <v>O.P.4F.TN.Ap.259</v>
      </c>
      <c r="AT72" s="476" t="str">
        <f>AS72</f>
        <v>O.P.4F.TN.Ap.259</v>
      </c>
      <c r="AU72" s="476" t="str">
        <f>AT72</f>
        <v>O.P.4F.TN.Ap.259</v>
      </c>
      <c r="AV72" s="477" t="str">
        <f>AU72</f>
        <v>O.P.4F.TN.Ap.259</v>
      </c>
      <c r="AW72" s="533" t="str">
        <f>VLOOKUP("*"&amp;AW$5&amp;".Ap."&amp;AW71,Check2,1,FALSE)</f>
        <v>S.P.4E.TN.Ap.258</v>
      </c>
      <c r="AX72" s="476" t="str">
        <f>AW72</f>
        <v>S.P.4E.TN.Ap.258</v>
      </c>
      <c r="AY72" s="477" t="str">
        <f>AX72</f>
        <v>S.P.4E.TN.Ap.258</v>
      </c>
      <c r="AZ72" s="477" t="str">
        <f>AY72</f>
        <v>S.P.4E.TN.Ap.258</v>
      </c>
      <c r="BA72" s="533" t="str">
        <f>VLOOKUP("*"&amp;BA$5&amp;".Ap."&amp;BA71,Check2,1,FALSE)</f>
        <v>V.GMS.P.4D.TN.Ap.257</v>
      </c>
      <c r="BB72" s="476" t="str">
        <f>BA72</f>
        <v>V.GMS.P.4D.TN.Ap.257</v>
      </c>
      <c r="BC72" s="481" t="str">
        <f t="shared" ref="BC72:BG72" si="341">BB72</f>
        <v>V.GMS.P.4D.TN.Ap.257</v>
      </c>
      <c r="BD72" s="481" t="str">
        <f t="shared" si="341"/>
        <v>V.GMS.P.4D.TN.Ap.257</v>
      </c>
      <c r="BE72" s="481" t="str">
        <f t="shared" si="341"/>
        <v>V.GMS.P.4D.TN.Ap.257</v>
      </c>
      <c r="BF72" s="481" t="str">
        <f t="shared" si="341"/>
        <v>V.GMS.P.4D.TN.Ap.257</v>
      </c>
      <c r="BG72" s="534" t="str">
        <f t="shared" si="341"/>
        <v>V.GMS.P.4D.TN.Ap.257</v>
      </c>
      <c r="BH72" s="535"/>
      <c r="BI72" s="535"/>
      <c r="BJ72" s="535"/>
      <c r="BK72" s="561"/>
      <c r="BL72" s="483" t="s">
        <v>89</v>
      </c>
      <c r="BM72" s="472">
        <f t="shared" ref="BM72" si="342">BM76+1</f>
        <v>34</v>
      </c>
      <c r="BN72" s="955"/>
      <c r="BO72" s="484"/>
      <c r="BP72" s="485" t="s">
        <v>89</v>
      </c>
    </row>
    <row r="73" spans="1:68" ht="18.75" customHeight="1" x14ac:dyDescent="0.3">
      <c r="A73" s="937"/>
      <c r="B73" s="486"/>
      <c r="C73" s="487" t="s">
        <v>65</v>
      </c>
      <c r="D73" s="562"/>
      <c r="E73" s="563"/>
      <c r="F73" s="563"/>
      <c r="G73" s="563"/>
      <c r="H73" s="488">
        <f>VLOOKUP(H72,Check2,5,FALSE)</f>
        <v>3401</v>
      </c>
      <c r="I73" s="583"/>
      <c r="J73" s="583"/>
      <c r="K73" s="583"/>
      <c r="L73" s="583"/>
      <c r="M73" s="583"/>
      <c r="N73" s="584"/>
      <c r="O73" s="539">
        <f>VLOOKUP(O72,Check2,5,FALSE)</f>
        <v>3402</v>
      </c>
      <c r="P73" s="539"/>
      <c r="Q73" s="490"/>
      <c r="R73" s="539">
        <f>VLOOKUP(R72,Check2,5,FALSE)</f>
        <v>3403</v>
      </c>
      <c r="S73" s="539"/>
      <c r="T73" s="490"/>
      <c r="U73" s="490"/>
      <c r="V73" s="539">
        <f>VLOOKUP(V72,Check2,5,FALSE)</f>
        <v>3404</v>
      </c>
      <c r="W73" s="539"/>
      <c r="X73" s="539"/>
      <c r="Y73" s="539">
        <f>VLOOKUP(Y72,Check2,5,FALSE)</f>
        <v>3405</v>
      </c>
      <c r="Z73" s="491"/>
      <c r="AA73" s="491"/>
      <c r="AB73" s="449"/>
      <c r="AC73" s="1030" t="s">
        <v>25</v>
      </c>
      <c r="AD73" s="1032">
        <f>COUNTIF(Check[סימון],("S."&amp;"*"&amp;$AC73&amp;"."&amp;AD$5&amp;"*"))</f>
        <v>3</v>
      </c>
      <c r="AE73" s="1034">
        <f>COUNTIF(Check[סימון],("O."&amp;"*"&amp;$AC73&amp;"."&amp;AE$5&amp;"*"))</f>
        <v>5</v>
      </c>
      <c r="AF73" s="1054">
        <f>COUNTIF(Check[סימון],("V."&amp;"*"&amp;$AC73&amp;"."&amp;AF$5&amp;"*"))</f>
        <v>2</v>
      </c>
      <c r="AG73" s="1056">
        <f>SUM(AD73:AF73)</f>
        <v>10</v>
      </c>
      <c r="AH73" s="1040">
        <f>SUM(AI73,AG73)</f>
        <v>24</v>
      </c>
      <c r="AI73" s="1042">
        <f>SUM(AJ73:AL73)</f>
        <v>14</v>
      </c>
      <c r="AJ73" s="1058">
        <f>COUNTIF(Check[סימון],("V."&amp;"*"&amp;$AC73&amp;"."&amp;AJ$5&amp;"*"))</f>
        <v>1</v>
      </c>
      <c r="AK73" s="1034">
        <f>COUNTIF(Check[סימון],("O."&amp;"*"&amp;$AC73&amp;"."&amp;AK$5&amp;"*"))</f>
        <v>3</v>
      </c>
      <c r="AL73" s="1064">
        <f>COUNTIF(Check[סימון],("S."&amp;"*"&amp;$AC73&amp;"."&amp;AL$5&amp;"*"))</f>
        <v>10</v>
      </c>
      <c r="AM73" s="1066" t="s">
        <v>25</v>
      </c>
      <c r="AN73" s="449"/>
      <c r="AO73" s="705">
        <f>VLOOKUP(AO72,Check2,5,FALSE)</f>
        <v>3402</v>
      </c>
      <c r="AP73" s="543"/>
      <c r="AQ73" s="543"/>
      <c r="AR73" s="706">
        <f>VLOOKUP(AR72,Check2,5,FALSE)</f>
        <v>3403</v>
      </c>
      <c r="AS73" s="542">
        <f>VLOOKUP(AS72,Check2,5,FALSE)</f>
        <v>3404</v>
      </c>
      <c r="AT73" s="489"/>
      <c r="AU73" s="489"/>
      <c r="AV73" s="543"/>
      <c r="AW73" s="589">
        <f>VLOOKUP(AW72,Check2,5,FALSE)</f>
        <v>3405</v>
      </c>
      <c r="AX73" s="590"/>
      <c r="AY73" s="584"/>
      <c r="AZ73" s="584"/>
      <c r="BA73" s="589">
        <f>VLOOKUP(BA72,Check2,5,FALSE)</f>
        <v>3401</v>
      </c>
      <c r="BB73" s="590"/>
      <c r="BC73" s="591"/>
      <c r="BD73" s="591"/>
      <c r="BE73" s="591"/>
      <c r="BF73" s="591"/>
      <c r="BG73" s="592"/>
      <c r="BH73" s="563"/>
      <c r="BI73" s="563"/>
      <c r="BJ73" s="563"/>
      <c r="BK73" s="564"/>
      <c r="BL73" s="495" t="s">
        <v>65</v>
      </c>
      <c r="BM73" s="486"/>
      <c r="BN73" s="955"/>
      <c r="BO73" s="434"/>
      <c r="BP73" s="496" t="s">
        <v>1078</v>
      </c>
    </row>
    <row r="74" spans="1:68" ht="19.5" customHeight="1" thickBot="1" x14ac:dyDescent="0.45">
      <c r="A74" s="938"/>
      <c r="B74" s="497">
        <f t="shared" ref="B74" si="343">B78+3.48</f>
        <v>124.84000000000005</v>
      </c>
      <c r="C74" s="498" t="s">
        <v>1</v>
      </c>
      <c r="D74" s="567"/>
      <c r="E74" s="568"/>
      <c r="F74" s="568"/>
      <c r="G74" s="568"/>
      <c r="H74" s="707" t="str">
        <f>VLOOKUP(H72,Check2,6,FALSE)</f>
        <v>4D</v>
      </c>
      <c r="I74" s="708"/>
      <c r="J74" s="708"/>
      <c r="K74" s="708"/>
      <c r="L74" s="708"/>
      <c r="M74" s="708"/>
      <c r="N74" s="709"/>
      <c r="O74" s="569" t="str">
        <f>VLOOKUP(O72,Check2,6,FALSE)</f>
        <v>4E</v>
      </c>
      <c r="P74" s="569"/>
      <c r="Q74" s="501"/>
      <c r="R74" s="569" t="str">
        <f>VLOOKUP(R72,Check2,6,FALSE)</f>
        <v>4F</v>
      </c>
      <c r="S74" s="569"/>
      <c r="T74" s="501"/>
      <c r="U74" s="501"/>
      <c r="V74" s="569" t="str">
        <f>VLOOKUP(V72,Check2,6,FALSE)</f>
        <v>5AP</v>
      </c>
      <c r="W74" s="569"/>
      <c r="X74" s="569"/>
      <c r="Y74" s="569" t="str">
        <f>VLOOKUP(Y72,Check2,6,FALSE)</f>
        <v>5BP</v>
      </c>
      <c r="Z74" s="502"/>
      <c r="AA74" s="502"/>
      <c r="AB74" s="503"/>
      <c r="AC74" s="1031"/>
      <c r="AD74" s="1033"/>
      <c r="AE74" s="1035"/>
      <c r="AF74" s="1055"/>
      <c r="AG74" s="1057"/>
      <c r="AH74" s="1041"/>
      <c r="AI74" s="1043"/>
      <c r="AJ74" s="1059"/>
      <c r="AK74" s="1035"/>
      <c r="AL74" s="1065"/>
      <c r="AM74" s="1067"/>
      <c r="AN74" s="503"/>
      <c r="AO74" s="710" t="str">
        <f>VLOOKUP(AO72,Check2,6,FALSE)</f>
        <v>4BP</v>
      </c>
      <c r="AP74" s="711"/>
      <c r="AQ74" s="711"/>
      <c r="AR74" s="712" t="str">
        <f>VLOOKUP(AR72,Check2,6,FALSE)</f>
        <v>5CP</v>
      </c>
      <c r="AS74" s="570" t="str">
        <f>VLOOKUP(AS72,Check2,6,FALSE)</f>
        <v>4F</v>
      </c>
      <c r="AT74" s="500"/>
      <c r="AU74" s="500"/>
      <c r="AV74" s="571"/>
      <c r="AW74" s="713" t="str">
        <f>VLOOKUP(AW72,Check2,6,FALSE)</f>
        <v>4E</v>
      </c>
      <c r="AX74" s="714"/>
      <c r="AY74" s="709"/>
      <c r="AZ74" s="709"/>
      <c r="BA74" s="713" t="str">
        <f>VLOOKUP(BA72,Check2,6,FALSE)</f>
        <v>4D</v>
      </c>
      <c r="BB74" s="714"/>
      <c r="BC74" s="715"/>
      <c r="BD74" s="716"/>
      <c r="BE74" s="715"/>
      <c r="BF74" s="715"/>
      <c r="BG74" s="717"/>
      <c r="BH74" s="568"/>
      <c r="BI74" s="568"/>
      <c r="BJ74" s="568"/>
      <c r="BK74" s="572"/>
      <c r="BL74" s="508" t="s">
        <v>1</v>
      </c>
      <c r="BM74" s="497">
        <f t="shared" ref="BM74" si="344">BM78+3.48</f>
        <v>124.84000000000005</v>
      </c>
      <c r="BN74" s="956"/>
      <c r="BO74" s="509"/>
      <c r="BP74" s="510" t="s">
        <v>1</v>
      </c>
    </row>
    <row r="75" spans="1:68" ht="26.25" thickTop="1" x14ac:dyDescent="0.45">
      <c r="A75" s="957" t="s">
        <v>58</v>
      </c>
      <c r="B75" s="511" t="str">
        <f t="shared" ref="B75" si="345">_xlfn.CONCAT("קומה ",B76)</f>
        <v>קומה 33</v>
      </c>
      <c r="C75" s="512" t="s">
        <v>0</v>
      </c>
      <c r="D75" s="718"/>
      <c r="E75" s="1078"/>
      <c r="F75" s="1078"/>
      <c r="G75" s="1078"/>
      <c r="H75" s="943" t="s">
        <v>69</v>
      </c>
      <c r="I75" s="943" t="s">
        <v>68</v>
      </c>
      <c r="J75" s="943" t="s">
        <v>67</v>
      </c>
      <c r="K75" s="943" t="s">
        <v>66</v>
      </c>
      <c r="L75" s="460">
        <f t="shared" ref="L75" si="346">L79+7</f>
        <v>256</v>
      </c>
      <c r="M75" s="514"/>
      <c r="N75" s="514">
        <f t="shared" ref="N75" si="347">N79+7</f>
        <v>257</v>
      </c>
      <c r="O75" s="514"/>
      <c r="P75" s="540">
        <f t="shared" ref="P75:Q75" si="348">P79+7</f>
        <v>258</v>
      </c>
      <c r="Q75" s="514">
        <f t="shared" si="348"/>
        <v>259</v>
      </c>
      <c r="R75" s="514"/>
      <c r="S75" s="514">
        <f t="shared" ref="S75" si="349">S79+7</f>
        <v>260</v>
      </c>
      <c r="T75" s="514"/>
      <c r="U75" s="462"/>
      <c r="V75" s="514">
        <f t="shared" ref="V75" si="350">V79+7</f>
        <v>261</v>
      </c>
      <c r="W75" s="514"/>
      <c r="X75" s="514"/>
      <c r="Y75" s="514"/>
      <c r="Z75" s="463">
        <f>Z79+7</f>
        <v>262</v>
      </c>
      <c r="AA75" s="463"/>
      <c r="AB75" s="464"/>
      <c r="AC75" s="616" t="s">
        <v>24</v>
      </c>
      <c r="AD75" s="617">
        <f>COUNTIF(Check[סימון],("S."&amp;"*"&amp;$AC75&amp;"."&amp;AD$5&amp;"*"))</f>
        <v>2</v>
      </c>
      <c r="AE75" s="618">
        <f>COUNTIF(Check[סימון],("O."&amp;"*"&amp;$AC75&amp;"."&amp;AE$5&amp;"*"))</f>
        <v>1</v>
      </c>
      <c r="AF75" s="619">
        <f>COUNTIF(Check[סימון],("V."&amp;"*"&amp;$AC75&amp;"."&amp;AF$5&amp;"*"))</f>
        <v>7</v>
      </c>
      <c r="AG75" s="620">
        <f>SUM(AD75:AF75)</f>
        <v>10</v>
      </c>
      <c r="AH75" s="621">
        <f>SUM(AI75,AG75)</f>
        <v>24</v>
      </c>
      <c r="AI75" s="622">
        <f>SUM(AJ75:AL75)</f>
        <v>14</v>
      </c>
      <c r="AJ75" s="623">
        <f>COUNTIF(Check[סימון],("V."&amp;"*"&amp;$AC75&amp;"."&amp;AJ$5&amp;"*"))</f>
        <v>6</v>
      </c>
      <c r="AK75" s="618">
        <f>COUNTIF(Check[סימון],("O."&amp;"*"&amp;$AC75&amp;"."&amp;AK$5&amp;"*"))</f>
        <v>3</v>
      </c>
      <c r="AL75" s="624">
        <f>COUNTIF(Check[סימון],("S."&amp;"*"&amp;$AC75&amp;"."&amp;AL$5&amp;"*"))</f>
        <v>5</v>
      </c>
      <c r="AM75" s="625" t="s">
        <v>24</v>
      </c>
      <c r="AN75" s="626"/>
      <c r="AO75" s="519">
        <f t="shared" ref="AO75" si="351">AO79+7</f>
        <v>253</v>
      </c>
      <c r="AP75" s="520"/>
      <c r="AQ75" s="578">
        <f t="shared" ref="AQ75" si="352">AQ79+7</f>
        <v>254</v>
      </c>
      <c r="AR75" s="520"/>
      <c r="AS75" s="578">
        <f t="shared" ref="AS75" si="353">AS79+7</f>
        <v>255</v>
      </c>
      <c r="AT75" s="461"/>
      <c r="AU75" s="520"/>
      <c r="AV75" s="578">
        <f t="shared" ref="AV75" si="354">AV79+7</f>
        <v>256</v>
      </c>
      <c r="AW75" s="520"/>
      <c r="AX75" s="540">
        <f t="shared" ref="AX75:AY75" si="355">AX79+7</f>
        <v>250</v>
      </c>
      <c r="AY75" s="578">
        <f t="shared" si="355"/>
        <v>251</v>
      </c>
      <c r="AZ75" s="461"/>
      <c r="BA75" s="520"/>
      <c r="BB75" s="578">
        <f t="shared" ref="BB75" si="356">BB79+7</f>
        <v>252</v>
      </c>
      <c r="BC75" s="719"/>
      <c r="BD75" s="948" t="s">
        <v>75</v>
      </c>
      <c r="BE75" s="950" t="s">
        <v>76</v>
      </c>
      <c r="BF75" s="950" t="s">
        <v>77</v>
      </c>
      <c r="BG75" s="950" t="s">
        <v>78</v>
      </c>
      <c r="BH75" s="1078"/>
      <c r="BI75" s="1078"/>
      <c r="BJ75" s="1078"/>
      <c r="BK75" s="720"/>
      <c r="BL75" s="522" t="s">
        <v>0</v>
      </c>
      <c r="BM75" s="721" t="str">
        <f t="shared" ref="BM75" si="357">_xlfn.CONCAT("קומה ",BM76)</f>
        <v>קומה 33</v>
      </c>
      <c r="BN75" s="979" t="s">
        <v>58</v>
      </c>
      <c r="BO75" s="470"/>
      <c r="BP75" s="471" t="s">
        <v>0</v>
      </c>
    </row>
    <row r="76" spans="1:68" ht="25.5" hidden="1" x14ac:dyDescent="0.3">
      <c r="A76" s="957"/>
      <c r="B76" s="523">
        <f t="shared" ref="B76" si="358">B80+1</f>
        <v>33</v>
      </c>
      <c r="C76" s="512" t="s">
        <v>89</v>
      </c>
      <c r="D76" s="560"/>
      <c r="E76" s="1078"/>
      <c r="F76" s="1078"/>
      <c r="G76" s="1078"/>
      <c r="H76" s="943"/>
      <c r="I76" s="943"/>
      <c r="J76" s="943"/>
      <c r="K76" s="943"/>
      <c r="L76" s="475" t="str">
        <f>VLOOKUP("*"&amp;L$5&amp;".Ap."&amp;L75,Check2,1,FALSE)</f>
        <v>O.S.3F.TS.Ap.256</v>
      </c>
      <c r="M76" s="525" t="str">
        <f t="shared" ref="M76" si="359">L76</f>
        <v>O.S.3F.TS.Ap.256</v>
      </c>
      <c r="N76" s="525" t="str">
        <f>VLOOKUP("*"&amp;N$5&amp;".Ap."&amp;N75,Check2,1,FALSE)</f>
        <v>S.S.3G.TS.Ap.257</v>
      </c>
      <c r="O76" s="525" t="str">
        <f t="shared" ref="O76" si="360">N76</f>
        <v>S.S.3G.TS.Ap.257</v>
      </c>
      <c r="P76" s="525" t="str">
        <f>VLOOKUP("*"&amp;P$5&amp;".Ap."&amp;P75,Check2,1,FALSE)</f>
        <v>V.GMS.S.3A.TS.Ap.258</v>
      </c>
      <c r="Q76" s="525" t="str">
        <f>VLOOKUP("*"&amp;Q$5&amp;".Ap."&amp;Q75,Check2,1,FALSE)</f>
        <v>O.S.2D.TS.Ap.259</v>
      </c>
      <c r="R76" s="525" t="str">
        <f t="shared" ref="R76" si="361">Q76</f>
        <v>O.S.2D.TS.Ap.259</v>
      </c>
      <c r="S76" s="525" t="str">
        <f>VLOOKUP("*"&amp;S$5&amp;".Ap."&amp;S75,Check2,1,FALSE)</f>
        <v>S.S.4C.TS.Ap.260</v>
      </c>
      <c r="T76" s="525" t="str">
        <f t="shared" ref="T76:U76" si="362">S76</f>
        <v>S.S.4C.TS.Ap.260</v>
      </c>
      <c r="U76" s="477" t="str">
        <f t="shared" si="362"/>
        <v>S.S.4C.TS.Ap.260</v>
      </c>
      <c r="V76" s="525" t="str">
        <f>VLOOKUP("*"&amp;V$5&amp;".Ap."&amp;V75,Check2,1,FALSE)</f>
        <v>S.P.5CP.TS.Ap.261</v>
      </c>
      <c r="W76" s="525" t="str">
        <f t="shared" ref="W76" si="363">V76</f>
        <v>S.P.5CP.TS.Ap.261</v>
      </c>
      <c r="X76" s="525" t="str">
        <f t="shared" ref="X76" si="364">V76</f>
        <v>S.P.5CP.TS.Ap.261</v>
      </c>
      <c r="Y76" s="525" t="str">
        <f t="shared" ref="Y76" si="365">W76</f>
        <v>S.P.5CP.TS.Ap.261</v>
      </c>
      <c r="Z76" s="478" t="str">
        <f>VLOOKUP("*"&amp;Y$5&amp;".Ap."&amp;Z75,Check2,1,FALSE)</f>
        <v>V.GM.P.4BP.TS.Ap.262</v>
      </c>
      <c r="AA76" s="478" t="str">
        <f t="shared" ref="AA76" si="366">Z76</f>
        <v>V.GM.P.4BP.TS.Ap.262</v>
      </c>
      <c r="AB76" s="479"/>
      <c r="AC76" s="627"/>
      <c r="AD76" s="628"/>
      <c r="AE76" s="629"/>
      <c r="AF76" s="630"/>
      <c r="AG76" s="631"/>
      <c r="AH76" s="632"/>
      <c r="AI76" s="627"/>
      <c r="AJ76" s="633"/>
      <c r="AK76" s="629"/>
      <c r="AL76" s="634"/>
      <c r="AM76" s="635"/>
      <c r="AN76" s="636"/>
      <c r="AO76" s="532" t="str">
        <f>VLOOKUP("*"&amp;AO$5&amp;".Ap."&amp;AO75,Check2,1,FALSE)</f>
        <v>V.GMC.S.5B.TN.Ap.253</v>
      </c>
      <c r="AP76" s="477" t="str">
        <f t="shared" ref="AP76" si="367">AO76</f>
        <v>V.GMC.S.5B.TN.Ap.253</v>
      </c>
      <c r="AQ76" s="533" t="str">
        <f>VLOOKUP("*"&amp;AQ$5&amp;".Ap."&amp;AQ75,Check2,1,FALSE)</f>
        <v>S.S.5A.TN.Ap.254</v>
      </c>
      <c r="AR76" s="477" t="str">
        <f t="shared" ref="AR76" si="368">AQ76</f>
        <v>S.S.5A.TN.Ap.254</v>
      </c>
      <c r="AS76" s="533" t="str">
        <f>VLOOKUP("*"&amp;AS$5&amp;".Ap."&amp;AS75,Check2,1,FALSE)</f>
        <v>S.S.4C.TN.Ap.255</v>
      </c>
      <c r="AT76" s="476" t="str">
        <f t="shared" ref="AT76:AU76" si="369">AS76</f>
        <v>S.S.4C.TN.Ap.255</v>
      </c>
      <c r="AU76" s="477" t="str">
        <f t="shared" si="369"/>
        <v>S.S.4C.TN.Ap.255</v>
      </c>
      <c r="AV76" s="533" t="str">
        <f>VLOOKUP("*"&amp;AV$5&amp;".Ap."&amp;AV75,Check2,1,FALSE)</f>
        <v>S.S.2D.TN.Ap.256</v>
      </c>
      <c r="AW76" s="477" t="str">
        <f t="shared" ref="AW76" si="370">AV76</f>
        <v>S.S.2D.TN.Ap.256</v>
      </c>
      <c r="AX76" s="525" t="str">
        <f>VLOOKUP("*"&amp;AX$5&amp;".Ap."&amp;AX75,Check2,1,FALSE)</f>
        <v>S.S.3A.TN.Ap.250</v>
      </c>
      <c r="AY76" s="533" t="str">
        <f>VLOOKUP("*"&amp;AY$5&amp;".Ap."&amp;AY75,Check2,1,FALSE)</f>
        <v>S.S.3G.TN.Ap.251</v>
      </c>
      <c r="AZ76" s="476" t="str">
        <f t="shared" ref="AZ76:BA76" si="371">AY76</f>
        <v>S.S.3G.TN.Ap.251</v>
      </c>
      <c r="BA76" s="477" t="str">
        <f t="shared" si="371"/>
        <v>S.S.3G.TN.Ap.251</v>
      </c>
      <c r="BB76" s="533" t="str">
        <f>VLOOKUP("*"&amp;BB$5&amp;".Ap."&amp;BB75,Check2,1,FALSE)</f>
        <v>S.S.3F.TN.Ap.252</v>
      </c>
      <c r="BC76" s="722" t="str">
        <f t="shared" ref="BC76" si="372">BB76</f>
        <v>S.S.3F.TN.Ap.252</v>
      </c>
      <c r="BD76" s="948"/>
      <c r="BE76" s="950"/>
      <c r="BF76" s="950"/>
      <c r="BG76" s="950"/>
      <c r="BH76" s="1078"/>
      <c r="BI76" s="1078"/>
      <c r="BJ76" s="1078"/>
      <c r="BK76" s="561"/>
      <c r="BL76" s="522" t="s">
        <v>89</v>
      </c>
      <c r="BM76" s="723">
        <f t="shared" ref="BM76" si="373">BM80+1</f>
        <v>33</v>
      </c>
      <c r="BN76" s="979"/>
      <c r="BO76" s="484"/>
      <c r="BP76" s="485" t="s">
        <v>89</v>
      </c>
    </row>
    <row r="77" spans="1:68" ht="18.75" customHeight="1" x14ac:dyDescent="0.3">
      <c r="A77" s="957"/>
      <c r="B77" s="537"/>
      <c r="C77" s="538" t="s">
        <v>65</v>
      </c>
      <c r="D77" s="562"/>
      <c r="E77" s="1078"/>
      <c r="F77" s="1078"/>
      <c r="G77" s="1078"/>
      <c r="H77" s="943"/>
      <c r="I77" s="943"/>
      <c r="J77" s="943"/>
      <c r="K77" s="943"/>
      <c r="L77" s="488">
        <f>VLOOKUP(L76,Check2,5,FALSE)</f>
        <v>3301</v>
      </c>
      <c r="M77" s="539"/>
      <c r="N77" s="539">
        <f>VLOOKUP(N76,Check2,5,FALSE)</f>
        <v>3302</v>
      </c>
      <c r="O77" s="539"/>
      <c r="P77" s="724">
        <f>VLOOKUP(P76,Check2,5,FALSE)</f>
        <v>3303</v>
      </c>
      <c r="Q77" s="539">
        <f>VLOOKUP(Q76,Check2,5,FALSE)</f>
        <v>3304</v>
      </c>
      <c r="R77" s="539"/>
      <c r="S77" s="539">
        <f>VLOOKUP(S76,Check2,5,FALSE)</f>
        <v>3305</v>
      </c>
      <c r="T77" s="539"/>
      <c r="U77" s="490"/>
      <c r="V77" s="539">
        <f>VLOOKUP(V76,Check2,5,FALSE)</f>
        <v>3306</v>
      </c>
      <c r="W77" s="539"/>
      <c r="X77" s="539"/>
      <c r="Y77" s="539"/>
      <c r="Z77" s="491">
        <f>VLOOKUP(Z76,Check2,5,FALSE)</f>
        <v>3307</v>
      </c>
      <c r="AA77" s="491"/>
      <c r="AB77" s="449"/>
      <c r="AC77" s="1030" t="s">
        <v>30</v>
      </c>
      <c r="AD77" s="1032">
        <f>COUNTIF(Check[סימון],("S."&amp;"*"&amp;$AC77&amp;"."&amp;AD$5&amp;"*"))</f>
        <v>5</v>
      </c>
      <c r="AE77" s="1034">
        <f>COUNTIF(Check[סימון],("O."&amp;"*"&amp;$AC77&amp;"."&amp;AE$5&amp;"*"))</f>
        <v>7</v>
      </c>
      <c r="AF77" s="1054">
        <f>COUNTIF(Check[סימון],("V."&amp;"*"&amp;$AC77&amp;"."&amp;AF$5&amp;"*"))</f>
        <v>0</v>
      </c>
      <c r="AG77" s="1056">
        <f>SUM(AD77:AF77)</f>
        <v>12</v>
      </c>
      <c r="AH77" s="1040">
        <f>SUM(AI77,AG77)</f>
        <v>25</v>
      </c>
      <c r="AI77" s="1042">
        <f>SUM(AJ77:AL77)</f>
        <v>13</v>
      </c>
      <c r="AJ77" s="1058">
        <f>COUNTIF(Check[סימון],("V."&amp;"*"&amp;$AC77&amp;"."&amp;AJ$5&amp;"*"))</f>
        <v>0</v>
      </c>
      <c r="AK77" s="1034">
        <f>COUNTIF(Check[סימון],("O."&amp;"*"&amp;$AC77&amp;"."&amp;AK$5&amp;"*"))</f>
        <v>6</v>
      </c>
      <c r="AL77" s="1064">
        <f>COUNTIF(Check[סימון],("S."&amp;"*"&amp;$AC77&amp;"."&amp;AL$5&amp;"*"))</f>
        <v>7</v>
      </c>
      <c r="AM77" s="1066" t="s">
        <v>30</v>
      </c>
      <c r="AN77" s="637"/>
      <c r="AO77" s="542">
        <f>VLOOKUP(AO76,Check2,5,FALSE)</f>
        <v>3302</v>
      </c>
      <c r="AP77" s="543"/>
      <c r="AQ77" s="589">
        <f>VLOOKUP(AQ76,Check2,5,FALSE)</f>
        <v>3303</v>
      </c>
      <c r="AR77" s="543"/>
      <c r="AS77" s="589">
        <f>VLOOKUP(AS76,Check2,5,FALSE)</f>
        <v>3304</v>
      </c>
      <c r="AT77" s="590"/>
      <c r="AU77" s="584"/>
      <c r="AV77" s="589">
        <f>VLOOKUP(AV76,Check2,5,FALSE)</f>
        <v>3305</v>
      </c>
      <c r="AW77" s="543"/>
      <c r="AX77" s="724">
        <f>VLOOKUP(AX76,Check2,5,FALSE)</f>
        <v>3306</v>
      </c>
      <c r="AY77" s="589">
        <f>VLOOKUP(AY76,Check2,5,FALSE)</f>
        <v>3307</v>
      </c>
      <c r="AZ77" s="590"/>
      <c r="BA77" s="584"/>
      <c r="BB77" s="589">
        <f>VLOOKUP(BB76,Check2,5,FALSE)</f>
        <v>3301</v>
      </c>
      <c r="BC77" s="725"/>
      <c r="BD77" s="948"/>
      <c r="BE77" s="950"/>
      <c r="BF77" s="950"/>
      <c r="BG77" s="950"/>
      <c r="BH77" s="1078"/>
      <c r="BI77" s="1078"/>
      <c r="BJ77" s="1078"/>
      <c r="BK77" s="564"/>
      <c r="BL77" s="544" t="s">
        <v>65</v>
      </c>
      <c r="BM77" s="726"/>
      <c r="BN77" s="979"/>
      <c r="BO77" s="434"/>
      <c r="BP77" s="496" t="s">
        <v>1078</v>
      </c>
    </row>
    <row r="78" spans="1:68" ht="19.5" customHeight="1" thickBot="1" x14ac:dyDescent="0.45">
      <c r="A78" s="958"/>
      <c r="B78" s="545">
        <f t="shared" ref="B78" si="374">B82+3.48</f>
        <v>121.36000000000004</v>
      </c>
      <c r="C78" s="546" t="s">
        <v>1</v>
      </c>
      <c r="D78" s="567"/>
      <c r="E78" s="1079"/>
      <c r="F78" s="1079"/>
      <c r="G78" s="1079"/>
      <c r="H78" s="944"/>
      <c r="I78" s="944"/>
      <c r="J78" s="944"/>
      <c r="K78" s="944"/>
      <c r="L78" s="595" t="str">
        <f>VLOOKUP(L76,Check2,6,FALSE)</f>
        <v>3F</v>
      </c>
      <c r="M78" s="548"/>
      <c r="N78" s="548" t="str">
        <f>VLOOKUP(N76,Check2,6,FALSE)</f>
        <v>3G</v>
      </c>
      <c r="O78" s="548"/>
      <c r="P78" s="727" t="str">
        <f>VLOOKUP(P76,Check2,6,FALSE)</f>
        <v>3A</v>
      </c>
      <c r="Q78" s="548" t="str">
        <f>VLOOKUP(Q76,Check2,6,FALSE)</f>
        <v>2D</v>
      </c>
      <c r="R78" s="548"/>
      <c r="S78" s="548" t="str">
        <f>VLOOKUP(S76,Check2,6,FALSE)</f>
        <v>4C</v>
      </c>
      <c r="T78" s="548"/>
      <c r="U78" s="549"/>
      <c r="V78" s="548" t="str">
        <f>VLOOKUP(V76,Check2,6,FALSE)</f>
        <v>5CP</v>
      </c>
      <c r="W78" s="548"/>
      <c r="X78" s="548"/>
      <c r="Y78" s="548"/>
      <c r="Z78" s="615" t="str">
        <f>VLOOKUP(Z76,Check2,6,FALSE)</f>
        <v>4BP</v>
      </c>
      <c r="AA78" s="615"/>
      <c r="AB78" s="503"/>
      <c r="AC78" s="1031"/>
      <c r="AD78" s="1033"/>
      <c r="AE78" s="1035"/>
      <c r="AF78" s="1055"/>
      <c r="AG78" s="1057"/>
      <c r="AH78" s="1041"/>
      <c r="AI78" s="1043"/>
      <c r="AJ78" s="1059"/>
      <c r="AK78" s="1035"/>
      <c r="AL78" s="1065"/>
      <c r="AM78" s="1067"/>
      <c r="AN78" s="640"/>
      <c r="AO78" s="551" t="str">
        <f>VLOOKUP(AO76,Check2,6,FALSE)</f>
        <v>5B</v>
      </c>
      <c r="AP78" s="553"/>
      <c r="AQ78" s="603" t="str">
        <f>VLOOKUP(AQ76,Check2,6,FALSE)</f>
        <v>5A</v>
      </c>
      <c r="AR78" s="553"/>
      <c r="AS78" s="603" t="str">
        <f>VLOOKUP(AS76,Check2,6,FALSE)</f>
        <v>4C</v>
      </c>
      <c r="AT78" s="604"/>
      <c r="AU78" s="597"/>
      <c r="AV78" s="603" t="str">
        <f>VLOOKUP(AV76,Check2,6,FALSE)</f>
        <v>2D</v>
      </c>
      <c r="AW78" s="553"/>
      <c r="AX78" s="727" t="str">
        <f>VLOOKUP(AX76,Check2,6,FALSE)</f>
        <v>3A</v>
      </c>
      <c r="AY78" s="603" t="str">
        <f>VLOOKUP(AY76,Check2,6,FALSE)</f>
        <v>3G</v>
      </c>
      <c r="AZ78" s="604"/>
      <c r="BA78" s="597"/>
      <c r="BB78" s="603" t="str">
        <f>VLOOKUP(BB76,Check2,6,FALSE)</f>
        <v>3F</v>
      </c>
      <c r="BC78" s="728"/>
      <c r="BD78" s="949"/>
      <c r="BE78" s="951"/>
      <c r="BF78" s="951"/>
      <c r="BG78" s="951"/>
      <c r="BH78" s="1079"/>
      <c r="BI78" s="1079"/>
      <c r="BJ78" s="1079"/>
      <c r="BK78" s="572"/>
      <c r="BL78" s="555" t="s">
        <v>1</v>
      </c>
      <c r="BM78" s="729">
        <f t="shared" ref="BM78" si="375">BM82+3.48</f>
        <v>121.36000000000004</v>
      </c>
      <c r="BN78" s="980"/>
      <c r="BO78" s="509"/>
      <c r="BP78" s="510" t="s">
        <v>1</v>
      </c>
    </row>
    <row r="79" spans="1:68" ht="25.5" x14ac:dyDescent="0.45">
      <c r="A79" s="957"/>
      <c r="B79" s="511" t="str">
        <f t="shared" ref="B79" si="376">_xlfn.CONCAT("קומה ",B80)</f>
        <v>קומה 32</v>
      </c>
      <c r="C79" s="512" t="s">
        <v>0</v>
      </c>
      <c r="D79" s="556"/>
      <c r="E79" s="1080"/>
      <c r="F79" s="1080"/>
      <c r="G79" s="1080"/>
      <c r="H79" s="513"/>
      <c r="I79" s="961" t="s">
        <v>70</v>
      </c>
      <c r="J79" s="513"/>
      <c r="K79" s="513"/>
      <c r="L79" s="460">
        <f t="shared" ref="L79" si="377">L83+7</f>
        <v>249</v>
      </c>
      <c r="M79" s="514"/>
      <c r="N79" s="514">
        <f t="shared" ref="N79" si="378">N83+7</f>
        <v>250</v>
      </c>
      <c r="O79" s="514"/>
      <c r="P79" s="540">
        <f t="shared" ref="P79:Q79" si="379">P83+7</f>
        <v>251</v>
      </c>
      <c r="Q79" s="514">
        <f t="shared" si="379"/>
        <v>252</v>
      </c>
      <c r="R79" s="514"/>
      <c r="S79" s="514">
        <f t="shared" ref="S79" si="380">S83+7</f>
        <v>253</v>
      </c>
      <c r="T79" s="514"/>
      <c r="U79" s="462"/>
      <c r="V79" s="514">
        <f t="shared" ref="V79" si="381">V83+7</f>
        <v>254</v>
      </c>
      <c r="W79" s="514"/>
      <c r="X79" s="514"/>
      <c r="Y79" s="514"/>
      <c r="Z79" s="463">
        <f>Y83+7</f>
        <v>255</v>
      </c>
      <c r="AA79" s="463"/>
      <c r="AB79" s="464"/>
      <c r="AC79" s="616" t="s">
        <v>31</v>
      </c>
      <c r="AD79" s="617">
        <f>COUNTIF(Check[סימון],("S."&amp;"*"&amp;$AC79&amp;"."&amp;AD$5&amp;"*"))</f>
        <v>1</v>
      </c>
      <c r="AE79" s="618">
        <f>COUNTIF(Check[סימון],("O."&amp;"*"&amp;$AC79&amp;"."&amp;AE$5&amp;"*"))</f>
        <v>4</v>
      </c>
      <c r="AF79" s="619">
        <f>COUNTIF(Check[סימון],("V."&amp;"*"&amp;$AC79&amp;"."&amp;AF$5&amp;"*"))</f>
        <v>7</v>
      </c>
      <c r="AG79" s="620">
        <f>SUM(AD79:AF79)</f>
        <v>12</v>
      </c>
      <c r="AH79" s="621">
        <f>SUM(AI79,AG79)</f>
        <v>25</v>
      </c>
      <c r="AI79" s="622">
        <f>SUM(AJ79:AL79)</f>
        <v>13</v>
      </c>
      <c r="AJ79" s="623">
        <f>COUNTIF(Check[סימון],("V."&amp;"*"&amp;$AC79&amp;"."&amp;AJ$5&amp;"*"))</f>
        <v>4</v>
      </c>
      <c r="AK79" s="618">
        <f>COUNTIF(Check[סימון],("O."&amp;"*"&amp;$AC79&amp;"."&amp;AK$5&amp;"*"))</f>
        <v>2</v>
      </c>
      <c r="AL79" s="624">
        <f>COUNTIF(Check[סימון],("S."&amp;"*"&amp;$AC79&amp;"."&amp;AL$5&amp;"*"))</f>
        <v>7</v>
      </c>
      <c r="AM79" s="625" t="s">
        <v>31</v>
      </c>
      <c r="AN79" s="626"/>
      <c r="AO79" s="519">
        <f t="shared" ref="AO79" si="382">AO83+7</f>
        <v>246</v>
      </c>
      <c r="AP79" s="520"/>
      <c r="AQ79" s="578">
        <f t="shared" ref="AQ79" si="383">AQ83+7</f>
        <v>247</v>
      </c>
      <c r="AR79" s="520"/>
      <c r="AS79" s="578">
        <f t="shared" ref="AS79" si="384">AS83+7</f>
        <v>248</v>
      </c>
      <c r="AT79" s="461"/>
      <c r="AU79" s="520"/>
      <c r="AV79" s="578">
        <f t="shared" ref="AV79" si="385">AV83+7</f>
        <v>249</v>
      </c>
      <c r="AW79" s="520"/>
      <c r="AX79" s="540">
        <f t="shared" ref="AX79:AY79" si="386">AX83+7</f>
        <v>243</v>
      </c>
      <c r="AY79" s="578">
        <f t="shared" si="386"/>
        <v>244</v>
      </c>
      <c r="AZ79" s="461"/>
      <c r="BA79" s="520"/>
      <c r="BB79" s="578">
        <f t="shared" ref="BB79" si="387">BB83+7</f>
        <v>245</v>
      </c>
      <c r="BC79" s="719"/>
      <c r="BD79" s="730"/>
      <c r="BE79" s="521"/>
      <c r="BF79" s="972" t="s">
        <v>70</v>
      </c>
      <c r="BG79" s="730"/>
      <c r="BH79" s="1080"/>
      <c r="BI79" s="1080"/>
      <c r="BJ79" s="1080"/>
      <c r="BK79" s="559"/>
      <c r="BL79" s="522" t="s">
        <v>0</v>
      </c>
      <c r="BM79" s="721" t="str">
        <f t="shared" ref="BM79" si="388">_xlfn.CONCAT("קומה ",BM80)</f>
        <v>קומה 32</v>
      </c>
      <c r="BN79" s="979"/>
      <c r="BO79" s="470"/>
      <c r="BP79" s="471" t="s">
        <v>0</v>
      </c>
    </row>
    <row r="80" spans="1:68" ht="25.5" hidden="1" x14ac:dyDescent="0.3">
      <c r="A80" s="957"/>
      <c r="B80" s="523">
        <f t="shared" ref="B80" si="389">B84+1</f>
        <v>32</v>
      </c>
      <c r="C80" s="512" t="s">
        <v>89</v>
      </c>
      <c r="D80" s="560"/>
      <c r="E80" s="1078"/>
      <c r="F80" s="1078"/>
      <c r="G80" s="1078"/>
      <c r="H80" s="524"/>
      <c r="I80" s="943"/>
      <c r="J80" s="524"/>
      <c r="K80" s="524"/>
      <c r="L80" s="475" t="str">
        <f>VLOOKUP("*"&amp;L$5&amp;".Ap."&amp;L79,Check2,1,FALSE)</f>
        <v>V.GMS.S.3F.TS.Ap.249</v>
      </c>
      <c r="M80" s="525" t="str">
        <f t="shared" ref="M80" si="390">L80</f>
        <v>V.GMS.S.3F.TS.Ap.249</v>
      </c>
      <c r="N80" s="525" t="str">
        <f>VLOOKUP("*"&amp;N$5&amp;".Ap."&amp;N79,Check2,1,FALSE)</f>
        <v>S.S.3G.TS.Ap.250</v>
      </c>
      <c r="O80" s="525" t="str">
        <f t="shared" ref="O80" si="391">N80</f>
        <v>S.S.3G.TS.Ap.250</v>
      </c>
      <c r="P80" s="525" t="str">
        <f>VLOOKUP("*"&amp;P$5&amp;".Ap."&amp;P79,Check2,1,FALSE)</f>
        <v>V.GMS.S.3A.TS.Ap.251</v>
      </c>
      <c r="Q80" s="525" t="str">
        <f>VLOOKUP("*"&amp;Q$5&amp;".Ap."&amp;Q79,Check2,1,FALSE)</f>
        <v>S.S.2D.TS.Ap.252</v>
      </c>
      <c r="R80" s="525" t="str">
        <f t="shared" ref="R80" si="392">Q80</f>
        <v>S.S.2D.TS.Ap.252</v>
      </c>
      <c r="S80" s="525" t="str">
        <f>VLOOKUP("*"&amp;S$5&amp;".Ap."&amp;S79,Check2,1,FALSE)</f>
        <v>S.S.4C.TS.Ap.253</v>
      </c>
      <c r="T80" s="525" t="str">
        <f t="shared" ref="T80:U80" si="393">S80</f>
        <v>S.S.4C.TS.Ap.253</v>
      </c>
      <c r="U80" s="477" t="str">
        <f t="shared" si="393"/>
        <v>S.S.4C.TS.Ap.253</v>
      </c>
      <c r="V80" s="525" t="str">
        <f>VLOOKUP("*"&amp;V$5&amp;".Ap."&amp;V79,Check2,1,FALSE)</f>
        <v>S.P.5CP.TS.Ap.254</v>
      </c>
      <c r="W80" s="525" t="str">
        <f t="shared" ref="W80" si="394">V80</f>
        <v>S.P.5CP.TS.Ap.254</v>
      </c>
      <c r="X80" s="525" t="str">
        <f t="shared" ref="X80:Y80" si="395">V80</f>
        <v>S.P.5CP.TS.Ap.254</v>
      </c>
      <c r="Y80" s="525" t="str">
        <f t="shared" si="395"/>
        <v>S.P.5CP.TS.Ap.254</v>
      </c>
      <c r="Z80" s="478" t="str">
        <f>VLOOKUP("*"&amp;Y$5&amp;".Ap."&amp;Z79,Check2,1,FALSE)</f>
        <v>V.GM.P.4BP.TS.Ap.255</v>
      </c>
      <c r="AA80" s="478" t="str">
        <f t="shared" ref="AA80" si="396">Z80</f>
        <v>V.GM.P.4BP.TS.Ap.255</v>
      </c>
      <c r="AB80" s="479"/>
      <c r="AC80" s="627"/>
      <c r="AD80" s="628"/>
      <c r="AE80" s="629"/>
      <c r="AF80" s="630"/>
      <c r="AG80" s="631"/>
      <c r="AH80" s="632"/>
      <c r="AI80" s="627"/>
      <c r="AJ80" s="633"/>
      <c r="AK80" s="629"/>
      <c r="AL80" s="634"/>
      <c r="AM80" s="635"/>
      <c r="AN80" s="636"/>
      <c r="AO80" s="532" t="str">
        <f>VLOOKUP("*"&amp;AO$5&amp;".Ap."&amp;AO79,Check2,1,FALSE)</f>
        <v>O.S.5B.TN.Ap.246</v>
      </c>
      <c r="AP80" s="477" t="str">
        <f t="shared" ref="AP80" si="397">AO80</f>
        <v>O.S.5B.TN.Ap.246</v>
      </c>
      <c r="AQ80" s="533" t="str">
        <f>VLOOKUP("*"&amp;AQ$5&amp;".Ap."&amp;AQ79,Check2,1,FALSE)</f>
        <v>O.S.5A.TN.Ap.247</v>
      </c>
      <c r="AR80" s="477" t="str">
        <f t="shared" ref="AR80" si="398">AQ80</f>
        <v>O.S.5A.TN.Ap.247</v>
      </c>
      <c r="AS80" s="533" t="str">
        <f>VLOOKUP("*"&amp;AS$5&amp;".Ap."&amp;AS79,Check2,1,FALSE)</f>
        <v>S.S.4C.TN.Ap.248</v>
      </c>
      <c r="AT80" s="476" t="str">
        <f t="shared" ref="AT80:AU80" si="399">AS80</f>
        <v>S.S.4C.TN.Ap.248</v>
      </c>
      <c r="AU80" s="477" t="str">
        <f t="shared" si="399"/>
        <v>S.S.4C.TN.Ap.248</v>
      </c>
      <c r="AV80" s="533" t="str">
        <f>VLOOKUP("*"&amp;AV$5&amp;".Ap."&amp;AV79,Check2,1,FALSE)</f>
        <v>S.S.2D.TN.Ap.249</v>
      </c>
      <c r="AW80" s="477" t="str">
        <f t="shared" ref="AW80" si="400">AV80</f>
        <v>S.S.2D.TN.Ap.249</v>
      </c>
      <c r="AX80" s="525" t="str">
        <f>VLOOKUP("*"&amp;AX$5&amp;".Ap."&amp;AX79,Check2,1,FALSE)</f>
        <v>S.S.3A.TN.Ap.243</v>
      </c>
      <c r="AY80" s="533" t="str">
        <f>VLOOKUP("*"&amp;AY$5&amp;".Ap."&amp;AY79,Check2,1,FALSE)</f>
        <v>S.S.3G.TN.Ap.244</v>
      </c>
      <c r="AZ80" s="476" t="str">
        <f t="shared" ref="AZ80:BA80" si="401">AY80</f>
        <v>S.S.3G.TN.Ap.244</v>
      </c>
      <c r="BA80" s="477" t="str">
        <f t="shared" si="401"/>
        <v>S.S.3G.TN.Ap.244</v>
      </c>
      <c r="BB80" s="533" t="str">
        <f>VLOOKUP("*"&amp;BB$5&amp;".Ap."&amp;BB79,Check2,1,FALSE)</f>
        <v>S.S.3F.TN.Ap.245</v>
      </c>
      <c r="BC80" s="722" t="str">
        <f t="shared" ref="BC80" si="402">BB80</f>
        <v>S.S.3F.TN.Ap.245</v>
      </c>
      <c r="BD80" s="731"/>
      <c r="BE80" s="536"/>
      <c r="BF80" s="950"/>
      <c r="BG80" s="731"/>
      <c r="BH80" s="1078"/>
      <c r="BI80" s="1078"/>
      <c r="BJ80" s="1078"/>
      <c r="BK80" s="561"/>
      <c r="BL80" s="522" t="s">
        <v>89</v>
      </c>
      <c r="BM80" s="723">
        <f t="shared" ref="BM80" si="403">BM84+1</f>
        <v>32</v>
      </c>
      <c r="BN80" s="979"/>
      <c r="BO80" s="484"/>
      <c r="BP80" s="485" t="s">
        <v>89</v>
      </c>
    </row>
    <row r="81" spans="1:68" ht="19.5" customHeight="1" x14ac:dyDescent="0.3">
      <c r="A81" s="957"/>
      <c r="B81" s="537"/>
      <c r="C81" s="538" t="s">
        <v>65</v>
      </c>
      <c r="D81" s="562"/>
      <c r="E81" s="1078"/>
      <c r="F81" s="1078"/>
      <c r="G81" s="1078"/>
      <c r="H81" s="524"/>
      <c r="I81" s="943"/>
      <c r="J81" s="524"/>
      <c r="K81" s="524"/>
      <c r="L81" s="488">
        <f>VLOOKUP(L80,Check2,5,FALSE)</f>
        <v>3201</v>
      </c>
      <c r="M81" s="539"/>
      <c r="N81" s="539">
        <f>VLOOKUP(N80,Check2,5,FALSE)</f>
        <v>3202</v>
      </c>
      <c r="O81" s="539"/>
      <c r="P81" s="724">
        <f>VLOOKUP(P80,Check2,5,FALSE)</f>
        <v>3203</v>
      </c>
      <c r="Q81" s="539">
        <f>VLOOKUP(Q80,Check2,5,FALSE)</f>
        <v>3204</v>
      </c>
      <c r="R81" s="539"/>
      <c r="S81" s="539">
        <f>VLOOKUP(S80,Check2,5,FALSE)</f>
        <v>3205</v>
      </c>
      <c r="T81" s="539"/>
      <c r="U81" s="490"/>
      <c r="V81" s="539">
        <f>VLOOKUP(V80,Check2,5,FALSE)</f>
        <v>3206</v>
      </c>
      <c r="W81" s="539"/>
      <c r="X81" s="539"/>
      <c r="Y81" s="539"/>
      <c r="Z81" s="491">
        <f>VLOOKUP(Z80,Check2,5,FALSE)</f>
        <v>3207</v>
      </c>
      <c r="AA81" s="491"/>
      <c r="AB81" s="449"/>
      <c r="AC81" s="1030" t="s">
        <v>1269</v>
      </c>
      <c r="AD81" s="1032">
        <f>COUNTIF(Check[סימון],("S."&amp;"*"&amp;$AC81&amp;"."&amp;AD$5&amp;"*"))</f>
        <v>4</v>
      </c>
      <c r="AE81" s="1034">
        <f>COUNTIF(Check[סימון],("O."&amp;"*"&amp;$AC81&amp;"."&amp;AE$5&amp;"*"))</f>
        <v>0</v>
      </c>
      <c r="AF81" s="1054">
        <f>COUNTIF(Check[סימון],("V."&amp;"*"&amp;$AC81&amp;"."&amp;AF$5&amp;"*"))</f>
        <v>0</v>
      </c>
      <c r="AG81" s="1056">
        <f>SUM(AD81:AF81)</f>
        <v>4</v>
      </c>
      <c r="AH81" s="1040">
        <f>SUM(AI81,AG81)</f>
        <v>5</v>
      </c>
      <c r="AI81" s="1042">
        <f>SUM(AJ81:AL81)</f>
        <v>1</v>
      </c>
      <c r="AJ81" s="1058">
        <f>COUNTIF(Check[סימון],("V."&amp;"*"&amp;$AC81&amp;"."&amp;AJ$5&amp;"*"))</f>
        <v>0</v>
      </c>
      <c r="AK81" s="1034">
        <f>COUNTIF(Check[סימון],("O."&amp;"*"&amp;$AC81&amp;"."&amp;AK$5&amp;"*"))</f>
        <v>1</v>
      </c>
      <c r="AL81" s="1064">
        <f>COUNTIF(Check[סימון],("S."&amp;"*"&amp;$AC81&amp;"."&amp;AL$5&amp;"*"))</f>
        <v>0</v>
      </c>
      <c r="AM81" s="1066" t="s">
        <v>1269</v>
      </c>
      <c r="AN81" s="637"/>
      <c r="AO81" s="542">
        <f>VLOOKUP(AO80,Check2,5,FALSE)</f>
        <v>3202</v>
      </c>
      <c r="AP81" s="543"/>
      <c r="AQ81" s="589">
        <f>VLOOKUP(AQ80,Check2,5,FALSE)</f>
        <v>3203</v>
      </c>
      <c r="AR81" s="543"/>
      <c r="AS81" s="589">
        <f>VLOOKUP(AS80,Check2,5,FALSE)</f>
        <v>3204</v>
      </c>
      <c r="AT81" s="590"/>
      <c r="AU81" s="584"/>
      <c r="AV81" s="589">
        <f>VLOOKUP(AV80,Check2,5,FALSE)</f>
        <v>3205</v>
      </c>
      <c r="AW81" s="543"/>
      <c r="AX81" s="724">
        <f>VLOOKUP(AX80,Check2,5,FALSE)</f>
        <v>3206</v>
      </c>
      <c r="AY81" s="589">
        <f>VLOOKUP(AY80,Check2,5,FALSE)</f>
        <v>3207</v>
      </c>
      <c r="AZ81" s="590"/>
      <c r="BA81" s="584"/>
      <c r="BB81" s="589">
        <f>VLOOKUP(BB80,Check2,5,FALSE)</f>
        <v>3201</v>
      </c>
      <c r="BC81" s="725"/>
      <c r="BD81" s="731"/>
      <c r="BE81" s="536"/>
      <c r="BF81" s="950"/>
      <c r="BG81" s="731"/>
      <c r="BH81" s="1078"/>
      <c r="BI81" s="1078"/>
      <c r="BJ81" s="1078"/>
      <c r="BK81" s="564"/>
      <c r="BL81" s="544" t="s">
        <v>65</v>
      </c>
      <c r="BM81" s="726"/>
      <c r="BN81" s="979"/>
      <c r="BO81" s="434"/>
      <c r="BP81" s="496" t="s">
        <v>1078</v>
      </c>
    </row>
    <row r="82" spans="1:68" ht="20.25" customHeight="1" thickBot="1" x14ac:dyDescent="0.45">
      <c r="A82" s="958"/>
      <c r="B82" s="545">
        <f t="shared" ref="B82" si="404">B86+3.48</f>
        <v>117.88000000000004</v>
      </c>
      <c r="C82" s="546" t="s">
        <v>1</v>
      </c>
      <c r="D82" s="567"/>
      <c r="E82" s="1079"/>
      <c r="F82" s="1079"/>
      <c r="G82" s="1079"/>
      <c r="H82" s="547"/>
      <c r="I82" s="944"/>
      <c r="J82" s="547"/>
      <c r="K82" s="547"/>
      <c r="L82" s="595" t="str">
        <f>VLOOKUP(L80,Check2,6,FALSE)</f>
        <v>3F</v>
      </c>
      <c r="M82" s="548"/>
      <c r="N82" s="548" t="str">
        <f>VLOOKUP(N80,Check2,6,FALSE)</f>
        <v>3G</v>
      </c>
      <c r="O82" s="548"/>
      <c r="P82" s="727" t="str">
        <f>VLOOKUP(P80,Check2,6,FALSE)</f>
        <v>3A</v>
      </c>
      <c r="Q82" s="548" t="str">
        <f>VLOOKUP(Q80,Check2,6,FALSE)</f>
        <v>2D</v>
      </c>
      <c r="R82" s="548"/>
      <c r="S82" s="548" t="str">
        <f>VLOOKUP(S80,Check2,6,FALSE)</f>
        <v>4C</v>
      </c>
      <c r="T82" s="548"/>
      <c r="U82" s="549"/>
      <c r="V82" s="548" t="str">
        <f>VLOOKUP(V80,Check2,6,FALSE)</f>
        <v>5CP</v>
      </c>
      <c r="W82" s="548"/>
      <c r="X82" s="548"/>
      <c r="Y82" s="548"/>
      <c r="Z82" s="615" t="str">
        <f>VLOOKUP(Z80,Check2,6,FALSE)</f>
        <v>4BP</v>
      </c>
      <c r="AA82" s="615"/>
      <c r="AB82" s="503"/>
      <c r="AC82" s="1031"/>
      <c r="AD82" s="1033"/>
      <c r="AE82" s="1035"/>
      <c r="AF82" s="1055"/>
      <c r="AG82" s="1057"/>
      <c r="AH82" s="1041"/>
      <c r="AI82" s="1043"/>
      <c r="AJ82" s="1059"/>
      <c r="AK82" s="1035"/>
      <c r="AL82" s="1065"/>
      <c r="AM82" s="1067"/>
      <c r="AN82" s="640"/>
      <c r="AO82" s="551" t="str">
        <f>VLOOKUP(AO80,Check2,6,FALSE)</f>
        <v>5B</v>
      </c>
      <c r="AP82" s="553"/>
      <c r="AQ82" s="603" t="str">
        <f>VLOOKUP(AQ80,Check2,6,FALSE)</f>
        <v>5A</v>
      </c>
      <c r="AR82" s="553"/>
      <c r="AS82" s="603" t="str">
        <f>VLOOKUP(AS80,Check2,6,FALSE)</f>
        <v>4C</v>
      </c>
      <c r="AT82" s="604"/>
      <c r="AU82" s="597"/>
      <c r="AV82" s="603" t="str">
        <f>VLOOKUP(AV80,Check2,6,FALSE)</f>
        <v>2D</v>
      </c>
      <c r="AW82" s="553"/>
      <c r="AX82" s="727" t="str">
        <f>VLOOKUP(AX80,Check2,6,FALSE)</f>
        <v>3A</v>
      </c>
      <c r="AY82" s="603" t="str">
        <f>VLOOKUP(AY80,Check2,6,FALSE)</f>
        <v>3G</v>
      </c>
      <c r="AZ82" s="604"/>
      <c r="BA82" s="597"/>
      <c r="BB82" s="603" t="str">
        <f>VLOOKUP(BB80,Check2,6,FALSE)</f>
        <v>3F</v>
      </c>
      <c r="BC82" s="728"/>
      <c r="BD82" s="732"/>
      <c r="BE82" s="554"/>
      <c r="BF82" s="951"/>
      <c r="BG82" s="732"/>
      <c r="BH82" s="1079"/>
      <c r="BI82" s="1079"/>
      <c r="BJ82" s="1079"/>
      <c r="BK82" s="572"/>
      <c r="BL82" s="555" t="s">
        <v>1</v>
      </c>
      <c r="BM82" s="729">
        <f t="shared" ref="BM82" si="405">BM86+3.48</f>
        <v>117.88000000000004</v>
      </c>
      <c r="BN82" s="980"/>
      <c r="BO82" s="509"/>
      <c r="BP82" s="510" t="s">
        <v>1</v>
      </c>
    </row>
    <row r="83" spans="1:68" ht="26.25" thickBot="1" x14ac:dyDescent="0.5">
      <c r="A83" s="957"/>
      <c r="B83" s="511" t="str">
        <f t="shared" ref="B83" si="406">_xlfn.CONCAT("קומה ",B84)</f>
        <v>קומה 31</v>
      </c>
      <c r="C83" s="512" t="s">
        <v>0</v>
      </c>
      <c r="D83" s="556"/>
      <c r="E83" s="1081" t="s">
        <v>1076</v>
      </c>
      <c r="F83" s="1081" t="s">
        <v>1076</v>
      </c>
      <c r="G83" s="1081" t="s">
        <v>1076</v>
      </c>
      <c r="H83" s="557"/>
      <c r="I83" s="557"/>
      <c r="J83" s="557"/>
      <c r="K83" s="557"/>
      <c r="L83" s="460">
        <f t="shared" ref="L83" si="407">L87+7</f>
        <v>242</v>
      </c>
      <c r="M83" s="514"/>
      <c r="N83" s="514">
        <f t="shared" ref="N83" si="408">N87+7</f>
        <v>243</v>
      </c>
      <c r="O83" s="514"/>
      <c r="P83" s="540">
        <f t="shared" ref="P83:Q83" si="409">P87+7</f>
        <v>244</v>
      </c>
      <c r="Q83" s="514">
        <f t="shared" si="409"/>
        <v>245</v>
      </c>
      <c r="R83" s="514"/>
      <c r="S83" s="514">
        <f t="shared" ref="S83" si="410">S87+7</f>
        <v>246</v>
      </c>
      <c r="T83" s="514"/>
      <c r="U83" s="462"/>
      <c r="V83" s="514">
        <f t="shared" ref="V83" si="411">V87+7</f>
        <v>247</v>
      </c>
      <c r="W83" s="514"/>
      <c r="X83" s="514"/>
      <c r="Y83" s="514">
        <f t="shared" ref="Y83" si="412">Y87+7</f>
        <v>248</v>
      </c>
      <c r="Z83" s="463"/>
      <c r="AA83" s="463"/>
      <c r="AB83" s="464"/>
      <c r="AC83" s="666" t="s">
        <v>32</v>
      </c>
      <c r="AD83" s="667">
        <f>COUNTIF(Check[סימון],("S."&amp;"*"&amp;$AC83&amp;"."&amp;AD$5&amp;"*"))</f>
        <v>0</v>
      </c>
      <c r="AE83" s="668">
        <f>COUNTIF(Check[סימון],("O."&amp;"*"&amp;$AC83&amp;"."&amp;AE$5&amp;"*"))</f>
        <v>0</v>
      </c>
      <c r="AF83" s="669">
        <f>COUNTIF(Check[סימון],("V."&amp;"*"&amp;$AC83&amp;"."&amp;AF$5&amp;"*"))</f>
        <v>1</v>
      </c>
      <c r="AG83" s="670">
        <f>SUM(AD83:AF83)</f>
        <v>1</v>
      </c>
      <c r="AH83" s="671">
        <f>SUM(AI83,AG83)</f>
        <v>2</v>
      </c>
      <c r="AI83" s="672">
        <f>SUM(AJ83:AL83)</f>
        <v>1</v>
      </c>
      <c r="AJ83" s="673">
        <f>COUNTIF(Check[סימון],("V."&amp;"*"&amp;$AC83&amp;"."&amp;AJ$5&amp;"*"))</f>
        <v>1</v>
      </c>
      <c r="AK83" s="668">
        <f>COUNTIF(Check[סימון],("O."&amp;"*"&amp;$AC83&amp;"."&amp;AK$5&amp;"*"))</f>
        <v>0</v>
      </c>
      <c r="AL83" s="674">
        <f>COUNTIF(Check[סימון],("S."&amp;"*"&amp;$AC83&amp;"."&amp;AL$5&amp;"*"))</f>
        <v>0</v>
      </c>
      <c r="AM83" s="675" t="s">
        <v>32</v>
      </c>
      <c r="AN83" s="626"/>
      <c r="AO83" s="519">
        <f t="shared" ref="AO83" si="413">AO87+7</f>
        <v>239</v>
      </c>
      <c r="AP83" s="520"/>
      <c r="AQ83" s="578">
        <f t="shared" ref="AQ83" si="414">AQ87+7</f>
        <v>240</v>
      </c>
      <c r="AR83" s="520"/>
      <c r="AS83" s="578">
        <f t="shared" ref="AS83" si="415">AS87+7</f>
        <v>241</v>
      </c>
      <c r="AT83" s="461"/>
      <c r="AU83" s="520"/>
      <c r="AV83" s="578">
        <f t="shared" ref="AV83" si="416">AV87+7</f>
        <v>242</v>
      </c>
      <c r="AW83" s="520"/>
      <c r="AX83" s="540">
        <f t="shared" ref="AX83:AY83" si="417">AX87+7</f>
        <v>236</v>
      </c>
      <c r="AY83" s="578">
        <f t="shared" si="417"/>
        <v>237</v>
      </c>
      <c r="AZ83" s="461"/>
      <c r="BA83" s="520"/>
      <c r="BB83" s="578">
        <f t="shared" ref="BB83" si="418">BB87+7</f>
        <v>238</v>
      </c>
      <c r="BC83" s="719"/>
      <c r="BD83" s="733"/>
      <c r="BE83" s="557"/>
      <c r="BF83" s="557"/>
      <c r="BG83" s="733"/>
      <c r="BH83" s="1081" t="s">
        <v>1076</v>
      </c>
      <c r="BI83" s="1081" t="s">
        <v>1076</v>
      </c>
      <c r="BJ83" s="1081" t="s">
        <v>1076</v>
      </c>
      <c r="BK83" s="559"/>
      <c r="BL83" s="522" t="s">
        <v>0</v>
      </c>
      <c r="BM83" s="721" t="str">
        <f t="shared" ref="BM83" si="419">_xlfn.CONCAT("קומה ",BM84)</f>
        <v>קומה 31</v>
      </c>
      <c r="BN83" s="979"/>
      <c r="BO83" s="470"/>
      <c r="BP83" s="471" t="s">
        <v>0</v>
      </c>
    </row>
    <row r="84" spans="1:68" ht="26.25" hidden="1" thickBot="1" x14ac:dyDescent="0.35">
      <c r="A84" s="957"/>
      <c r="B84" s="523">
        <f t="shared" ref="B84" si="420">B88+1</f>
        <v>31</v>
      </c>
      <c r="C84" s="512" t="s">
        <v>89</v>
      </c>
      <c r="D84" s="560"/>
      <c r="E84" s="1082"/>
      <c r="F84" s="1082"/>
      <c r="G84" s="1082"/>
      <c r="H84" s="535"/>
      <c r="I84" s="535"/>
      <c r="J84" s="535"/>
      <c r="K84" s="535"/>
      <c r="L84" s="475" t="str">
        <f>VLOOKUP("*"&amp;L$5&amp;".Ap."&amp;L83,Check2,1,FALSE)</f>
        <v>V.GMS.S.3F.TS.Ap.242</v>
      </c>
      <c r="M84" s="525" t="str">
        <f t="shared" ref="M84" si="421">L84</f>
        <v>V.GMS.S.3F.TS.Ap.242</v>
      </c>
      <c r="N84" s="525" t="str">
        <f>VLOOKUP("*"&amp;N$5&amp;".Ap."&amp;N83,Check2,1,FALSE)</f>
        <v>V.GMS.S.3G.TS.Ap.243</v>
      </c>
      <c r="O84" s="525" t="str">
        <f t="shared" ref="O84" si="422">N84</f>
        <v>V.GMS.S.3G.TS.Ap.243</v>
      </c>
      <c r="P84" s="525" t="str">
        <f>VLOOKUP("*"&amp;P$5&amp;".Ap."&amp;P83,Check2,1,FALSE)</f>
        <v>V.GMS.S.3A.TS.Ap.244</v>
      </c>
      <c r="Q84" s="525" t="str">
        <f>VLOOKUP("*"&amp;Q$5&amp;".Ap."&amp;Q83,Check2,1,FALSE)</f>
        <v>S.S.2D.TS.Ap.245</v>
      </c>
      <c r="R84" s="525" t="str">
        <f t="shared" ref="R84" si="423">Q84</f>
        <v>S.S.2D.TS.Ap.245</v>
      </c>
      <c r="S84" s="525" t="str">
        <f>VLOOKUP("*"&amp;S$5&amp;".Ap."&amp;S83,Check2,1,FALSE)</f>
        <v>S.S.4C.TS.Ap.246</v>
      </c>
      <c r="T84" s="525" t="str">
        <f t="shared" ref="T84:U84" si="424">S84</f>
        <v>S.S.4C.TS.Ap.246</v>
      </c>
      <c r="U84" s="477" t="str">
        <f t="shared" si="424"/>
        <v>S.S.4C.TS.Ap.246</v>
      </c>
      <c r="V84" s="525" t="str">
        <f>VLOOKUP("*"&amp;V$5&amp;".Ap."&amp;V83,Check2,1,FALSE)</f>
        <v>V.GM.S.5A.TS.Ap.247</v>
      </c>
      <c r="W84" s="525" t="str">
        <f t="shared" ref="W84" si="425">V84</f>
        <v>V.GM.S.5A.TS.Ap.247</v>
      </c>
      <c r="X84" s="525" t="str">
        <f t="shared" ref="X84" si="426">V84</f>
        <v>V.GM.S.5A.TS.Ap.247</v>
      </c>
      <c r="Y84" s="525" t="str">
        <f>VLOOKUP("*"&amp;Y$5&amp;".Ap."&amp;Y83,Check2,1,FALSE)</f>
        <v>V.GMC.S.5B.TS.Ap.248</v>
      </c>
      <c r="Z84" s="478" t="str">
        <f t="shared" ref="Z84" si="427">Y84</f>
        <v>V.GMC.S.5B.TS.Ap.248</v>
      </c>
      <c r="AA84" s="478" t="str">
        <f t="shared" ref="AA84" si="428">Y84</f>
        <v>V.GMC.S.5B.TS.Ap.248</v>
      </c>
      <c r="AB84" s="479"/>
      <c r="AC84" s="734"/>
      <c r="AD84" s="735"/>
      <c r="AE84" s="736"/>
      <c r="AF84" s="737"/>
      <c r="AG84" s="738"/>
      <c r="AH84" s="739"/>
      <c r="AI84" s="740"/>
      <c r="AJ84" s="741"/>
      <c r="AK84" s="736"/>
      <c r="AL84" s="742"/>
      <c r="AM84" s="743"/>
      <c r="AN84" s="636"/>
      <c r="AO84" s="532" t="str">
        <f>VLOOKUP("*"&amp;AO$5&amp;".Ap."&amp;AO83,Check2,1,FALSE)</f>
        <v>V.GMC.S.5B.TN.Ap.239</v>
      </c>
      <c r="AP84" s="477" t="str">
        <f t="shared" ref="AP84" si="429">AO84</f>
        <v>V.GMC.S.5B.TN.Ap.239</v>
      </c>
      <c r="AQ84" s="533" t="str">
        <f>VLOOKUP("*"&amp;AQ$5&amp;".Ap."&amp;AQ83,Check2,1,FALSE)</f>
        <v>S.S.5A.TN.Ap.240</v>
      </c>
      <c r="AR84" s="477" t="str">
        <f t="shared" ref="AR84" si="430">AQ84</f>
        <v>S.S.5A.TN.Ap.240</v>
      </c>
      <c r="AS84" s="533" t="str">
        <f>VLOOKUP("*"&amp;AS$5&amp;".Ap."&amp;AS83,Check2,1,FALSE)</f>
        <v>S.S.4C.TN.Ap.241</v>
      </c>
      <c r="AT84" s="476" t="str">
        <f t="shared" ref="AT84:AU84" si="431">AS84</f>
        <v>S.S.4C.TN.Ap.241</v>
      </c>
      <c r="AU84" s="477" t="str">
        <f t="shared" si="431"/>
        <v>S.S.4C.TN.Ap.241</v>
      </c>
      <c r="AV84" s="533" t="str">
        <f>VLOOKUP("*"&amp;AV$5&amp;".Ap."&amp;AV83,Check2,1,FALSE)</f>
        <v>S.S.2D.TN.Ap.242</v>
      </c>
      <c r="AW84" s="477" t="str">
        <f t="shared" ref="AW84" si="432">AV84</f>
        <v>S.S.2D.TN.Ap.242</v>
      </c>
      <c r="AX84" s="525" t="str">
        <f>VLOOKUP("*"&amp;AX$5&amp;".Ap."&amp;AX83,Check2,1,FALSE)</f>
        <v>S.S.3A.TN.Ap.236</v>
      </c>
      <c r="AY84" s="533" t="str">
        <f>VLOOKUP("*"&amp;AY$5&amp;".Ap."&amp;AY83,Check2,1,FALSE)</f>
        <v>S.S.3G.TN.Ap.237</v>
      </c>
      <c r="AZ84" s="476" t="str">
        <f t="shared" ref="AZ84:BA84" si="433">AY84</f>
        <v>S.S.3G.TN.Ap.237</v>
      </c>
      <c r="BA84" s="477" t="str">
        <f t="shared" si="433"/>
        <v>S.S.3G.TN.Ap.237</v>
      </c>
      <c r="BB84" s="533" t="str">
        <f>VLOOKUP("*"&amp;BB$5&amp;".Ap."&amp;BB83,Check2,1,FALSE)</f>
        <v>V.GMS.S.3F.TN.Ap.238</v>
      </c>
      <c r="BC84" s="722" t="str">
        <f t="shared" ref="BC84" si="434">BB84</f>
        <v>V.GMS.S.3F.TN.Ap.238</v>
      </c>
      <c r="BD84" s="744"/>
      <c r="BE84" s="535"/>
      <c r="BF84" s="535"/>
      <c r="BG84" s="744"/>
      <c r="BH84" s="1082"/>
      <c r="BI84" s="1082"/>
      <c r="BJ84" s="1082"/>
      <c r="BK84" s="561"/>
      <c r="BL84" s="522" t="s">
        <v>89</v>
      </c>
      <c r="BM84" s="723">
        <f t="shared" ref="BM84" si="435">BM88+1</f>
        <v>31</v>
      </c>
      <c r="BN84" s="979"/>
      <c r="BO84" s="484"/>
      <c r="BP84" s="485" t="s">
        <v>89</v>
      </c>
    </row>
    <row r="85" spans="1:68" ht="18.75" customHeight="1" x14ac:dyDescent="0.3">
      <c r="A85" s="957"/>
      <c r="B85" s="537"/>
      <c r="C85" s="538" t="s">
        <v>65</v>
      </c>
      <c r="D85" s="562"/>
      <c r="E85" s="1082"/>
      <c r="F85" s="1082"/>
      <c r="G85" s="1082"/>
      <c r="H85" s="563"/>
      <c r="I85" s="563"/>
      <c r="J85" s="563"/>
      <c r="K85" s="563"/>
      <c r="L85" s="488">
        <f>VLOOKUP(L84,Check2,5,FALSE)</f>
        <v>3101</v>
      </c>
      <c r="M85" s="539"/>
      <c r="N85" s="539">
        <f>VLOOKUP(N84,Check2,5,FALSE)</f>
        <v>3102</v>
      </c>
      <c r="O85" s="539"/>
      <c r="P85" s="724">
        <f>VLOOKUP(P84,Check2,5,FALSE)</f>
        <v>3103</v>
      </c>
      <c r="Q85" s="539">
        <f>VLOOKUP(Q84,Check2,5,FALSE)</f>
        <v>3104</v>
      </c>
      <c r="R85" s="539"/>
      <c r="S85" s="539">
        <f>VLOOKUP(S84,Check2,5,FALSE)</f>
        <v>3105</v>
      </c>
      <c r="T85" s="539"/>
      <c r="U85" s="490"/>
      <c r="V85" s="539">
        <f>VLOOKUP(V84,Check2,5,FALSE)</f>
        <v>3106</v>
      </c>
      <c r="W85" s="539"/>
      <c r="X85" s="539"/>
      <c r="Y85" s="539">
        <f>VLOOKUP(Y84,Check2,5,FALSE)</f>
        <v>3107</v>
      </c>
      <c r="Z85" s="491"/>
      <c r="AA85" s="491"/>
      <c r="AB85" s="449"/>
      <c r="AC85" s="1030" t="s">
        <v>33</v>
      </c>
      <c r="AD85" s="1032">
        <f>COUNTIF(Check[סימון],("S."&amp;"*"&amp;$AC85&amp;"."&amp;AD$5&amp;"*"))</f>
        <v>0</v>
      </c>
      <c r="AE85" s="1034">
        <f>COUNTIF(Check[סימון],("O."&amp;"*"&amp;$AC85&amp;"."&amp;AE$5&amp;"*"))</f>
        <v>0</v>
      </c>
      <c r="AF85" s="1054">
        <f>COUNTIF(Check[סימון],("V."&amp;"*"&amp;$AC85&amp;"."&amp;AF$5&amp;"*"))</f>
        <v>1</v>
      </c>
      <c r="AG85" s="1056">
        <f>SUM(AD85:AF85)</f>
        <v>1</v>
      </c>
      <c r="AH85" s="1040">
        <f>SUM(AI85,AG85)</f>
        <v>2</v>
      </c>
      <c r="AI85" s="1042">
        <f>SUM(AJ85:AL85)</f>
        <v>1</v>
      </c>
      <c r="AJ85" s="1058">
        <f>COUNTIF(Check[סימון],("V."&amp;"*"&amp;$AC85&amp;"."&amp;AJ$5&amp;"*"))</f>
        <v>1</v>
      </c>
      <c r="AK85" s="1034">
        <f>COUNTIF(Check[סימון],("O."&amp;"*"&amp;$AC85&amp;"."&amp;AK$5&amp;"*"))</f>
        <v>0</v>
      </c>
      <c r="AL85" s="1064">
        <f>COUNTIF(Check[סימון],("S."&amp;"*"&amp;$AC85&amp;"."&amp;AL$5&amp;"*"))</f>
        <v>0</v>
      </c>
      <c r="AM85" s="1066" t="s">
        <v>33</v>
      </c>
      <c r="AN85" s="637"/>
      <c r="AO85" s="542">
        <f>VLOOKUP(AO84,Check2,5,FALSE)</f>
        <v>3102</v>
      </c>
      <c r="AP85" s="543"/>
      <c r="AQ85" s="589">
        <f>VLOOKUP(AQ84,Check2,5,FALSE)</f>
        <v>3103</v>
      </c>
      <c r="AR85" s="543"/>
      <c r="AS85" s="589">
        <f>VLOOKUP(AS84,Check2,5,FALSE)</f>
        <v>3104</v>
      </c>
      <c r="AT85" s="590"/>
      <c r="AU85" s="584"/>
      <c r="AV85" s="589">
        <f>VLOOKUP(AV84,Check2,5,FALSE)</f>
        <v>3105</v>
      </c>
      <c r="AW85" s="543"/>
      <c r="AX85" s="724">
        <f>VLOOKUP(AX84,Check2,5,FALSE)</f>
        <v>3106</v>
      </c>
      <c r="AY85" s="589">
        <f>VLOOKUP(AY84,Check2,5,FALSE)</f>
        <v>3107</v>
      </c>
      <c r="AZ85" s="590"/>
      <c r="BA85" s="584"/>
      <c r="BB85" s="589">
        <f>VLOOKUP(BB84,Check2,5,FALSE)</f>
        <v>3101</v>
      </c>
      <c r="BC85" s="725"/>
      <c r="BD85" s="745"/>
      <c r="BE85" s="563"/>
      <c r="BF85" s="563"/>
      <c r="BG85" s="745"/>
      <c r="BH85" s="1082"/>
      <c r="BI85" s="1082"/>
      <c r="BJ85" s="1082"/>
      <c r="BK85" s="564"/>
      <c r="BL85" s="544" t="s">
        <v>65</v>
      </c>
      <c r="BM85" s="726"/>
      <c r="BN85" s="979"/>
      <c r="BO85" s="434"/>
      <c r="BP85" s="496" t="s">
        <v>1078</v>
      </c>
    </row>
    <row r="86" spans="1:68" ht="19.5" customHeight="1" thickBot="1" x14ac:dyDescent="0.45">
      <c r="A86" s="958"/>
      <c r="B86" s="545">
        <f t="shared" ref="B86" si="436">B90+3.48</f>
        <v>114.40000000000003</v>
      </c>
      <c r="C86" s="546" t="s">
        <v>1</v>
      </c>
      <c r="D86" s="567"/>
      <c r="E86" s="1083"/>
      <c r="F86" s="1083"/>
      <c r="G86" s="1083"/>
      <c r="H86" s="568"/>
      <c r="I86" s="568"/>
      <c r="J86" s="568"/>
      <c r="K86" s="568"/>
      <c r="L86" s="595" t="str">
        <f>VLOOKUP(L84,Check2,6,FALSE)</f>
        <v>3F</v>
      </c>
      <c r="M86" s="548"/>
      <c r="N86" s="548" t="str">
        <f>VLOOKUP(N84,Check2,6,FALSE)</f>
        <v>3G</v>
      </c>
      <c r="O86" s="548"/>
      <c r="P86" s="727" t="str">
        <f>VLOOKUP(P84,Check2,6,FALSE)</f>
        <v>3A</v>
      </c>
      <c r="Q86" s="548" t="str">
        <f>VLOOKUP(Q84,Check2,6,FALSE)</f>
        <v>2D</v>
      </c>
      <c r="R86" s="548"/>
      <c r="S86" s="548" t="str">
        <f>VLOOKUP(S84,Check2,6,FALSE)</f>
        <v>4C</v>
      </c>
      <c r="T86" s="548"/>
      <c r="U86" s="549"/>
      <c r="V86" s="548" t="str">
        <f>VLOOKUP(V84,Check2,6,FALSE)</f>
        <v>5A</v>
      </c>
      <c r="W86" s="548"/>
      <c r="X86" s="548"/>
      <c r="Y86" s="548" t="str">
        <f>VLOOKUP(Y84,Check2,6,FALSE)</f>
        <v>5B</v>
      </c>
      <c r="Z86" s="615"/>
      <c r="AA86" s="615"/>
      <c r="AB86" s="503"/>
      <c r="AC86" s="1031"/>
      <c r="AD86" s="1033"/>
      <c r="AE86" s="1035"/>
      <c r="AF86" s="1055"/>
      <c r="AG86" s="1057"/>
      <c r="AH86" s="1041"/>
      <c r="AI86" s="1043"/>
      <c r="AJ86" s="1059"/>
      <c r="AK86" s="1035"/>
      <c r="AL86" s="1065"/>
      <c r="AM86" s="1067"/>
      <c r="AN86" s="640"/>
      <c r="AO86" s="551" t="str">
        <f>VLOOKUP(AO84,Check2,6,FALSE)</f>
        <v>5B</v>
      </c>
      <c r="AP86" s="553"/>
      <c r="AQ86" s="603" t="str">
        <f>VLOOKUP(AQ84,Check2,6,FALSE)</f>
        <v>5A</v>
      </c>
      <c r="AR86" s="553"/>
      <c r="AS86" s="603" t="str">
        <f>VLOOKUP(AS84,Check2,6,FALSE)</f>
        <v>4C</v>
      </c>
      <c r="AT86" s="604"/>
      <c r="AU86" s="597"/>
      <c r="AV86" s="603" t="str">
        <f>VLOOKUP(AV84,Check2,6,FALSE)</f>
        <v>2D</v>
      </c>
      <c r="AW86" s="553"/>
      <c r="AX86" s="727" t="str">
        <f>VLOOKUP(AX84,Check2,6,FALSE)</f>
        <v>3A</v>
      </c>
      <c r="AY86" s="603" t="str">
        <f>VLOOKUP(AY84,Check2,6,FALSE)</f>
        <v>3G</v>
      </c>
      <c r="AZ86" s="604"/>
      <c r="BA86" s="597"/>
      <c r="BB86" s="603" t="str">
        <f>VLOOKUP(BB84,Check2,6,FALSE)</f>
        <v>3F</v>
      </c>
      <c r="BC86" s="728"/>
      <c r="BD86" s="746"/>
      <c r="BE86" s="568"/>
      <c r="BF86" s="568"/>
      <c r="BG86" s="746"/>
      <c r="BH86" s="1083"/>
      <c r="BI86" s="1083"/>
      <c r="BJ86" s="1083"/>
      <c r="BK86" s="572"/>
      <c r="BL86" s="555" t="s">
        <v>1</v>
      </c>
      <c r="BM86" s="729">
        <f t="shared" ref="BM86" si="437">BM90+3.48</f>
        <v>114.40000000000003</v>
      </c>
      <c r="BN86" s="980"/>
      <c r="BO86" s="509"/>
      <c r="BP86" s="510" t="s">
        <v>1</v>
      </c>
    </row>
    <row r="87" spans="1:68" ht="25.5" x14ac:dyDescent="0.45">
      <c r="A87" s="957"/>
      <c r="B87" s="511" t="str">
        <f t="shared" ref="B87" si="438">_xlfn.CONCAT("קומה ",B88)</f>
        <v>קומה 30</v>
      </c>
      <c r="C87" s="512" t="s">
        <v>0</v>
      </c>
      <c r="D87" s="556"/>
      <c r="E87" s="1080"/>
      <c r="F87" s="1080"/>
      <c r="G87" s="1080"/>
      <c r="H87" s="557"/>
      <c r="I87" s="557"/>
      <c r="J87" s="557"/>
      <c r="K87" s="557"/>
      <c r="L87" s="460">
        <f t="shared" ref="L87" si="439">L91+7</f>
        <v>235</v>
      </c>
      <c r="M87" s="514"/>
      <c r="N87" s="514">
        <f t="shared" ref="N87" si="440">N91+7</f>
        <v>236</v>
      </c>
      <c r="O87" s="514"/>
      <c r="P87" s="540">
        <f t="shared" ref="P87:Q87" si="441">P91+7</f>
        <v>237</v>
      </c>
      <c r="Q87" s="514">
        <f t="shared" si="441"/>
        <v>238</v>
      </c>
      <c r="R87" s="514"/>
      <c r="S87" s="514">
        <f t="shared" ref="S87" si="442">S91+7</f>
        <v>239</v>
      </c>
      <c r="T87" s="514"/>
      <c r="U87" s="462"/>
      <c r="V87" s="514">
        <f t="shared" ref="V87" si="443">V91+7</f>
        <v>240</v>
      </c>
      <c r="W87" s="514"/>
      <c r="X87" s="514"/>
      <c r="Y87" s="514">
        <f t="shared" ref="Y87" si="444">Y91+7</f>
        <v>241</v>
      </c>
      <c r="Z87" s="463"/>
      <c r="AA87" s="463"/>
      <c r="AB87" s="464"/>
      <c r="AC87" s="616" t="s">
        <v>34</v>
      </c>
      <c r="AD87" s="617">
        <f>COUNTIF(Check[סימון],("S."&amp;"*"&amp;$AC87&amp;"."&amp;AD$5&amp;"*"))</f>
        <v>0</v>
      </c>
      <c r="AE87" s="618">
        <f>COUNTIF(Check[סימון],("O."&amp;"*"&amp;$AC87&amp;"."&amp;AE$5&amp;"*"))</f>
        <v>1</v>
      </c>
      <c r="AF87" s="619">
        <f>COUNTIF(Check[סימון],("V."&amp;"*"&amp;$AC87&amp;"."&amp;AF$5&amp;"*"))</f>
        <v>0</v>
      </c>
      <c r="AG87" s="620">
        <f>SUM(AD87:AF87)</f>
        <v>1</v>
      </c>
      <c r="AH87" s="621">
        <f>SUM(AI87,AG87)</f>
        <v>2</v>
      </c>
      <c r="AI87" s="622">
        <f>SUM(AJ87:AL87)</f>
        <v>1</v>
      </c>
      <c r="AJ87" s="623">
        <f>COUNTIF(Check[סימון],("V."&amp;"*"&amp;$AC87&amp;"."&amp;AJ$5&amp;"*"))</f>
        <v>1</v>
      </c>
      <c r="AK87" s="618">
        <f>COUNTIF(Check[סימון],("O."&amp;"*"&amp;$AC87&amp;"."&amp;AK$5&amp;"*"))</f>
        <v>0</v>
      </c>
      <c r="AL87" s="624">
        <f>COUNTIF(Check[סימון],("S."&amp;"*"&amp;$AC87&amp;"."&amp;AL$5&amp;"*"))</f>
        <v>0</v>
      </c>
      <c r="AM87" s="625" t="s">
        <v>34</v>
      </c>
      <c r="AN87" s="626"/>
      <c r="AO87" s="519">
        <f t="shared" ref="AO87" si="445">AO91+7</f>
        <v>232</v>
      </c>
      <c r="AP87" s="520"/>
      <c r="AQ87" s="578">
        <f t="shared" ref="AQ87" si="446">AQ91+7</f>
        <v>233</v>
      </c>
      <c r="AR87" s="520"/>
      <c r="AS87" s="578">
        <f t="shared" ref="AS87" si="447">AS91+7</f>
        <v>234</v>
      </c>
      <c r="AT87" s="461"/>
      <c r="AU87" s="520"/>
      <c r="AV87" s="578">
        <f t="shared" ref="AV87" si="448">AV91+7</f>
        <v>235</v>
      </c>
      <c r="AW87" s="520"/>
      <c r="AX87" s="540">
        <f t="shared" ref="AX87:AY87" si="449">AX91+7</f>
        <v>229</v>
      </c>
      <c r="AY87" s="578">
        <f t="shared" si="449"/>
        <v>230</v>
      </c>
      <c r="AZ87" s="461"/>
      <c r="BA87" s="520"/>
      <c r="BB87" s="578">
        <f t="shared" ref="BB87" si="450">BB91+7</f>
        <v>231</v>
      </c>
      <c r="BC87" s="719"/>
      <c r="BD87" s="733"/>
      <c r="BE87" s="557"/>
      <c r="BF87" s="557"/>
      <c r="BG87" s="733"/>
      <c r="BH87" s="1080"/>
      <c r="BI87" s="1080"/>
      <c r="BJ87" s="1080"/>
      <c r="BK87" s="559"/>
      <c r="BL87" s="522" t="s">
        <v>0</v>
      </c>
      <c r="BM87" s="721" t="str">
        <f t="shared" ref="BM87" si="451">_xlfn.CONCAT("קומה ",BM88)</f>
        <v>קומה 30</v>
      </c>
      <c r="BN87" s="979"/>
      <c r="BO87" s="470"/>
      <c r="BP87" s="471" t="s">
        <v>0</v>
      </c>
    </row>
    <row r="88" spans="1:68" ht="25.5" hidden="1" x14ac:dyDescent="0.3">
      <c r="A88" s="957"/>
      <c r="B88" s="523">
        <f t="shared" ref="B88" si="452">B92+1</f>
        <v>30</v>
      </c>
      <c r="C88" s="512" t="s">
        <v>89</v>
      </c>
      <c r="D88" s="560"/>
      <c r="E88" s="1078"/>
      <c r="F88" s="1078"/>
      <c r="G88" s="1078"/>
      <c r="H88" s="535"/>
      <c r="I88" s="535"/>
      <c r="J88" s="535"/>
      <c r="K88" s="535"/>
      <c r="L88" s="475" t="str">
        <f>VLOOKUP("*"&amp;L$5&amp;".Ap."&amp;L87,Check2,1,FALSE)</f>
        <v>O.S.3F.TS.Ap.235</v>
      </c>
      <c r="M88" s="525" t="str">
        <f t="shared" ref="M88" si="453">L88</f>
        <v>O.S.3F.TS.Ap.235</v>
      </c>
      <c r="N88" s="525" t="str">
        <f>VLOOKUP("*"&amp;N$5&amp;".Ap."&amp;N87,Check2,1,FALSE)</f>
        <v>V.GMS.S.3G.TS.Ap.236</v>
      </c>
      <c r="O88" s="525" t="str">
        <f t="shared" ref="O88" si="454">N88</f>
        <v>V.GMS.S.3G.TS.Ap.236</v>
      </c>
      <c r="P88" s="525" t="str">
        <f>VLOOKUP("*"&amp;P$5&amp;".Ap."&amp;P87,Check2,1,FALSE)</f>
        <v>V.GMS.S.3A.TS.Ap.237</v>
      </c>
      <c r="Q88" s="525" t="str">
        <f>VLOOKUP("*"&amp;Q$5&amp;".Ap."&amp;Q87,Check2,1,FALSE)</f>
        <v>S.S.2D.TS.Ap.238</v>
      </c>
      <c r="R88" s="525" t="str">
        <f t="shared" ref="R88" si="455">Q88</f>
        <v>S.S.2D.TS.Ap.238</v>
      </c>
      <c r="S88" s="525" t="str">
        <f>VLOOKUP("*"&amp;S$5&amp;".Ap."&amp;S87,Check2,1,FALSE)</f>
        <v>O.S.4C.TS.Ap.239</v>
      </c>
      <c r="T88" s="525" t="str">
        <f t="shared" ref="T88:U88" si="456">S88</f>
        <v>O.S.4C.TS.Ap.239</v>
      </c>
      <c r="U88" s="477" t="str">
        <f t="shared" si="456"/>
        <v>O.S.4C.TS.Ap.239</v>
      </c>
      <c r="V88" s="525" t="str">
        <f>VLOOKUP("*"&amp;V$5&amp;".Ap."&amp;V87,Check2,1,FALSE)</f>
        <v>V.GM.S.5A.TS.Ap.240</v>
      </c>
      <c r="W88" s="525" t="str">
        <f t="shared" ref="W88" si="457">V88</f>
        <v>V.GM.S.5A.TS.Ap.240</v>
      </c>
      <c r="X88" s="525" t="str">
        <f t="shared" ref="X88" si="458">V88</f>
        <v>V.GM.S.5A.TS.Ap.240</v>
      </c>
      <c r="Y88" s="525" t="str">
        <f>VLOOKUP("*"&amp;Y$5&amp;".Ap."&amp;Y87,Check2,1,FALSE)</f>
        <v>V.GMC.S.5B.TS.Ap.241</v>
      </c>
      <c r="Z88" s="478" t="str">
        <f t="shared" ref="Z88" si="459">Y88</f>
        <v>V.GMC.S.5B.TS.Ap.241</v>
      </c>
      <c r="AA88" s="478" t="str">
        <f t="shared" ref="AA88" si="460">Y88</f>
        <v>V.GMC.S.5B.TS.Ap.241</v>
      </c>
      <c r="AB88" s="479"/>
      <c r="AC88" s="627"/>
      <c r="AD88" s="628"/>
      <c r="AE88" s="629"/>
      <c r="AF88" s="630"/>
      <c r="AG88" s="631"/>
      <c r="AH88" s="632"/>
      <c r="AI88" s="627"/>
      <c r="AJ88" s="633"/>
      <c r="AK88" s="629"/>
      <c r="AL88" s="634"/>
      <c r="AM88" s="635"/>
      <c r="AN88" s="636"/>
      <c r="AO88" s="532" t="str">
        <f>VLOOKUP("*"&amp;AO$5&amp;".Ap."&amp;AO87,Check2,1,FALSE)</f>
        <v>V.GMS.S.5B.TN.Ap.232</v>
      </c>
      <c r="AP88" s="477" t="str">
        <f t="shared" ref="AP88" si="461">AO88</f>
        <v>V.GMS.S.5B.TN.Ap.232</v>
      </c>
      <c r="AQ88" s="533" t="str">
        <f>VLOOKUP("*"&amp;AQ$5&amp;".Ap."&amp;AQ87,Check2,1,FALSE)</f>
        <v>O.S.5A.TN.Ap.233</v>
      </c>
      <c r="AR88" s="477" t="str">
        <f t="shared" ref="AR88" si="462">AQ88</f>
        <v>O.S.5A.TN.Ap.233</v>
      </c>
      <c r="AS88" s="533" t="str">
        <f>VLOOKUP("*"&amp;AS$5&amp;".Ap."&amp;AS87,Check2,1,FALSE)</f>
        <v>O.S.4C.TN.Ap.234</v>
      </c>
      <c r="AT88" s="476" t="str">
        <f t="shared" ref="AT88:AU88" si="463">AS88</f>
        <v>O.S.4C.TN.Ap.234</v>
      </c>
      <c r="AU88" s="477" t="str">
        <f t="shared" si="463"/>
        <v>O.S.4C.TN.Ap.234</v>
      </c>
      <c r="AV88" s="533" t="str">
        <f>VLOOKUP("*"&amp;AV$5&amp;".Ap."&amp;AV87,Check2,1,FALSE)</f>
        <v>S.S.2D.TN.Ap.235</v>
      </c>
      <c r="AW88" s="477" t="str">
        <f t="shared" ref="AW88" si="464">AV88</f>
        <v>S.S.2D.TN.Ap.235</v>
      </c>
      <c r="AX88" s="525" t="str">
        <f>VLOOKUP("*"&amp;AX$5&amp;".Ap."&amp;AX87,Check2,1,FALSE)</f>
        <v>S.S.3A.TN.Ap.229</v>
      </c>
      <c r="AY88" s="533" t="str">
        <f>VLOOKUP("*"&amp;AY$5&amp;".Ap."&amp;AY87,Check2,1,FALSE)</f>
        <v>S.S.3G.TN.Ap.230</v>
      </c>
      <c r="AZ88" s="476" t="str">
        <f t="shared" ref="AZ88:BA88" si="465">AY88</f>
        <v>S.S.3G.TN.Ap.230</v>
      </c>
      <c r="BA88" s="477" t="str">
        <f t="shared" si="465"/>
        <v>S.S.3G.TN.Ap.230</v>
      </c>
      <c r="BB88" s="533" t="str">
        <f>VLOOKUP("*"&amp;BB$5&amp;".Ap."&amp;BB87,Check2,1,FALSE)</f>
        <v>V.GMS.S.3F.TN.Ap.231</v>
      </c>
      <c r="BC88" s="722" t="str">
        <f t="shared" ref="BC88" si="466">BB88</f>
        <v>V.GMS.S.3F.TN.Ap.231</v>
      </c>
      <c r="BD88" s="744"/>
      <c r="BE88" s="535"/>
      <c r="BF88" s="535"/>
      <c r="BG88" s="744"/>
      <c r="BH88" s="1078"/>
      <c r="BI88" s="1078"/>
      <c r="BJ88" s="1078"/>
      <c r="BK88" s="561"/>
      <c r="BL88" s="522" t="s">
        <v>89</v>
      </c>
      <c r="BM88" s="723">
        <f t="shared" ref="BM88" si="467">BM92+1</f>
        <v>30</v>
      </c>
      <c r="BN88" s="979"/>
      <c r="BO88" s="484"/>
      <c r="BP88" s="485" t="s">
        <v>89</v>
      </c>
    </row>
    <row r="89" spans="1:68" ht="19.5" customHeight="1" x14ac:dyDescent="0.3">
      <c r="A89" s="957"/>
      <c r="B89" s="537"/>
      <c r="C89" s="538" t="s">
        <v>65</v>
      </c>
      <c r="D89" s="562"/>
      <c r="E89" s="1078"/>
      <c r="F89" s="1078"/>
      <c r="G89" s="1078"/>
      <c r="H89" s="563"/>
      <c r="I89" s="563"/>
      <c r="J89" s="563"/>
      <c r="K89" s="563"/>
      <c r="L89" s="488">
        <f>VLOOKUP(L88,Check2,5,FALSE)</f>
        <v>3001</v>
      </c>
      <c r="M89" s="539"/>
      <c r="N89" s="539">
        <f>VLOOKUP(N88,Check2,5,FALSE)</f>
        <v>3002</v>
      </c>
      <c r="O89" s="539"/>
      <c r="P89" s="724">
        <f>VLOOKUP(P88,Check2,5,FALSE)</f>
        <v>3003</v>
      </c>
      <c r="Q89" s="539">
        <f>VLOOKUP(Q88,Check2,5,FALSE)</f>
        <v>3004</v>
      </c>
      <c r="R89" s="539"/>
      <c r="S89" s="539">
        <f>VLOOKUP(S88,Check2,5,FALSE)</f>
        <v>3005</v>
      </c>
      <c r="T89" s="539"/>
      <c r="U89" s="490"/>
      <c r="V89" s="539">
        <f>VLOOKUP(V88,Check2,5,FALSE)</f>
        <v>3006</v>
      </c>
      <c r="W89" s="539"/>
      <c r="X89" s="539"/>
      <c r="Y89" s="539">
        <f>VLOOKUP(Y88,Check2,5,FALSE)</f>
        <v>3007</v>
      </c>
      <c r="Z89" s="491"/>
      <c r="AA89" s="491"/>
      <c r="AB89" s="449"/>
      <c r="AC89" s="1030" t="s">
        <v>35</v>
      </c>
      <c r="AD89" s="1032">
        <f>COUNTIF(Check[סימון],("S."&amp;"*"&amp;$AC89&amp;"."&amp;AD$5&amp;"*"))</f>
        <v>0</v>
      </c>
      <c r="AE89" s="1034">
        <f>COUNTIF(Check[סימון],("O."&amp;"*"&amp;$AC89&amp;"."&amp;AE$5&amp;"*"))</f>
        <v>1</v>
      </c>
      <c r="AF89" s="1054">
        <f>COUNTIF(Check[סימון],("V."&amp;"*"&amp;$AC89&amp;"."&amp;AF$5&amp;"*"))</f>
        <v>0</v>
      </c>
      <c r="AG89" s="1056">
        <f>SUM(AD89:AF89)</f>
        <v>1</v>
      </c>
      <c r="AH89" s="1040">
        <f>SUM(AI89,AG89)</f>
        <v>2</v>
      </c>
      <c r="AI89" s="1042">
        <f>SUM(AJ89:AL89)</f>
        <v>1</v>
      </c>
      <c r="AJ89" s="1058">
        <f>COUNTIF(Check[סימון],("V."&amp;"*"&amp;$AC89&amp;"."&amp;AJ$5&amp;"*"))</f>
        <v>1</v>
      </c>
      <c r="AK89" s="1034">
        <f>COUNTIF(Check[סימון],("O."&amp;"*"&amp;$AC89&amp;"."&amp;AK$5&amp;"*"))</f>
        <v>0</v>
      </c>
      <c r="AL89" s="1064">
        <f>COUNTIF(Check[סימון],("S."&amp;"*"&amp;$AC89&amp;"."&amp;AL$5&amp;"*"))</f>
        <v>0</v>
      </c>
      <c r="AM89" s="1066" t="s">
        <v>35</v>
      </c>
      <c r="AN89" s="637"/>
      <c r="AO89" s="542">
        <f>VLOOKUP(AO88,Check2,5,FALSE)</f>
        <v>3002</v>
      </c>
      <c r="AP89" s="543"/>
      <c r="AQ89" s="589">
        <f>VLOOKUP(AQ88,Check2,5,FALSE)</f>
        <v>3003</v>
      </c>
      <c r="AR89" s="543"/>
      <c r="AS89" s="589">
        <f>VLOOKUP(AS88,Check2,5,FALSE)</f>
        <v>3004</v>
      </c>
      <c r="AT89" s="590"/>
      <c r="AU89" s="584"/>
      <c r="AV89" s="589">
        <f>VLOOKUP(AV88,Check2,5,FALSE)</f>
        <v>3005</v>
      </c>
      <c r="AW89" s="543"/>
      <c r="AX89" s="724">
        <f>VLOOKUP(AX88,Check2,5,FALSE)</f>
        <v>3006</v>
      </c>
      <c r="AY89" s="589">
        <f>VLOOKUP(AY88,Check2,5,FALSE)</f>
        <v>3007</v>
      </c>
      <c r="AZ89" s="590"/>
      <c r="BA89" s="584"/>
      <c r="BB89" s="589">
        <f>VLOOKUP(BB88,Check2,5,FALSE)</f>
        <v>3001</v>
      </c>
      <c r="BC89" s="725"/>
      <c r="BD89" s="745"/>
      <c r="BE89" s="563"/>
      <c r="BF89" s="563"/>
      <c r="BG89" s="745"/>
      <c r="BH89" s="1078"/>
      <c r="BI89" s="1078"/>
      <c r="BJ89" s="1078"/>
      <c r="BK89" s="564"/>
      <c r="BL89" s="544" t="s">
        <v>65</v>
      </c>
      <c r="BM89" s="726"/>
      <c r="BN89" s="979"/>
      <c r="BO89" s="434"/>
      <c r="BP89" s="496" t="s">
        <v>1078</v>
      </c>
    </row>
    <row r="90" spans="1:68" ht="19.5" customHeight="1" thickBot="1" x14ac:dyDescent="0.45">
      <c r="A90" s="958"/>
      <c r="B90" s="545">
        <f t="shared" ref="B90" si="468">B94+3.48</f>
        <v>110.92000000000003</v>
      </c>
      <c r="C90" s="546" t="s">
        <v>1</v>
      </c>
      <c r="D90" s="567"/>
      <c r="E90" s="1079"/>
      <c r="F90" s="1079"/>
      <c r="G90" s="1079"/>
      <c r="H90" s="568"/>
      <c r="I90" s="568"/>
      <c r="J90" s="568"/>
      <c r="K90" s="568"/>
      <c r="L90" s="595" t="str">
        <f>VLOOKUP(L88,Check2,6,FALSE)</f>
        <v>3F</v>
      </c>
      <c r="M90" s="548"/>
      <c r="N90" s="548" t="str">
        <f>VLOOKUP(N88,Check2,6,FALSE)</f>
        <v>3G</v>
      </c>
      <c r="O90" s="548"/>
      <c r="P90" s="727" t="str">
        <f>VLOOKUP(P88,Check2,6,FALSE)</f>
        <v>3A</v>
      </c>
      <c r="Q90" s="548" t="str">
        <f>VLOOKUP(Q88,Check2,6,FALSE)</f>
        <v>2D</v>
      </c>
      <c r="R90" s="548"/>
      <c r="S90" s="548" t="str">
        <f>VLOOKUP(S88,Check2,6,FALSE)</f>
        <v>4C</v>
      </c>
      <c r="T90" s="548"/>
      <c r="U90" s="549"/>
      <c r="V90" s="548" t="str">
        <f>VLOOKUP(V88,Check2,6,FALSE)</f>
        <v>5A</v>
      </c>
      <c r="W90" s="548"/>
      <c r="X90" s="548"/>
      <c r="Y90" s="548" t="str">
        <f>VLOOKUP(Y88,Check2,6,FALSE)</f>
        <v>5B</v>
      </c>
      <c r="Z90" s="615"/>
      <c r="AA90" s="615"/>
      <c r="AB90" s="503"/>
      <c r="AC90" s="1031"/>
      <c r="AD90" s="1033"/>
      <c r="AE90" s="1035"/>
      <c r="AF90" s="1055"/>
      <c r="AG90" s="1057"/>
      <c r="AH90" s="1041"/>
      <c r="AI90" s="1043"/>
      <c r="AJ90" s="1059"/>
      <c r="AK90" s="1035"/>
      <c r="AL90" s="1065"/>
      <c r="AM90" s="1067"/>
      <c r="AN90" s="640"/>
      <c r="AO90" s="551" t="str">
        <f>VLOOKUP(AO88,Check2,6,FALSE)</f>
        <v>5B</v>
      </c>
      <c r="AP90" s="553"/>
      <c r="AQ90" s="603" t="str">
        <f>VLOOKUP(AQ88,Check2,6,FALSE)</f>
        <v>5A</v>
      </c>
      <c r="AR90" s="553"/>
      <c r="AS90" s="603" t="str">
        <f>VLOOKUP(AS88,Check2,6,FALSE)</f>
        <v>4C</v>
      </c>
      <c r="AT90" s="604"/>
      <c r="AU90" s="597"/>
      <c r="AV90" s="603" t="str">
        <f>VLOOKUP(AV88,Check2,6,FALSE)</f>
        <v>2D</v>
      </c>
      <c r="AW90" s="553"/>
      <c r="AX90" s="727" t="str">
        <f>VLOOKUP(AX88,Check2,6,FALSE)</f>
        <v>3A</v>
      </c>
      <c r="AY90" s="603" t="str">
        <f>VLOOKUP(AY88,Check2,6,FALSE)</f>
        <v>3G</v>
      </c>
      <c r="AZ90" s="604"/>
      <c r="BA90" s="597"/>
      <c r="BB90" s="603" t="str">
        <f>VLOOKUP(BB88,Check2,6,FALSE)</f>
        <v>3F</v>
      </c>
      <c r="BC90" s="728"/>
      <c r="BD90" s="746"/>
      <c r="BE90" s="568"/>
      <c r="BF90" s="568"/>
      <c r="BG90" s="746"/>
      <c r="BH90" s="1079"/>
      <c r="BI90" s="1079"/>
      <c r="BJ90" s="1079"/>
      <c r="BK90" s="572"/>
      <c r="BL90" s="555" t="s">
        <v>1</v>
      </c>
      <c r="BM90" s="729">
        <f t="shared" ref="BM90" si="469">BM94+3.48</f>
        <v>110.92000000000003</v>
      </c>
      <c r="BN90" s="980"/>
      <c r="BO90" s="509"/>
      <c r="BP90" s="510" t="s">
        <v>1</v>
      </c>
    </row>
    <row r="91" spans="1:68" ht="23.25" customHeight="1" thickBot="1" x14ac:dyDescent="0.5">
      <c r="A91" s="957"/>
      <c r="B91" s="511" t="str">
        <f t="shared" ref="B91" si="470">_xlfn.CONCAT("קומה ",B92)</f>
        <v>קומה 29</v>
      </c>
      <c r="C91" s="512" t="s">
        <v>0</v>
      </c>
      <c r="D91" s="556"/>
      <c r="E91" s="1080"/>
      <c r="F91" s="1080"/>
      <c r="G91" s="1080"/>
      <c r="H91" s="557"/>
      <c r="I91" s="557"/>
      <c r="J91" s="557"/>
      <c r="K91" s="557"/>
      <c r="L91" s="460">
        <f t="shared" ref="L91" si="471">L95+7</f>
        <v>228</v>
      </c>
      <c r="M91" s="514"/>
      <c r="N91" s="514">
        <f t="shared" ref="N91" si="472">N95+7</f>
        <v>229</v>
      </c>
      <c r="O91" s="514"/>
      <c r="P91" s="540">
        <f t="shared" ref="P91:Q91" si="473">P95+7</f>
        <v>230</v>
      </c>
      <c r="Q91" s="514">
        <f t="shared" si="473"/>
        <v>231</v>
      </c>
      <c r="R91" s="514"/>
      <c r="S91" s="514">
        <f t="shared" ref="S91" si="474">S95+7</f>
        <v>232</v>
      </c>
      <c r="T91" s="514"/>
      <c r="U91" s="462"/>
      <c r="V91" s="514">
        <f t="shared" ref="V91" si="475">V95+7</f>
        <v>233</v>
      </c>
      <c r="W91" s="514"/>
      <c r="X91" s="514"/>
      <c r="Y91" s="514">
        <f t="shared" ref="Y91" si="476">Y95+7</f>
        <v>234</v>
      </c>
      <c r="Z91" s="463"/>
      <c r="AA91" s="463"/>
      <c r="AB91" s="464"/>
      <c r="AC91" s="616" t="s">
        <v>5</v>
      </c>
      <c r="AD91" s="617">
        <f>COUNTIF(Check[סימון],("S."&amp;"*"&amp;$AC91&amp;"."&amp;AD$5&amp;"*"))</f>
        <v>0</v>
      </c>
      <c r="AE91" s="618">
        <f>COUNTIF(Check[סימון],("O."&amp;"*"&amp;$AC91&amp;"."&amp;AE$5&amp;"*"))</f>
        <v>1</v>
      </c>
      <c r="AF91" s="619">
        <f>COUNTIF(Check[סימון],("V."&amp;"*"&amp;$AC91&amp;"."&amp;AF$5&amp;"*"))</f>
        <v>0</v>
      </c>
      <c r="AG91" s="620">
        <f>SUM(AD91:AF91)</f>
        <v>1</v>
      </c>
      <c r="AH91" s="621">
        <f>SUM(AI91,AG91)</f>
        <v>2</v>
      </c>
      <c r="AI91" s="622">
        <f>SUM(AJ91:AL91)</f>
        <v>1</v>
      </c>
      <c r="AJ91" s="623">
        <f>COUNTIF(Check[סימון],("V."&amp;"*"&amp;$AC91&amp;"."&amp;AJ$5&amp;"*"))</f>
        <v>0</v>
      </c>
      <c r="AK91" s="618">
        <f>COUNTIF(Check[סימון],("O."&amp;"*"&amp;$AC91&amp;"."&amp;AK$5&amp;"*"))</f>
        <v>0</v>
      </c>
      <c r="AL91" s="624">
        <f>COUNTIF(Check[סימון],("S."&amp;"*"&amp;$AC91&amp;"."&amp;AL$5&amp;"*"))</f>
        <v>1</v>
      </c>
      <c r="AM91" s="625" t="s">
        <v>5</v>
      </c>
      <c r="AN91" s="626"/>
      <c r="AO91" s="519">
        <f t="shared" ref="AO91" si="477">AO95+7</f>
        <v>225</v>
      </c>
      <c r="AP91" s="520"/>
      <c r="AQ91" s="578">
        <f t="shared" ref="AQ91" si="478">AQ95+7</f>
        <v>226</v>
      </c>
      <c r="AR91" s="520"/>
      <c r="AS91" s="578">
        <f t="shared" ref="AS91" si="479">AS95+7</f>
        <v>227</v>
      </c>
      <c r="AT91" s="461"/>
      <c r="AU91" s="520"/>
      <c r="AV91" s="578">
        <f t="shared" ref="AV91" si="480">AV95+7</f>
        <v>228</v>
      </c>
      <c r="AW91" s="520"/>
      <c r="AX91" s="540">
        <f t="shared" ref="AX91:AY91" si="481">AX95+7</f>
        <v>222</v>
      </c>
      <c r="AY91" s="578">
        <f t="shared" si="481"/>
        <v>223</v>
      </c>
      <c r="AZ91" s="461"/>
      <c r="BA91" s="520"/>
      <c r="BB91" s="578">
        <f t="shared" ref="BB91" si="482">BB95+7</f>
        <v>224</v>
      </c>
      <c r="BC91" s="719"/>
      <c r="BD91" s="733"/>
      <c r="BE91" s="557"/>
      <c r="BF91" s="557"/>
      <c r="BG91" s="733"/>
      <c r="BH91" s="1080"/>
      <c r="BI91" s="1080"/>
      <c r="BJ91" s="1080"/>
      <c r="BK91" s="559"/>
      <c r="BL91" s="522" t="s">
        <v>0</v>
      </c>
      <c r="BM91" s="721" t="str">
        <f t="shared" ref="BM91" si="483">_xlfn.CONCAT("קומה ",BM92)</f>
        <v>קומה 29</v>
      </c>
      <c r="BN91" s="979"/>
      <c r="BO91" s="470"/>
      <c r="BP91" s="471" t="s">
        <v>0</v>
      </c>
    </row>
    <row r="92" spans="1:68" ht="26.25" hidden="1" thickBot="1" x14ac:dyDescent="0.35">
      <c r="A92" s="957"/>
      <c r="B92" s="523">
        <f t="shared" ref="B92" si="484">B96+1</f>
        <v>29</v>
      </c>
      <c r="C92" s="512" t="s">
        <v>89</v>
      </c>
      <c r="D92" s="560"/>
      <c r="E92" s="1078"/>
      <c r="F92" s="1078"/>
      <c r="G92" s="1078"/>
      <c r="H92" s="535"/>
      <c r="I92" s="535"/>
      <c r="J92" s="535"/>
      <c r="K92" s="535"/>
      <c r="L92" s="475" t="str">
        <f>VLOOKUP("*"&amp;L$5&amp;".Ap."&amp;L91,Check2,1,FALSE)</f>
        <v>S.S.3F.TS.Ap.228</v>
      </c>
      <c r="M92" s="525" t="str">
        <f t="shared" ref="M92" si="485">L92</f>
        <v>S.S.3F.TS.Ap.228</v>
      </c>
      <c r="N92" s="525" t="str">
        <f>VLOOKUP("*"&amp;N$5&amp;".Ap."&amp;N91,Check2,1,FALSE)</f>
        <v>V.GMS.S.3G.TS.Ap.229</v>
      </c>
      <c r="O92" s="525" t="str">
        <f t="shared" ref="O92" si="486">N92</f>
        <v>V.GMS.S.3G.TS.Ap.229</v>
      </c>
      <c r="P92" s="525" t="str">
        <f>VLOOKUP("*"&amp;P$5&amp;".Ap."&amp;P91,Check2,1,FALSE)</f>
        <v>V.GMC.S.3A.TS.Ap.230</v>
      </c>
      <c r="Q92" s="525" t="str">
        <f>VLOOKUP("*"&amp;Q$5&amp;".Ap."&amp;Q91,Check2,1,FALSE)</f>
        <v>S.S.2D.TS.Ap.231</v>
      </c>
      <c r="R92" s="525" t="str">
        <f t="shared" ref="R92" si="487">Q92</f>
        <v>S.S.2D.TS.Ap.231</v>
      </c>
      <c r="S92" s="525" t="str">
        <f>VLOOKUP("*"&amp;S$5&amp;".Ap."&amp;S91,Check2,1,FALSE)</f>
        <v>O.S.4C.TS.Ap.232</v>
      </c>
      <c r="T92" s="525" t="str">
        <f t="shared" ref="T92:U92" si="488">S92</f>
        <v>O.S.4C.TS.Ap.232</v>
      </c>
      <c r="U92" s="477" t="str">
        <f t="shared" si="488"/>
        <v>O.S.4C.TS.Ap.232</v>
      </c>
      <c r="V92" s="525" t="str">
        <f>VLOOKUP("*"&amp;V$5&amp;".Ap."&amp;V91,Check2,1,FALSE)</f>
        <v>O.S.5A.TS.Ap.233</v>
      </c>
      <c r="W92" s="525" t="str">
        <f t="shared" ref="W92" si="489">V92</f>
        <v>O.S.5A.TS.Ap.233</v>
      </c>
      <c r="X92" s="525" t="str">
        <f t="shared" ref="X92" si="490">V92</f>
        <v>O.S.5A.TS.Ap.233</v>
      </c>
      <c r="Y92" s="525" t="str">
        <f>VLOOKUP("*"&amp;Y$5&amp;".Ap."&amp;Y91,Check2,1,FALSE)</f>
        <v>V.GMC.S.5B.TS.Ap.234</v>
      </c>
      <c r="Z92" s="478" t="str">
        <f t="shared" ref="Z92" si="491">Y92</f>
        <v>V.GMC.S.5B.TS.Ap.234</v>
      </c>
      <c r="AA92" s="478" t="str">
        <f t="shared" ref="AA92" si="492">Y92</f>
        <v>V.GMC.S.5B.TS.Ap.234</v>
      </c>
      <c r="AB92" s="479"/>
      <c r="AC92" s="627"/>
      <c r="AD92" s="628"/>
      <c r="AE92" s="629"/>
      <c r="AF92" s="630"/>
      <c r="AG92" s="631"/>
      <c r="AH92" s="632"/>
      <c r="AI92" s="627"/>
      <c r="AJ92" s="633"/>
      <c r="AK92" s="629"/>
      <c r="AL92" s="634"/>
      <c r="AM92" s="635"/>
      <c r="AN92" s="636"/>
      <c r="AO92" s="532" t="str">
        <f>VLOOKUP("*"&amp;AO$5&amp;".Ap."&amp;AO91,Check2,1,FALSE)</f>
        <v>V.GMC.S.5B.TN.Ap.225</v>
      </c>
      <c r="AP92" s="477" t="str">
        <f t="shared" ref="AP92" si="493">AO92</f>
        <v>V.GMC.S.5B.TN.Ap.225</v>
      </c>
      <c r="AQ92" s="533" t="str">
        <f>VLOOKUP("*"&amp;AQ$5&amp;".Ap."&amp;AQ91,Check2,1,FALSE)</f>
        <v>S.S.5A.TN.Ap.226</v>
      </c>
      <c r="AR92" s="477" t="str">
        <f t="shared" ref="AR92" si="494">AQ92</f>
        <v>S.S.5A.TN.Ap.226</v>
      </c>
      <c r="AS92" s="533" t="str">
        <f>VLOOKUP("*"&amp;AS$5&amp;".Ap."&amp;AS91,Check2,1,FALSE)</f>
        <v>S.S.4C.TN.Ap.227</v>
      </c>
      <c r="AT92" s="476" t="str">
        <f t="shared" ref="AT92:AU92" si="495">AS92</f>
        <v>S.S.4C.TN.Ap.227</v>
      </c>
      <c r="AU92" s="477" t="str">
        <f t="shared" si="495"/>
        <v>S.S.4C.TN.Ap.227</v>
      </c>
      <c r="AV92" s="533" t="str">
        <f>VLOOKUP("*"&amp;AV$5&amp;".Ap."&amp;AV91,Check2,1,FALSE)</f>
        <v>S.S.2D.TN.Ap.228</v>
      </c>
      <c r="AW92" s="477" t="str">
        <f t="shared" ref="AW92" si="496">AV92</f>
        <v>S.S.2D.TN.Ap.228</v>
      </c>
      <c r="AX92" s="525" t="str">
        <f>VLOOKUP("*"&amp;AX$5&amp;".Ap."&amp;AX91,Check2,1,FALSE)</f>
        <v>V.GMS.S.3A.TN.Ap.222</v>
      </c>
      <c r="AY92" s="533" t="str">
        <f>VLOOKUP("*"&amp;AY$5&amp;".Ap."&amp;AY91,Check2,1,FALSE)</f>
        <v>V.GMS.S.3G.TN.Ap.223</v>
      </c>
      <c r="AZ92" s="476" t="str">
        <f t="shared" ref="AZ92:BA92" si="497">AY92</f>
        <v>V.GMS.S.3G.TN.Ap.223</v>
      </c>
      <c r="BA92" s="477" t="str">
        <f t="shared" si="497"/>
        <v>V.GMS.S.3G.TN.Ap.223</v>
      </c>
      <c r="BB92" s="533" t="str">
        <f>VLOOKUP("*"&amp;BB$5&amp;".Ap."&amp;BB91,Check2,1,FALSE)</f>
        <v>V.GMS.S.3F.TN.Ap.224</v>
      </c>
      <c r="BC92" s="722" t="str">
        <f t="shared" ref="BC92" si="498">BB92</f>
        <v>V.GMS.S.3F.TN.Ap.224</v>
      </c>
      <c r="BD92" s="744"/>
      <c r="BE92" s="535"/>
      <c r="BF92" s="535"/>
      <c r="BG92" s="744"/>
      <c r="BH92" s="1078"/>
      <c r="BI92" s="1078"/>
      <c r="BJ92" s="1078"/>
      <c r="BK92" s="561"/>
      <c r="BL92" s="522" t="s">
        <v>89</v>
      </c>
      <c r="BM92" s="723">
        <f t="shared" ref="BM92" si="499">BM96+1</f>
        <v>29</v>
      </c>
      <c r="BN92" s="979"/>
      <c r="BO92" s="484"/>
      <c r="BP92" s="485" t="s">
        <v>89</v>
      </c>
    </row>
    <row r="93" spans="1:68" ht="18.75" customHeight="1" thickTop="1" x14ac:dyDescent="0.3">
      <c r="A93" s="957"/>
      <c r="B93" s="537"/>
      <c r="C93" s="538" t="s">
        <v>65</v>
      </c>
      <c r="D93" s="562"/>
      <c r="E93" s="1078"/>
      <c r="F93" s="1078"/>
      <c r="G93" s="1078"/>
      <c r="H93" s="563"/>
      <c r="I93" s="563"/>
      <c r="J93" s="563"/>
      <c r="K93" s="563"/>
      <c r="L93" s="488">
        <f>VLOOKUP(L92,Check2,5,FALSE)</f>
        <v>2901</v>
      </c>
      <c r="M93" s="539"/>
      <c r="N93" s="539">
        <f>VLOOKUP(N92,Check2,5,FALSE)</f>
        <v>2902</v>
      </c>
      <c r="O93" s="539"/>
      <c r="P93" s="724">
        <f>VLOOKUP(P92,Check2,5,FALSE)</f>
        <v>2903</v>
      </c>
      <c r="Q93" s="539">
        <f>VLOOKUP(Q92,Check2,5,FALSE)</f>
        <v>2904</v>
      </c>
      <c r="R93" s="539"/>
      <c r="S93" s="539">
        <f>VLOOKUP(S92,Check2,5,FALSE)</f>
        <v>2905</v>
      </c>
      <c r="T93" s="539"/>
      <c r="U93" s="490"/>
      <c r="V93" s="539">
        <f>VLOOKUP(V92,Check2,5,FALSE)</f>
        <v>2906</v>
      </c>
      <c r="W93" s="539"/>
      <c r="X93" s="539"/>
      <c r="Y93" s="539">
        <f>VLOOKUP(Y92,Check2,5,FALSE)</f>
        <v>2907</v>
      </c>
      <c r="Z93" s="491"/>
      <c r="AA93" s="491"/>
      <c r="AB93" s="449"/>
      <c r="AC93" s="1084" t="s">
        <v>64</v>
      </c>
      <c r="AD93" s="1086">
        <f t="shared" ref="AD93:AL93" si="500">SUM(AD25:AD91)</f>
        <v>147</v>
      </c>
      <c r="AE93" s="1088">
        <f t="shared" si="500"/>
        <v>104</v>
      </c>
      <c r="AF93" s="1090">
        <f t="shared" si="500"/>
        <v>86</v>
      </c>
      <c r="AG93" s="1092">
        <f t="shared" si="500"/>
        <v>337</v>
      </c>
      <c r="AH93" s="1433">
        <f t="shared" si="500"/>
        <v>668</v>
      </c>
      <c r="AI93" s="1435">
        <f t="shared" si="500"/>
        <v>331</v>
      </c>
      <c r="AJ93" s="1437">
        <f t="shared" si="500"/>
        <v>50</v>
      </c>
      <c r="AK93" s="1088">
        <f t="shared" si="500"/>
        <v>55</v>
      </c>
      <c r="AL93" s="1439">
        <f t="shared" si="500"/>
        <v>226</v>
      </c>
      <c r="AM93" s="1441" t="s">
        <v>64</v>
      </c>
      <c r="AN93" s="637"/>
      <c r="AO93" s="542">
        <f>VLOOKUP(AO92,Check2,5,FALSE)</f>
        <v>2902</v>
      </c>
      <c r="AP93" s="543"/>
      <c r="AQ93" s="589">
        <f>VLOOKUP(AQ92,Check2,5,FALSE)</f>
        <v>2903</v>
      </c>
      <c r="AR93" s="543"/>
      <c r="AS93" s="589">
        <f>VLOOKUP(AS92,Check2,5,FALSE)</f>
        <v>2904</v>
      </c>
      <c r="AT93" s="590"/>
      <c r="AU93" s="584"/>
      <c r="AV93" s="589">
        <f>VLOOKUP(AV92,Check2,5,FALSE)</f>
        <v>2905</v>
      </c>
      <c r="AW93" s="543"/>
      <c r="AX93" s="724">
        <f>VLOOKUP(AX92,Check2,5,FALSE)</f>
        <v>2906</v>
      </c>
      <c r="AY93" s="589">
        <f>VLOOKUP(AY92,Check2,5,FALSE)</f>
        <v>2907</v>
      </c>
      <c r="AZ93" s="590"/>
      <c r="BA93" s="584"/>
      <c r="BB93" s="589">
        <f>VLOOKUP(BB92,Check2,5,FALSE)</f>
        <v>2901</v>
      </c>
      <c r="BC93" s="725"/>
      <c r="BD93" s="745"/>
      <c r="BE93" s="563"/>
      <c r="BF93" s="563"/>
      <c r="BG93" s="745"/>
      <c r="BH93" s="1078"/>
      <c r="BI93" s="1078"/>
      <c r="BJ93" s="1078"/>
      <c r="BK93" s="564"/>
      <c r="BL93" s="544" t="s">
        <v>65</v>
      </c>
      <c r="BM93" s="726"/>
      <c r="BN93" s="979"/>
      <c r="BO93" s="434"/>
      <c r="BP93" s="496" t="s">
        <v>1078</v>
      </c>
    </row>
    <row r="94" spans="1:68" ht="19.5" customHeight="1" thickBot="1" x14ac:dyDescent="0.45">
      <c r="A94" s="958"/>
      <c r="B94" s="545">
        <f t="shared" ref="B94" si="501">B98+3.48</f>
        <v>107.44000000000003</v>
      </c>
      <c r="C94" s="546" t="s">
        <v>1</v>
      </c>
      <c r="D94" s="567"/>
      <c r="E94" s="1079"/>
      <c r="F94" s="1079"/>
      <c r="G94" s="1079"/>
      <c r="H94" s="568"/>
      <c r="I94" s="568"/>
      <c r="J94" s="568"/>
      <c r="K94" s="568"/>
      <c r="L94" s="595" t="str">
        <f>VLOOKUP(L92,Check2,6,FALSE)</f>
        <v>3F</v>
      </c>
      <c r="M94" s="548"/>
      <c r="N94" s="548" t="str">
        <f>VLOOKUP(N92,Check2,6,FALSE)</f>
        <v>3G</v>
      </c>
      <c r="O94" s="548"/>
      <c r="P94" s="727" t="str">
        <f>VLOOKUP(P92,Check2,6,FALSE)</f>
        <v>3A</v>
      </c>
      <c r="Q94" s="548" t="str">
        <f>VLOOKUP(Q92,Check2,6,FALSE)</f>
        <v>2D</v>
      </c>
      <c r="R94" s="548"/>
      <c r="S94" s="548" t="str">
        <f>VLOOKUP(S92,Check2,6,FALSE)</f>
        <v>4C</v>
      </c>
      <c r="T94" s="548"/>
      <c r="U94" s="549"/>
      <c r="V94" s="548" t="str">
        <f>VLOOKUP(V92,Check2,6,FALSE)</f>
        <v>5A</v>
      </c>
      <c r="W94" s="548"/>
      <c r="X94" s="548"/>
      <c r="Y94" s="548" t="str">
        <f>VLOOKUP(Y92,Check2,6,FALSE)</f>
        <v>5B</v>
      </c>
      <c r="Z94" s="615"/>
      <c r="AA94" s="615"/>
      <c r="AB94" s="503"/>
      <c r="AC94" s="1085"/>
      <c r="AD94" s="1087"/>
      <c r="AE94" s="1089"/>
      <c r="AF94" s="1091"/>
      <c r="AG94" s="1093"/>
      <c r="AH94" s="1434"/>
      <c r="AI94" s="1436"/>
      <c r="AJ94" s="1438"/>
      <c r="AK94" s="1089"/>
      <c r="AL94" s="1440"/>
      <c r="AM94" s="1442"/>
      <c r="AN94" s="640"/>
      <c r="AO94" s="551" t="str">
        <f>VLOOKUP(AO92,Check2,6,FALSE)</f>
        <v>5B</v>
      </c>
      <c r="AP94" s="553"/>
      <c r="AQ94" s="603" t="str">
        <f>VLOOKUP(AQ92,Check2,6,FALSE)</f>
        <v>5A</v>
      </c>
      <c r="AR94" s="553"/>
      <c r="AS94" s="603" t="str">
        <f>VLOOKUP(AS92,Check2,6,FALSE)</f>
        <v>4C</v>
      </c>
      <c r="AT94" s="604"/>
      <c r="AU94" s="597"/>
      <c r="AV94" s="603" t="str">
        <f>VLOOKUP(AV92,Check2,6,FALSE)</f>
        <v>2D</v>
      </c>
      <c r="AW94" s="553"/>
      <c r="AX94" s="727" t="str">
        <f>VLOOKUP(AX92,Check2,6,FALSE)</f>
        <v>3A</v>
      </c>
      <c r="AY94" s="603" t="str">
        <f>VLOOKUP(AY92,Check2,6,FALSE)</f>
        <v>3G</v>
      </c>
      <c r="AZ94" s="604"/>
      <c r="BA94" s="597"/>
      <c r="BB94" s="603" t="str">
        <f>VLOOKUP(BB92,Check2,6,FALSE)</f>
        <v>3F</v>
      </c>
      <c r="BC94" s="728"/>
      <c r="BD94" s="746"/>
      <c r="BE94" s="568"/>
      <c r="BF94" s="568"/>
      <c r="BG94" s="746"/>
      <c r="BH94" s="1079"/>
      <c r="BI94" s="1079"/>
      <c r="BJ94" s="1079"/>
      <c r="BK94" s="572"/>
      <c r="BL94" s="555" t="s">
        <v>1</v>
      </c>
      <c r="BM94" s="729">
        <f t="shared" ref="BM94" si="502">BM98+3.48</f>
        <v>107.44000000000003</v>
      </c>
      <c r="BN94" s="980"/>
      <c r="BO94" s="509"/>
      <c r="BP94" s="510" t="s">
        <v>1</v>
      </c>
    </row>
    <row r="95" spans="1:68" ht="25.5" x14ac:dyDescent="0.45">
      <c r="A95" s="957"/>
      <c r="B95" s="511" t="str">
        <f t="shared" ref="B95" si="503">_xlfn.CONCAT("קומה ",B96)</f>
        <v>קומה 28</v>
      </c>
      <c r="C95" s="512" t="s">
        <v>0</v>
      </c>
      <c r="D95" s="556"/>
      <c r="E95" s="1081" t="s">
        <v>1076</v>
      </c>
      <c r="F95" s="1081" t="s">
        <v>1076</v>
      </c>
      <c r="G95" s="1081" t="s">
        <v>1076</v>
      </c>
      <c r="H95" s="557"/>
      <c r="I95" s="557"/>
      <c r="J95" s="557"/>
      <c r="K95" s="557"/>
      <c r="L95" s="460">
        <f t="shared" ref="L95" si="504">L99+7</f>
        <v>221</v>
      </c>
      <c r="M95" s="514"/>
      <c r="N95" s="514">
        <f t="shared" ref="N95" si="505">N99+7</f>
        <v>222</v>
      </c>
      <c r="O95" s="514"/>
      <c r="P95" s="540">
        <f t="shared" ref="P95:Q95" si="506">P99+7</f>
        <v>223</v>
      </c>
      <c r="Q95" s="514">
        <f t="shared" si="506"/>
        <v>224</v>
      </c>
      <c r="R95" s="514"/>
      <c r="S95" s="514">
        <f t="shared" ref="S95" si="507">S99+7</f>
        <v>225</v>
      </c>
      <c r="T95" s="514"/>
      <c r="U95" s="462"/>
      <c r="V95" s="514">
        <f t="shared" ref="V95" si="508">V99+7</f>
        <v>226</v>
      </c>
      <c r="W95" s="514"/>
      <c r="X95" s="514"/>
      <c r="Y95" s="514">
        <f t="shared" ref="Y95" si="509">Y99+7</f>
        <v>227</v>
      </c>
      <c r="Z95" s="463"/>
      <c r="AA95" s="463"/>
      <c r="AB95" s="464"/>
      <c r="AN95" s="626"/>
      <c r="AO95" s="519">
        <f t="shared" ref="AO95" si="510">AO99+7</f>
        <v>218</v>
      </c>
      <c r="AP95" s="520"/>
      <c r="AQ95" s="578">
        <f t="shared" ref="AQ95" si="511">AQ99+7</f>
        <v>219</v>
      </c>
      <c r="AR95" s="520"/>
      <c r="AS95" s="578">
        <f t="shared" ref="AS95" si="512">AS99+7</f>
        <v>220</v>
      </c>
      <c r="AT95" s="461"/>
      <c r="AU95" s="520"/>
      <c r="AV95" s="578">
        <f t="shared" ref="AV95" si="513">AV99+7</f>
        <v>221</v>
      </c>
      <c r="AW95" s="520"/>
      <c r="AX95" s="540">
        <f t="shared" ref="AX95:AY95" si="514">AX99+7</f>
        <v>215</v>
      </c>
      <c r="AY95" s="578">
        <f t="shared" si="514"/>
        <v>216</v>
      </c>
      <c r="AZ95" s="461"/>
      <c r="BA95" s="520"/>
      <c r="BB95" s="578">
        <f t="shared" ref="BB95" si="515">BB99+7</f>
        <v>217</v>
      </c>
      <c r="BC95" s="719"/>
      <c r="BD95" s="733"/>
      <c r="BE95" s="557"/>
      <c r="BF95" s="557"/>
      <c r="BG95" s="733"/>
      <c r="BH95" s="1081" t="s">
        <v>1076</v>
      </c>
      <c r="BI95" s="1081" t="s">
        <v>1076</v>
      </c>
      <c r="BJ95" s="1081" t="s">
        <v>1076</v>
      </c>
      <c r="BK95" s="559"/>
      <c r="BL95" s="522" t="s">
        <v>0</v>
      </c>
      <c r="BM95" s="721" t="str">
        <f t="shared" ref="BM95" si="516">_xlfn.CONCAT("קומה ",BM96)</f>
        <v>קומה 28</v>
      </c>
      <c r="BN95" s="979"/>
      <c r="BO95" s="470"/>
      <c r="BP95" s="471" t="s">
        <v>0</v>
      </c>
    </row>
    <row r="96" spans="1:68" ht="21.75" hidden="1" x14ac:dyDescent="0.3">
      <c r="A96" s="957"/>
      <c r="B96" s="523">
        <f t="shared" ref="B96" si="517">B100+1</f>
        <v>28</v>
      </c>
      <c r="C96" s="512" t="s">
        <v>89</v>
      </c>
      <c r="D96" s="560"/>
      <c r="E96" s="1082"/>
      <c r="F96" s="1082"/>
      <c r="G96" s="1082"/>
      <c r="H96" s="535"/>
      <c r="I96" s="535"/>
      <c r="J96" s="535"/>
      <c r="K96" s="535"/>
      <c r="L96" s="475" t="str">
        <f>VLOOKUP("*"&amp;L$5&amp;".Ap."&amp;L95,Check2,1,FALSE)</f>
        <v>S.S.3F.TS.Ap.221</v>
      </c>
      <c r="M96" s="525" t="str">
        <f t="shared" ref="M96" si="518">L96</f>
        <v>S.S.3F.TS.Ap.221</v>
      </c>
      <c r="N96" s="525" t="str">
        <f>VLOOKUP("*"&amp;N$5&amp;".Ap."&amp;N95,Check2,1,FALSE)</f>
        <v>V.GMS.S.3G.TS.Ap.222</v>
      </c>
      <c r="O96" s="525" t="str">
        <f t="shared" ref="O96" si="519">N96</f>
        <v>V.GMS.S.3G.TS.Ap.222</v>
      </c>
      <c r="P96" s="525" t="str">
        <f>VLOOKUP("*"&amp;P$5&amp;".Ap."&amp;P95,Check2,1,FALSE)</f>
        <v>V.GMS.S.3A.TS.Ap.223</v>
      </c>
      <c r="Q96" s="525" t="str">
        <f>VLOOKUP("*"&amp;Q$5&amp;".Ap."&amp;Q95,Check2,1,FALSE)</f>
        <v>S.S.2D.TS.Ap.224</v>
      </c>
      <c r="R96" s="525" t="str">
        <f t="shared" ref="R96" si="520">Q96</f>
        <v>S.S.2D.TS.Ap.224</v>
      </c>
      <c r="S96" s="525" t="str">
        <f>VLOOKUP("*"&amp;S$5&amp;".Ap."&amp;S95,Check2,1,FALSE)</f>
        <v>O.S.4C.TS.Ap.225</v>
      </c>
      <c r="T96" s="525" t="str">
        <f t="shared" ref="T96:U96" si="521">S96</f>
        <v>O.S.4C.TS.Ap.225</v>
      </c>
      <c r="U96" s="477" t="str">
        <f t="shared" si="521"/>
        <v>O.S.4C.TS.Ap.225</v>
      </c>
      <c r="V96" s="525" t="str">
        <f>VLOOKUP("*"&amp;V$5&amp;".Ap."&amp;V95,Check2,1,FALSE)</f>
        <v>O.S.5A.TS.Ap.226</v>
      </c>
      <c r="W96" s="525" t="str">
        <f t="shared" ref="W96" si="522">V96</f>
        <v>O.S.5A.TS.Ap.226</v>
      </c>
      <c r="X96" s="525" t="str">
        <f t="shared" ref="X96" si="523">V96</f>
        <v>O.S.5A.TS.Ap.226</v>
      </c>
      <c r="Y96" s="525" t="str">
        <f>VLOOKUP("*"&amp;Y$5&amp;".Ap."&amp;Y95,Check2,1,FALSE)</f>
        <v>V.GMC.S.5B.TS.Ap.227</v>
      </c>
      <c r="Z96" s="478" t="str">
        <f t="shared" ref="Z96" si="524">Y96</f>
        <v>V.GMC.S.5B.TS.Ap.227</v>
      </c>
      <c r="AA96" s="478" t="str">
        <f t="shared" ref="AA96" si="525">Y96</f>
        <v>V.GMC.S.5B.TS.Ap.227</v>
      </c>
      <c r="AB96" s="479"/>
      <c r="AC96" s="479"/>
      <c r="AD96" s="479"/>
      <c r="AE96" s="479"/>
      <c r="AF96" s="479"/>
      <c r="AG96" s="479"/>
      <c r="AH96" s="479"/>
      <c r="AI96" s="479"/>
      <c r="AJ96" s="479"/>
      <c r="AK96" s="479"/>
      <c r="AL96" s="479"/>
      <c r="AM96" s="479"/>
      <c r="AN96" s="636"/>
      <c r="AO96" s="532" t="str">
        <f>VLOOKUP("*"&amp;AO$5&amp;".Ap."&amp;AO95,Check2,1,FALSE)</f>
        <v>S.S.5B.TN.Ap.218</v>
      </c>
      <c r="AP96" s="477" t="str">
        <f t="shared" ref="AP96" si="526">AO96</f>
        <v>S.S.5B.TN.Ap.218</v>
      </c>
      <c r="AQ96" s="533" t="str">
        <f>VLOOKUP("*"&amp;AQ$5&amp;".Ap."&amp;AQ95,Check2,1,FALSE)</f>
        <v>S.S.5A.TN.Ap.219</v>
      </c>
      <c r="AR96" s="477" t="str">
        <f t="shared" ref="AR96" si="527">AQ96</f>
        <v>S.S.5A.TN.Ap.219</v>
      </c>
      <c r="AS96" s="533" t="str">
        <f>VLOOKUP("*"&amp;AS$5&amp;".Ap."&amp;AS95,Check2,1,FALSE)</f>
        <v>O.S.4C.TN.Ap.220</v>
      </c>
      <c r="AT96" s="476" t="str">
        <f t="shared" ref="AT96:AU96" si="528">AS96</f>
        <v>O.S.4C.TN.Ap.220</v>
      </c>
      <c r="AU96" s="477" t="str">
        <f t="shared" si="528"/>
        <v>O.S.4C.TN.Ap.220</v>
      </c>
      <c r="AV96" s="533" t="str">
        <f>VLOOKUP("*"&amp;AV$5&amp;".Ap."&amp;AV95,Check2,1,FALSE)</f>
        <v>V.GMS.S.2D.TN.Ap.221</v>
      </c>
      <c r="AW96" s="477" t="str">
        <f t="shared" ref="AW96" si="529">AV96</f>
        <v>V.GMS.S.2D.TN.Ap.221</v>
      </c>
      <c r="AX96" s="525" t="str">
        <f>VLOOKUP("*"&amp;AX$5&amp;".Ap."&amp;AX95,Check2,1,FALSE)</f>
        <v>S.S.3A.TN.Ap.215</v>
      </c>
      <c r="AY96" s="533" t="str">
        <f>VLOOKUP("*"&amp;AY$5&amp;".Ap."&amp;AY95,Check2,1,FALSE)</f>
        <v>S.S.3G.TN.Ap.216</v>
      </c>
      <c r="AZ96" s="476" t="str">
        <f t="shared" ref="AZ96:BA96" si="530">AY96</f>
        <v>S.S.3G.TN.Ap.216</v>
      </c>
      <c r="BA96" s="477" t="str">
        <f t="shared" si="530"/>
        <v>S.S.3G.TN.Ap.216</v>
      </c>
      <c r="BB96" s="533" t="str">
        <f>VLOOKUP("*"&amp;BB$5&amp;".Ap."&amp;BB95,Check2,1,FALSE)</f>
        <v>V.GMS.S.3F.TN.Ap.217</v>
      </c>
      <c r="BC96" s="722" t="str">
        <f t="shared" ref="BC96" si="531">BB96</f>
        <v>V.GMS.S.3F.TN.Ap.217</v>
      </c>
      <c r="BD96" s="744"/>
      <c r="BE96" s="535"/>
      <c r="BF96" s="535"/>
      <c r="BG96" s="744"/>
      <c r="BH96" s="1082"/>
      <c r="BI96" s="1082"/>
      <c r="BJ96" s="1082"/>
      <c r="BK96" s="561"/>
      <c r="BL96" s="522" t="s">
        <v>89</v>
      </c>
      <c r="BM96" s="723">
        <f t="shared" ref="BM96" si="532">BM100+1</f>
        <v>28</v>
      </c>
      <c r="BN96" s="979"/>
      <c r="BO96" s="484"/>
      <c r="BP96" s="485" t="s">
        <v>89</v>
      </c>
    </row>
    <row r="97" spans="1:68" ht="18.75" customHeight="1" x14ac:dyDescent="0.3">
      <c r="A97" s="957"/>
      <c r="B97" s="537"/>
      <c r="C97" s="538" t="s">
        <v>65</v>
      </c>
      <c r="D97" s="562"/>
      <c r="E97" s="1082"/>
      <c r="F97" s="1082"/>
      <c r="G97" s="1082"/>
      <c r="H97" s="563"/>
      <c r="I97" s="563"/>
      <c r="J97" s="563"/>
      <c r="K97" s="563"/>
      <c r="L97" s="488">
        <f>VLOOKUP(L96,Check2,5,FALSE)</f>
        <v>2801</v>
      </c>
      <c r="M97" s="539"/>
      <c r="N97" s="539">
        <f>VLOOKUP(N96,Check2,5,FALSE)</f>
        <v>2802</v>
      </c>
      <c r="O97" s="539"/>
      <c r="P97" s="724">
        <f>VLOOKUP(P96,Check2,5,FALSE)</f>
        <v>2803</v>
      </c>
      <c r="Q97" s="539">
        <f>VLOOKUP(Q96,Check2,5,FALSE)</f>
        <v>2804</v>
      </c>
      <c r="R97" s="539"/>
      <c r="S97" s="539">
        <f>VLOOKUP(S96,Check2,5,FALSE)</f>
        <v>2805</v>
      </c>
      <c r="T97" s="539"/>
      <c r="U97" s="490"/>
      <c r="V97" s="539">
        <f>VLOOKUP(V96,Check2,5,FALSE)</f>
        <v>2806</v>
      </c>
      <c r="W97" s="539"/>
      <c r="X97" s="539"/>
      <c r="Y97" s="539">
        <f>VLOOKUP(Y96,Check2,5,FALSE)</f>
        <v>2807</v>
      </c>
      <c r="Z97" s="491"/>
      <c r="AA97" s="491"/>
      <c r="AB97" s="449"/>
      <c r="AC97" s="449"/>
      <c r="AD97" s="449"/>
      <c r="AE97" s="449"/>
      <c r="AF97" s="449"/>
      <c r="AG97" s="449"/>
      <c r="AH97" s="449"/>
      <c r="AI97" s="449"/>
      <c r="AJ97" s="449"/>
      <c r="AK97" s="449"/>
      <c r="AL97" s="449"/>
      <c r="AM97" s="449"/>
      <c r="AN97" s="637"/>
      <c r="AO97" s="542">
        <f>VLOOKUP(AO96,Check2,5,FALSE)</f>
        <v>2802</v>
      </c>
      <c r="AP97" s="543"/>
      <c r="AQ97" s="589">
        <f>VLOOKUP(AQ96,Check2,5,FALSE)</f>
        <v>2803</v>
      </c>
      <c r="AR97" s="543"/>
      <c r="AS97" s="589">
        <f>VLOOKUP(AS96,Check2,5,FALSE)</f>
        <v>2804</v>
      </c>
      <c r="AT97" s="590"/>
      <c r="AU97" s="584"/>
      <c r="AV97" s="589">
        <f>VLOOKUP(AV96,Check2,5,FALSE)</f>
        <v>2805</v>
      </c>
      <c r="AW97" s="543"/>
      <c r="AX97" s="724">
        <f>VLOOKUP(AX96,Check2,5,FALSE)</f>
        <v>2806</v>
      </c>
      <c r="AY97" s="589">
        <f>VLOOKUP(AY96,Check2,5,FALSE)</f>
        <v>2807</v>
      </c>
      <c r="AZ97" s="590"/>
      <c r="BA97" s="584"/>
      <c r="BB97" s="589">
        <f>VLOOKUP(BB96,Check2,5,FALSE)</f>
        <v>2801</v>
      </c>
      <c r="BC97" s="725"/>
      <c r="BD97" s="745"/>
      <c r="BE97" s="563"/>
      <c r="BF97" s="563"/>
      <c r="BG97" s="745"/>
      <c r="BH97" s="1082"/>
      <c r="BI97" s="1082"/>
      <c r="BJ97" s="1082"/>
      <c r="BK97" s="564"/>
      <c r="BL97" s="544" t="s">
        <v>65</v>
      </c>
      <c r="BM97" s="726"/>
      <c r="BN97" s="979"/>
      <c r="BO97" s="434"/>
      <c r="BP97" s="496" t="s">
        <v>1078</v>
      </c>
    </row>
    <row r="98" spans="1:68" ht="19.5" customHeight="1" thickBot="1" x14ac:dyDescent="0.45">
      <c r="A98" s="958"/>
      <c r="B98" s="545">
        <f t="shared" ref="B98" si="533">B102+3.48</f>
        <v>103.96000000000002</v>
      </c>
      <c r="C98" s="546" t="s">
        <v>1</v>
      </c>
      <c r="D98" s="567"/>
      <c r="E98" s="1083"/>
      <c r="F98" s="1083"/>
      <c r="G98" s="1083"/>
      <c r="H98" s="568"/>
      <c r="I98" s="568"/>
      <c r="J98" s="568"/>
      <c r="K98" s="568"/>
      <c r="L98" s="595" t="str">
        <f>VLOOKUP(L96,Check2,6,FALSE)</f>
        <v>3F</v>
      </c>
      <c r="M98" s="548"/>
      <c r="N98" s="548" t="str">
        <f>VLOOKUP(N96,Check2,6,FALSE)</f>
        <v>3G</v>
      </c>
      <c r="O98" s="548"/>
      <c r="P98" s="727" t="str">
        <f>VLOOKUP(P96,Check2,6,FALSE)</f>
        <v>3A</v>
      </c>
      <c r="Q98" s="548" t="str">
        <f>VLOOKUP(Q96,Check2,6,FALSE)</f>
        <v>2D</v>
      </c>
      <c r="R98" s="548"/>
      <c r="S98" s="548" t="str">
        <f>VLOOKUP(S96,Check2,6,FALSE)</f>
        <v>4C</v>
      </c>
      <c r="T98" s="548"/>
      <c r="U98" s="549"/>
      <c r="V98" s="548" t="str">
        <f>VLOOKUP(V96,Check2,6,FALSE)</f>
        <v>5A</v>
      </c>
      <c r="W98" s="548"/>
      <c r="X98" s="548"/>
      <c r="Y98" s="548" t="str">
        <f>VLOOKUP(Y96,Check2,6,FALSE)</f>
        <v>5B</v>
      </c>
      <c r="Z98" s="615"/>
      <c r="AA98" s="615"/>
      <c r="AB98" s="503"/>
      <c r="AC98" s="503"/>
      <c r="AD98" s="503"/>
      <c r="AE98" s="503"/>
      <c r="AF98" s="503"/>
      <c r="AG98" s="503"/>
      <c r="AH98" s="503"/>
      <c r="AI98" s="503"/>
      <c r="AJ98" s="503"/>
      <c r="AK98" s="503"/>
      <c r="AL98" s="503"/>
      <c r="AM98" s="503"/>
      <c r="AN98" s="640"/>
      <c r="AO98" s="551" t="str">
        <f>VLOOKUP(AO96,Check2,6,FALSE)</f>
        <v>5B</v>
      </c>
      <c r="AP98" s="553"/>
      <c r="AQ98" s="603" t="str">
        <f>VLOOKUP(AQ96,Check2,6,FALSE)</f>
        <v>5A</v>
      </c>
      <c r="AR98" s="553"/>
      <c r="AS98" s="603" t="str">
        <f>VLOOKUP(AS96,Check2,6,FALSE)</f>
        <v>4C</v>
      </c>
      <c r="AT98" s="604"/>
      <c r="AU98" s="597"/>
      <c r="AV98" s="603" t="str">
        <f>VLOOKUP(AV96,Check2,6,FALSE)</f>
        <v>2D</v>
      </c>
      <c r="AW98" s="553"/>
      <c r="AX98" s="727" t="str">
        <f>VLOOKUP(AX96,Check2,6,FALSE)</f>
        <v>3A</v>
      </c>
      <c r="AY98" s="603" t="str">
        <f>VLOOKUP(AY96,Check2,6,FALSE)</f>
        <v>3G</v>
      </c>
      <c r="AZ98" s="604"/>
      <c r="BA98" s="597"/>
      <c r="BB98" s="603" t="str">
        <f>VLOOKUP(BB96,Check2,6,FALSE)</f>
        <v>3F</v>
      </c>
      <c r="BC98" s="728"/>
      <c r="BD98" s="746"/>
      <c r="BE98" s="568"/>
      <c r="BF98" s="568"/>
      <c r="BG98" s="746"/>
      <c r="BH98" s="1083"/>
      <c r="BI98" s="1083"/>
      <c r="BJ98" s="1083"/>
      <c r="BK98" s="572"/>
      <c r="BL98" s="555" t="s">
        <v>1</v>
      </c>
      <c r="BM98" s="729">
        <f t="shared" ref="BM98" si="534">BM102+3.48</f>
        <v>103.96000000000002</v>
      </c>
      <c r="BN98" s="980"/>
      <c r="BO98" s="509"/>
      <c r="BP98" s="510" t="s">
        <v>1</v>
      </c>
    </row>
    <row r="99" spans="1:68" ht="25.5" x14ac:dyDescent="0.45">
      <c r="A99" s="957"/>
      <c r="B99" s="511" t="str">
        <f t="shared" ref="B99" si="535">_xlfn.CONCAT("קומה ",B100)</f>
        <v>קומה 27</v>
      </c>
      <c r="C99" s="512" t="s">
        <v>0</v>
      </c>
      <c r="D99" s="556"/>
      <c r="E99" s="1080"/>
      <c r="F99" s="1080"/>
      <c r="G99" s="1080"/>
      <c r="H99" s="557"/>
      <c r="I99" s="557"/>
      <c r="J99" s="557"/>
      <c r="K99" s="557"/>
      <c r="L99" s="460">
        <f t="shared" ref="L99" si="536">L103+7</f>
        <v>214</v>
      </c>
      <c r="M99" s="514"/>
      <c r="N99" s="514">
        <f t="shared" ref="N99" si="537">N103+7</f>
        <v>215</v>
      </c>
      <c r="O99" s="514"/>
      <c r="P99" s="540">
        <f t="shared" ref="P99:Q99" si="538">P103+7</f>
        <v>216</v>
      </c>
      <c r="Q99" s="514">
        <f t="shared" si="538"/>
        <v>217</v>
      </c>
      <c r="R99" s="514"/>
      <c r="S99" s="514">
        <f t="shared" ref="S99" si="539">S103+7</f>
        <v>218</v>
      </c>
      <c r="T99" s="514"/>
      <c r="U99" s="462"/>
      <c r="V99" s="514">
        <f t="shared" ref="V99" si="540">V103+7</f>
        <v>219</v>
      </c>
      <c r="W99" s="514"/>
      <c r="X99" s="514"/>
      <c r="Y99" s="514">
        <f t="shared" ref="Y99" si="541">Y103+7</f>
        <v>220</v>
      </c>
      <c r="Z99" s="463"/>
      <c r="AA99" s="463"/>
      <c r="AB99" s="464"/>
      <c r="AC99" s="932" t="s">
        <v>1424</v>
      </c>
      <c r="AD99" s="932"/>
      <c r="AE99" s="932"/>
      <c r="AF99" s="932"/>
      <c r="AG99" s="464"/>
      <c r="AH99" s="464"/>
      <c r="AI99" s="464"/>
      <c r="AJ99" s="932" t="s">
        <v>1425</v>
      </c>
      <c r="AK99" s="932"/>
      <c r="AL99" s="932"/>
      <c r="AM99" s="932"/>
      <c r="AN99" s="626"/>
      <c r="AO99" s="519">
        <f t="shared" ref="AO99" si="542">AO103+7</f>
        <v>211</v>
      </c>
      <c r="AP99" s="520"/>
      <c r="AQ99" s="578">
        <f t="shared" ref="AQ99" si="543">AQ103+7</f>
        <v>212</v>
      </c>
      <c r="AR99" s="520"/>
      <c r="AS99" s="578">
        <f t="shared" ref="AS99" si="544">AS103+7</f>
        <v>213</v>
      </c>
      <c r="AT99" s="461"/>
      <c r="AU99" s="520"/>
      <c r="AV99" s="578">
        <f t="shared" ref="AV99" si="545">AV103+7</f>
        <v>214</v>
      </c>
      <c r="AW99" s="520"/>
      <c r="AX99" s="540">
        <f t="shared" ref="AX99:AY99" si="546">AX103+7</f>
        <v>208</v>
      </c>
      <c r="AY99" s="578">
        <f t="shared" si="546"/>
        <v>209</v>
      </c>
      <c r="AZ99" s="461"/>
      <c r="BA99" s="520"/>
      <c r="BB99" s="578">
        <f t="shared" ref="BB99" si="547">BB103+7</f>
        <v>210</v>
      </c>
      <c r="BC99" s="719"/>
      <c r="BD99" s="733"/>
      <c r="BE99" s="557"/>
      <c r="BF99" s="557"/>
      <c r="BG99" s="733"/>
      <c r="BH99" s="1080"/>
      <c r="BI99" s="1080"/>
      <c r="BJ99" s="1080"/>
      <c r="BK99" s="559"/>
      <c r="BL99" s="522" t="s">
        <v>0</v>
      </c>
      <c r="BM99" s="721" t="str">
        <f t="shared" ref="BM99" si="548">_xlfn.CONCAT("קומה ",BM100)</f>
        <v>קומה 27</v>
      </c>
      <c r="BN99" s="979"/>
      <c r="BO99" s="470"/>
      <c r="BP99" s="471" t="s">
        <v>0</v>
      </c>
    </row>
    <row r="100" spans="1:68" ht="18.75" hidden="1" customHeight="1" x14ac:dyDescent="0.3">
      <c r="A100" s="957"/>
      <c r="B100" s="523">
        <f t="shared" ref="B100" si="549">B104+1</f>
        <v>27</v>
      </c>
      <c r="C100" s="512" t="s">
        <v>89</v>
      </c>
      <c r="D100" s="560"/>
      <c r="E100" s="1078"/>
      <c r="F100" s="1078"/>
      <c r="G100" s="1078"/>
      <c r="H100" s="535"/>
      <c r="I100" s="535"/>
      <c r="J100" s="535"/>
      <c r="K100" s="535"/>
      <c r="L100" s="475" t="str">
        <f>VLOOKUP("*"&amp;L$5&amp;".Ap."&amp;L99,Check2,1,FALSE)</f>
        <v>S.S.3F.TS.Ap.214</v>
      </c>
      <c r="M100" s="525" t="str">
        <f t="shared" ref="M100" si="550">L100</f>
        <v>S.S.3F.TS.Ap.214</v>
      </c>
      <c r="N100" s="525" t="str">
        <f>VLOOKUP("*"&amp;N$5&amp;".Ap."&amp;N99,Check2,1,FALSE)</f>
        <v>V.GMS.S.3G.TS.Ap.215</v>
      </c>
      <c r="O100" s="525" t="str">
        <f t="shared" ref="O100" si="551">N100</f>
        <v>V.GMS.S.3G.TS.Ap.215</v>
      </c>
      <c r="P100" s="525" t="str">
        <f>VLOOKUP("*"&amp;P$5&amp;".Ap."&amp;P99,Check2,1,FALSE)</f>
        <v>V.GMS.S.3A.TS.Ap.216</v>
      </c>
      <c r="Q100" s="525" t="str">
        <f>VLOOKUP("*"&amp;Q$5&amp;".Ap."&amp;Q99,Check2,1,FALSE)</f>
        <v>S.S.2D.TS.Ap.217</v>
      </c>
      <c r="R100" s="525" t="str">
        <f t="shared" ref="R100" si="552">Q100</f>
        <v>S.S.2D.TS.Ap.217</v>
      </c>
      <c r="S100" s="525" t="str">
        <f>VLOOKUP("*"&amp;S$5&amp;".Ap."&amp;S99,Check2,1,FALSE)</f>
        <v>O.S.4C.TS.Ap.218</v>
      </c>
      <c r="T100" s="525" t="str">
        <f t="shared" ref="T100:U100" si="553">S100</f>
        <v>O.S.4C.TS.Ap.218</v>
      </c>
      <c r="U100" s="477" t="str">
        <f t="shared" si="553"/>
        <v>O.S.4C.TS.Ap.218</v>
      </c>
      <c r="V100" s="525" t="str">
        <f>VLOOKUP("*"&amp;V$5&amp;".Ap."&amp;V99,Check2,1,FALSE)</f>
        <v>O.S.5A.TS.Ap.219</v>
      </c>
      <c r="W100" s="525" t="str">
        <f t="shared" ref="W100" si="554">V100</f>
        <v>O.S.5A.TS.Ap.219</v>
      </c>
      <c r="X100" s="525" t="str">
        <f t="shared" ref="X100" si="555">V100</f>
        <v>O.S.5A.TS.Ap.219</v>
      </c>
      <c r="Y100" s="525" t="str">
        <f>VLOOKUP("*"&amp;Y$5&amp;".Ap."&amp;Y99,Check2,1,FALSE)</f>
        <v>V.GMC.S.5B.TS.Ap.220</v>
      </c>
      <c r="Z100" s="478" t="str">
        <f t="shared" ref="Z100" si="556">Y100</f>
        <v>V.GMC.S.5B.TS.Ap.220</v>
      </c>
      <c r="AA100" s="478" t="str">
        <f t="shared" ref="AA100" si="557">Y100</f>
        <v>V.GMC.S.5B.TS.Ap.220</v>
      </c>
      <c r="AB100" s="479"/>
      <c r="AC100" s="479"/>
      <c r="AD100" s="479"/>
      <c r="AE100" s="479"/>
      <c r="AF100" s="479"/>
      <c r="AG100" s="479"/>
      <c r="AH100" s="479"/>
      <c r="AI100" s="479"/>
      <c r="AJ100" s="479"/>
      <c r="AK100" s="479"/>
      <c r="AL100" s="479"/>
      <c r="AM100" s="479"/>
      <c r="AN100" s="636"/>
      <c r="AO100" s="532" t="str">
        <f>VLOOKUP("*"&amp;AO$5&amp;".Ap."&amp;AO99,Check2,1,FALSE)</f>
        <v>S.S.5B.TN.Ap.211</v>
      </c>
      <c r="AP100" s="477" t="str">
        <f t="shared" ref="AP100" si="558">AO100</f>
        <v>S.S.5B.TN.Ap.211</v>
      </c>
      <c r="AQ100" s="533" t="str">
        <f>VLOOKUP("*"&amp;AQ$5&amp;".Ap."&amp;AQ99,Check2,1,FALSE)</f>
        <v>S.S.5A.TN.Ap.212</v>
      </c>
      <c r="AR100" s="477" t="str">
        <f t="shared" ref="AR100" si="559">AQ100</f>
        <v>S.S.5A.TN.Ap.212</v>
      </c>
      <c r="AS100" s="533" t="str">
        <f>VLOOKUP("*"&amp;AS$5&amp;".Ap."&amp;AS99,Check2,1,FALSE)</f>
        <v>O.S.4C.TN.Ap.213</v>
      </c>
      <c r="AT100" s="476" t="str">
        <f t="shared" ref="AT100:AU100" si="560">AS100</f>
        <v>O.S.4C.TN.Ap.213</v>
      </c>
      <c r="AU100" s="477" t="str">
        <f t="shared" si="560"/>
        <v>O.S.4C.TN.Ap.213</v>
      </c>
      <c r="AV100" s="533" t="str">
        <f>VLOOKUP("*"&amp;AV$5&amp;".Ap."&amp;AV99,Check2,1,FALSE)</f>
        <v>V.GMS.S.2D.TN.Ap.214</v>
      </c>
      <c r="AW100" s="477" t="str">
        <f t="shared" ref="AW100" si="561">AV100</f>
        <v>V.GMS.S.2D.TN.Ap.214</v>
      </c>
      <c r="AX100" s="525" t="str">
        <f>VLOOKUP("*"&amp;AX$5&amp;".Ap."&amp;AX99,Check2,1,FALSE)</f>
        <v>V.GMS.S.3A.TN.Ap.208</v>
      </c>
      <c r="AY100" s="533" t="str">
        <f>VLOOKUP("*"&amp;AY$5&amp;".Ap."&amp;AY99,Check2,1,FALSE)</f>
        <v>S.S.3G.TN.Ap.209</v>
      </c>
      <c r="AZ100" s="476" t="str">
        <f t="shared" ref="AZ100:BA100" si="562">AY100</f>
        <v>S.S.3G.TN.Ap.209</v>
      </c>
      <c r="BA100" s="477" t="str">
        <f t="shared" si="562"/>
        <v>S.S.3G.TN.Ap.209</v>
      </c>
      <c r="BB100" s="533" t="str">
        <f>VLOOKUP("*"&amp;BB$5&amp;".Ap."&amp;BB99,Check2,1,FALSE)</f>
        <v>V.GMS.S.3F.TN.Ap.210</v>
      </c>
      <c r="BC100" s="722" t="str">
        <f t="shared" ref="BC100" si="563">BB100</f>
        <v>V.GMS.S.3F.TN.Ap.210</v>
      </c>
      <c r="BD100" s="744"/>
      <c r="BE100" s="535"/>
      <c r="BF100" s="535"/>
      <c r="BG100" s="744"/>
      <c r="BH100" s="1078"/>
      <c r="BI100" s="1078"/>
      <c r="BJ100" s="1078"/>
      <c r="BK100" s="561"/>
      <c r="BL100" s="522" t="s">
        <v>89</v>
      </c>
      <c r="BM100" s="723">
        <f t="shared" ref="BM100" si="564">BM104+1</f>
        <v>27</v>
      </c>
      <c r="BN100" s="979"/>
      <c r="BO100" s="484"/>
      <c r="BP100" s="485" t="s">
        <v>89</v>
      </c>
    </row>
    <row r="101" spans="1:68" ht="21.75" x14ac:dyDescent="0.3">
      <c r="A101" s="957"/>
      <c r="B101" s="537"/>
      <c r="C101" s="538" t="s">
        <v>65</v>
      </c>
      <c r="D101" s="562"/>
      <c r="E101" s="1078"/>
      <c r="F101" s="1078"/>
      <c r="G101" s="1078"/>
      <c r="H101" s="563"/>
      <c r="I101" s="563"/>
      <c r="J101" s="563"/>
      <c r="K101" s="563"/>
      <c r="L101" s="488">
        <f>VLOOKUP(L100,Check2,5,FALSE)</f>
        <v>2701</v>
      </c>
      <c r="M101" s="539"/>
      <c r="N101" s="539">
        <f>VLOOKUP(N100,Check2,5,FALSE)</f>
        <v>2702</v>
      </c>
      <c r="O101" s="539"/>
      <c r="P101" s="724">
        <f>VLOOKUP(P100,Check2,5,FALSE)</f>
        <v>2703</v>
      </c>
      <c r="Q101" s="539">
        <f>VLOOKUP(Q100,Check2,5,FALSE)</f>
        <v>2704</v>
      </c>
      <c r="R101" s="539"/>
      <c r="S101" s="539">
        <f>VLOOKUP(S100,Check2,5,FALSE)</f>
        <v>2705</v>
      </c>
      <c r="T101" s="539"/>
      <c r="U101" s="490"/>
      <c r="V101" s="539">
        <f>VLOOKUP(V100,Check2,5,FALSE)</f>
        <v>2706</v>
      </c>
      <c r="W101" s="539"/>
      <c r="X101" s="539"/>
      <c r="Y101" s="539">
        <f>VLOOKUP(Y100,Check2,5,FALSE)</f>
        <v>2707</v>
      </c>
      <c r="Z101" s="491"/>
      <c r="AA101" s="491"/>
      <c r="AB101" s="449"/>
      <c r="AC101" s="933" t="s">
        <v>1419</v>
      </c>
      <c r="AD101" s="933"/>
      <c r="AE101" s="929" t="s">
        <v>1426</v>
      </c>
      <c r="AF101" s="929">
        <f>COUNTIFS('טבלת סטטוס'!C:C,"דרומי",'טבלת סטטוס'!M:M,AC101)</f>
        <v>8</v>
      </c>
      <c r="AG101" s="449"/>
      <c r="AH101" s="449"/>
      <c r="AI101" s="449"/>
      <c r="AJ101" s="933" t="s">
        <v>1419</v>
      </c>
      <c r="AK101" s="933"/>
      <c r="AL101" s="929" t="s">
        <v>1426</v>
      </c>
      <c r="AM101" s="929">
        <f>COUNTIFS('טבלת סטטוס'!C:C,"צפוני",'טבלת סטטוס'!M:M,AJ101)</f>
        <v>2</v>
      </c>
      <c r="AN101" s="637"/>
      <c r="AO101" s="542">
        <f>VLOOKUP(AO100,Check2,5,FALSE)</f>
        <v>2702</v>
      </c>
      <c r="AP101" s="543"/>
      <c r="AQ101" s="589">
        <f>VLOOKUP(AQ100,Check2,5,FALSE)</f>
        <v>2703</v>
      </c>
      <c r="AR101" s="543"/>
      <c r="AS101" s="589">
        <f>VLOOKUP(AS100,Check2,5,FALSE)</f>
        <v>2704</v>
      </c>
      <c r="AT101" s="590"/>
      <c r="AU101" s="584"/>
      <c r="AV101" s="589">
        <f>VLOOKUP(AV100,Check2,5,FALSE)</f>
        <v>2705</v>
      </c>
      <c r="AW101" s="543"/>
      <c r="AX101" s="724">
        <f>VLOOKUP(AX100,Check2,5,FALSE)</f>
        <v>2706</v>
      </c>
      <c r="AY101" s="589">
        <f>VLOOKUP(AY100,Check2,5,FALSE)</f>
        <v>2707</v>
      </c>
      <c r="AZ101" s="590"/>
      <c r="BA101" s="584"/>
      <c r="BB101" s="589">
        <f>VLOOKUP(BB100,Check2,5,FALSE)</f>
        <v>2701</v>
      </c>
      <c r="BC101" s="725"/>
      <c r="BD101" s="745"/>
      <c r="BE101" s="563"/>
      <c r="BF101" s="563"/>
      <c r="BG101" s="745"/>
      <c r="BH101" s="1078"/>
      <c r="BI101" s="1078"/>
      <c r="BJ101" s="1078"/>
      <c r="BK101" s="564"/>
      <c r="BL101" s="544" t="s">
        <v>65</v>
      </c>
      <c r="BM101" s="726"/>
      <c r="BN101" s="979"/>
      <c r="BO101" s="434"/>
      <c r="BP101" s="496" t="s">
        <v>1078</v>
      </c>
    </row>
    <row r="102" spans="1:68" ht="22.5" thickBot="1" x14ac:dyDescent="0.45">
      <c r="A102" s="958"/>
      <c r="B102" s="545">
        <f t="shared" ref="B102" si="565">B106+3.48</f>
        <v>100.48000000000002</v>
      </c>
      <c r="C102" s="546" t="s">
        <v>1</v>
      </c>
      <c r="D102" s="567"/>
      <c r="E102" s="1079"/>
      <c r="F102" s="1079"/>
      <c r="G102" s="1079"/>
      <c r="H102" s="568"/>
      <c r="I102" s="568"/>
      <c r="J102" s="568"/>
      <c r="K102" s="568"/>
      <c r="L102" s="595" t="str">
        <f>VLOOKUP(L100,Check2,6,FALSE)</f>
        <v>3F</v>
      </c>
      <c r="M102" s="548"/>
      <c r="N102" s="548" t="str">
        <f>VLOOKUP(N100,Check2,6,FALSE)</f>
        <v>3G</v>
      </c>
      <c r="O102" s="548"/>
      <c r="P102" s="727" t="str">
        <f>VLOOKUP(P100,Check2,6,FALSE)</f>
        <v>3A</v>
      </c>
      <c r="Q102" s="548" t="str">
        <f>VLOOKUP(Q100,Check2,6,FALSE)</f>
        <v>2D</v>
      </c>
      <c r="R102" s="548"/>
      <c r="S102" s="548" t="str">
        <f>VLOOKUP(S100,Check2,6,FALSE)</f>
        <v>4C</v>
      </c>
      <c r="T102" s="548"/>
      <c r="U102" s="549"/>
      <c r="V102" s="548" t="str">
        <f>VLOOKUP(V100,Check2,6,FALSE)</f>
        <v>5A</v>
      </c>
      <c r="W102" s="548"/>
      <c r="X102" s="548"/>
      <c r="Y102" s="548" t="str">
        <f>VLOOKUP(Y100,Check2,6,FALSE)</f>
        <v>5B</v>
      </c>
      <c r="Z102" s="615"/>
      <c r="AA102" s="615"/>
      <c r="AB102" s="503"/>
      <c r="AC102" s="933" t="s">
        <v>1420</v>
      </c>
      <c r="AD102" s="933"/>
      <c r="AE102" s="928" t="s">
        <v>1427</v>
      </c>
      <c r="AF102" s="929">
        <f>COUNTIFS('טבלת סטטוס'!C:C,"דרומי",'טבלת סטטוס'!M:M,AC102)</f>
        <v>31</v>
      </c>
      <c r="AG102" s="503"/>
      <c r="AH102" s="503"/>
      <c r="AI102" s="503"/>
      <c r="AJ102" s="933" t="s">
        <v>1420</v>
      </c>
      <c r="AK102" s="933"/>
      <c r="AL102" s="928" t="s">
        <v>1427</v>
      </c>
      <c r="AM102" s="929">
        <f>COUNTIFS('טבלת סטטוס'!C:C,"צפוני",'טבלת סטטוס'!M:M,AJ102)</f>
        <v>1</v>
      </c>
      <c r="AN102" s="640"/>
      <c r="AO102" s="551" t="str">
        <f>VLOOKUP(AO100,Check2,6,FALSE)</f>
        <v>5B</v>
      </c>
      <c r="AP102" s="553"/>
      <c r="AQ102" s="603" t="str">
        <f>VLOOKUP(AQ100,Check2,6,FALSE)</f>
        <v>5A</v>
      </c>
      <c r="AR102" s="553"/>
      <c r="AS102" s="603" t="str">
        <f>VLOOKUP(AS100,Check2,6,FALSE)</f>
        <v>4C</v>
      </c>
      <c r="AT102" s="604"/>
      <c r="AU102" s="597"/>
      <c r="AV102" s="603" t="str">
        <f>VLOOKUP(AV100,Check2,6,FALSE)</f>
        <v>2D</v>
      </c>
      <c r="AW102" s="553"/>
      <c r="AX102" s="727" t="str">
        <f>VLOOKUP(AX100,Check2,6,FALSE)</f>
        <v>3A</v>
      </c>
      <c r="AY102" s="603" t="str">
        <f>VLOOKUP(AY100,Check2,6,FALSE)</f>
        <v>3G</v>
      </c>
      <c r="AZ102" s="604"/>
      <c r="BA102" s="597"/>
      <c r="BB102" s="603" t="str">
        <f>VLOOKUP(BB100,Check2,6,FALSE)</f>
        <v>3F</v>
      </c>
      <c r="BC102" s="728"/>
      <c r="BD102" s="746"/>
      <c r="BE102" s="568"/>
      <c r="BF102" s="568"/>
      <c r="BG102" s="746"/>
      <c r="BH102" s="1079"/>
      <c r="BI102" s="1079"/>
      <c r="BJ102" s="1079"/>
      <c r="BK102" s="572"/>
      <c r="BL102" s="555" t="s">
        <v>1</v>
      </c>
      <c r="BM102" s="729">
        <f t="shared" ref="BM102" si="566">BM106+3.48</f>
        <v>100.48000000000002</v>
      </c>
      <c r="BN102" s="980"/>
      <c r="BO102" s="509"/>
      <c r="BP102" s="510" t="s">
        <v>1</v>
      </c>
    </row>
    <row r="103" spans="1:68" ht="25.5" x14ac:dyDescent="0.45">
      <c r="A103" s="957"/>
      <c r="B103" s="511" t="str">
        <f t="shared" ref="B103" si="567">_xlfn.CONCAT("קומה ",B104)</f>
        <v>קומה 26</v>
      </c>
      <c r="C103" s="512" t="s">
        <v>0</v>
      </c>
      <c r="D103" s="556"/>
      <c r="E103" s="1080"/>
      <c r="F103" s="1080"/>
      <c r="G103" s="1080"/>
      <c r="H103" s="557"/>
      <c r="I103" s="557"/>
      <c r="J103" s="557"/>
      <c r="K103" s="557"/>
      <c r="L103" s="460">
        <f t="shared" ref="L103" si="568">L107+7</f>
        <v>207</v>
      </c>
      <c r="M103" s="514"/>
      <c r="N103" s="514">
        <f t="shared" ref="N103" si="569">N107+7</f>
        <v>208</v>
      </c>
      <c r="O103" s="514"/>
      <c r="P103" s="540">
        <f t="shared" ref="P103:Q103" si="570">P107+7</f>
        <v>209</v>
      </c>
      <c r="Q103" s="514">
        <f t="shared" si="570"/>
        <v>210</v>
      </c>
      <c r="R103" s="514"/>
      <c r="S103" s="514">
        <f t="shared" ref="S103" si="571">S107+7</f>
        <v>211</v>
      </c>
      <c r="T103" s="514"/>
      <c r="U103" s="462"/>
      <c r="V103" s="514">
        <f t="shared" ref="V103" si="572">V107+7</f>
        <v>212</v>
      </c>
      <c r="W103" s="514"/>
      <c r="X103" s="514"/>
      <c r="Y103" s="514">
        <f t="shared" ref="Y103" si="573">Y107+7</f>
        <v>213</v>
      </c>
      <c r="Z103" s="463"/>
      <c r="AA103" s="463"/>
      <c r="AB103" s="464"/>
      <c r="AC103" s="933" t="s">
        <v>1421</v>
      </c>
      <c r="AD103" s="933"/>
      <c r="AE103" s="930" t="s">
        <v>1428</v>
      </c>
      <c r="AF103" s="929">
        <f>COUNTIFS('טבלת סטטוס'!C:C,"דרומי",'טבלת סטטוס'!M:M,AC103)</f>
        <v>0</v>
      </c>
      <c r="AG103" s="464"/>
      <c r="AH103" s="464"/>
      <c r="AI103" s="464"/>
      <c r="AJ103" s="933" t="s">
        <v>1421</v>
      </c>
      <c r="AK103" s="933"/>
      <c r="AL103" s="930" t="s">
        <v>1428</v>
      </c>
      <c r="AM103" s="929">
        <f>COUNTIFS('טבלת סטטוס'!C:C,"צפוני",'טבלת סטטוס'!M:M,AJ103)</f>
        <v>1</v>
      </c>
      <c r="AN103" s="626"/>
      <c r="AO103" s="519">
        <f t="shared" ref="AO103" si="574">AO107+7</f>
        <v>204</v>
      </c>
      <c r="AP103" s="520"/>
      <c r="AQ103" s="578">
        <f t="shared" ref="AQ103" si="575">AQ107+7</f>
        <v>205</v>
      </c>
      <c r="AR103" s="520"/>
      <c r="AS103" s="578">
        <f t="shared" ref="AS103" si="576">AS107+7</f>
        <v>206</v>
      </c>
      <c r="AT103" s="461"/>
      <c r="AU103" s="520"/>
      <c r="AV103" s="578">
        <f t="shared" ref="AV103" si="577">AV107+7</f>
        <v>207</v>
      </c>
      <c r="AW103" s="520"/>
      <c r="AX103" s="540">
        <f t="shared" ref="AX103:AY103" si="578">AX107+7</f>
        <v>201</v>
      </c>
      <c r="AY103" s="578">
        <f t="shared" si="578"/>
        <v>202</v>
      </c>
      <c r="AZ103" s="461"/>
      <c r="BA103" s="520"/>
      <c r="BB103" s="578">
        <f t="shared" ref="BB103" si="579">BB107+7</f>
        <v>203</v>
      </c>
      <c r="BC103" s="719"/>
      <c r="BD103" s="733"/>
      <c r="BE103" s="557"/>
      <c r="BF103" s="557"/>
      <c r="BG103" s="733"/>
      <c r="BH103" s="1080"/>
      <c r="BI103" s="1080"/>
      <c r="BJ103" s="1080"/>
      <c r="BK103" s="559"/>
      <c r="BL103" s="522" t="s">
        <v>0</v>
      </c>
      <c r="BM103" s="721" t="str">
        <f t="shared" ref="BM103" si="580">_xlfn.CONCAT("קומה ",BM104)</f>
        <v>קומה 26</v>
      </c>
      <c r="BN103" s="979"/>
      <c r="BO103" s="470"/>
      <c r="BP103" s="471" t="s">
        <v>0</v>
      </c>
    </row>
    <row r="104" spans="1:68" ht="18.75" hidden="1" customHeight="1" x14ac:dyDescent="0.3">
      <c r="A104" s="957"/>
      <c r="B104" s="523">
        <f t="shared" ref="B104" si="581">B108+1</f>
        <v>26</v>
      </c>
      <c r="C104" s="512" t="s">
        <v>89</v>
      </c>
      <c r="D104" s="560"/>
      <c r="E104" s="1078"/>
      <c r="F104" s="1078"/>
      <c r="G104" s="1078"/>
      <c r="H104" s="535"/>
      <c r="I104" s="535"/>
      <c r="J104" s="535"/>
      <c r="K104" s="535"/>
      <c r="L104" s="475" t="str">
        <f>VLOOKUP("*"&amp;L$5&amp;".Ap."&amp;L103,Check2,1,FALSE)</f>
        <v>S.S.3F.TS.Ap.207</v>
      </c>
      <c r="M104" s="525" t="str">
        <f t="shared" ref="M104" si="582">L104</f>
        <v>S.S.3F.TS.Ap.207</v>
      </c>
      <c r="N104" s="525" t="str">
        <f>VLOOKUP("*"&amp;N$5&amp;".Ap."&amp;N103,Check2,1,FALSE)</f>
        <v>V.GMS.S.3G.TS.Ap.208</v>
      </c>
      <c r="O104" s="525" t="str">
        <f t="shared" ref="O104" si="583">N104</f>
        <v>V.GMS.S.3G.TS.Ap.208</v>
      </c>
      <c r="P104" s="525" t="str">
        <f>VLOOKUP("*"&amp;P$5&amp;".Ap."&amp;P103,Check2,1,FALSE)</f>
        <v>S.S.3A.TS.Ap.209</v>
      </c>
      <c r="Q104" s="525" t="str">
        <f>VLOOKUP("*"&amp;Q$5&amp;".Ap."&amp;Q103,Check2,1,FALSE)</f>
        <v>S.S.2D.TS.Ap.210</v>
      </c>
      <c r="R104" s="525" t="str">
        <f t="shared" ref="R104" si="584">Q104</f>
        <v>S.S.2D.TS.Ap.210</v>
      </c>
      <c r="S104" s="525" t="str">
        <f>VLOOKUP("*"&amp;S$5&amp;".Ap."&amp;S103,Check2,1,FALSE)</f>
        <v>S.S.4C.TS.Ap.211</v>
      </c>
      <c r="T104" s="525" t="str">
        <f t="shared" ref="T104:U104" si="585">S104</f>
        <v>S.S.4C.TS.Ap.211</v>
      </c>
      <c r="U104" s="477" t="str">
        <f t="shared" si="585"/>
        <v>S.S.4C.TS.Ap.211</v>
      </c>
      <c r="V104" s="525" t="str">
        <f>VLOOKUP("*"&amp;V$5&amp;".Ap."&amp;V103,Check2,1,FALSE)</f>
        <v>O.S.5A.TS.Ap.212</v>
      </c>
      <c r="W104" s="525" t="str">
        <f t="shared" ref="W104" si="586">V104</f>
        <v>O.S.5A.TS.Ap.212</v>
      </c>
      <c r="X104" s="525" t="str">
        <f t="shared" ref="X104" si="587">V104</f>
        <v>O.S.5A.TS.Ap.212</v>
      </c>
      <c r="Y104" s="525" t="str">
        <f>VLOOKUP("*"&amp;Y$5&amp;".Ap."&amp;Y103,Check2,1,FALSE)</f>
        <v>O.S.5B.TS.Ap.213</v>
      </c>
      <c r="Z104" s="478" t="str">
        <f t="shared" ref="Z104" si="588">Y104</f>
        <v>O.S.5B.TS.Ap.213</v>
      </c>
      <c r="AA104" s="478" t="str">
        <f t="shared" ref="AA104" si="589">Y104</f>
        <v>O.S.5B.TS.Ap.213</v>
      </c>
      <c r="AB104" s="479"/>
      <c r="AC104" s="928"/>
      <c r="AD104" s="928"/>
      <c r="AE104" s="931"/>
      <c r="AF104" s="931"/>
      <c r="AG104" s="479"/>
      <c r="AH104" s="479"/>
      <c r="AI104" s="479"/>
      <c r="AJ104" s="928"/>
      <c r="AK104" s="928"/>
      <c r="AL104" s="931"/>
      <c r="AM104" s="931"/>
      <c r="AN104" s="636"/>
      <c r="AO104" s="532" t="str">
        <f>VLOOKUP("*"&amp;AO$5&amp;".Ap."&amp;AO103,Check2,1,FALSE)</f>
        <v>S.S.5B.TN.Ap.204</v>
      </c>
      <c r="AP104" s="477" t="str">
        <f t="shared" ref="AP104" si="590">AO104</f>
        <v>S.S.5B.TN.Ap.204</v>
      </c>
      <c r="AQ104" s="533" t="str">
        <f>VLOOKUP("*"&amp;AQ$5&amp;".Ap."&amp;AQ103,Check2,1,FALSE)</f>
        <v>S.S.5A.TN.Ap.205</v>
      </c>
      <c r="AR104" s="477" t="str">
        <f t="shared" ref="AR104" si="591">AQ104</f>
        <v>S.S.5A.TN.Ap.205</v>
      </c>
      <c r="AS104" s="533" t="str">
        <f>VLOOKUP("*"&amp;AS$5&amp;".Ap."&amp;AS103,Check2,1,FALSE)</f>
        <v>O.S.4C.TN.Ap.206</v>
      </c>
      <c r="AT104" s="476" t="str">
        <f t="shared" ref="AT104:AU104" si="592">AS104</f>
        <v>O.S.4C.TN.Ap.206</v>
      </c>
      <c r="AU104" s="477" t="str">
        <f t="shared" si="592"/>
        <v>O.S.4C.TN.Ap.206</v>
      </c>
      <c r="AV104" s="533" t="str">
        <f>VLOOKUP("*"&amp;AV$5&amp;".Ap."&amp;AV103,Check2,1,FALSE)</f>
        <v>V.GMS.S.2D.TN.Ap.207</v>
      </c>
      <c r="AW104" s="477" t="str">
        <f t="shared" ref="AW104" si="593">AV104</f>
        <v>V.GMS.S.2D.TN.Ap.207</v>
      </c>
      <c r="AX104" s="525" t="str">
        <f>VLOOKUP("*"&amp;AX$5&amp;".Ap."&amp;AX103,Check2,1,FALSE)</f>
        <v>V.GMS.S.3A.TN.Ap.201</v>
      </c>
      <c r="AY104" s="533" t="str">
        <f>VLOOKUP("*"&amp;AY$5&amp;".Ap."&amp;AY103,Check2,1,FALSE)</f>
        <v>S.S.3G.TN.Ap.202</v>
      </c>
      <c r="AZ104" s="476" t="str">
        <f t="shared" ref="AZ104:BA104" si="594">AY104</f>
        <v>S.S.3G.TN.Ap.202</v>
      </c>
      <c r="BA104" s="477" t="str">
        <f t="shared" si="594"/>
        <v>S.S.3G.TN.Ap.202</v>
      </c>
      <c r="BB104" s="533" t="str">
        <f>VLOOKUP("*"&amp;BB$5&amp;".Ap."&amp;BB103,Check2,1,FALSE)</f>
        <v>S.S.3F.TN.Ap.203</v>
      </c>
      <c r="BC104" s="722" t="str">
        <f t="shared" ref="BC104" si="595">BB104</f>
        <v>S.S.3F.TN.Ap.203</v>
      </c>
      <c r="BD104" s="744"/>
      <c r="BE104" s="535"/>
      <c r="BF104" s="535"/>
      <c r="BG104" s="744"/>
      <c r="BH104" s="1078"/>
      <c r="BI104" s="1078"/>
      <c r="BJ104" s="1078"/>
      <c r="BK104" s="561"/>
      <c r="BL104" s="522" t="s">
        <v>89</v>
      </c>
      <c r="BM104" s="723">
        <f t="shared" ref="BM104" si="596">BM108+1</f>
        <v>26</v>
      </c>
      <c r="BN104" s="979"/>
      <c r="BO104" s="484"/>
      <c r="BP104" s="485" t="s">
        <v>89</v>
      </c>
    </row>
    <row r="105" spans="1:68" ht="21.75" x14ac:dyDescent="0.3">
      <c r="A105" s="957"/>
      <c r="B105" s="537"/>
      <c r="C105" s="538" t="s">
        <v>65</v>
      </c>
      <c r="D105" s="562"/>
      <c r="E105" s="1078"/>
      <c r="F105" s="1078"/>
      <c r="G105" s="1078"/>
      <c r="H105" s="563"/>
      <c r="I105" s="563"/>
      <c r="J105" s="563"/>
      <c r="K105" s="563"/>
      <c r="L105" s="488">
        <f>VLOOKUP(L104,Check2,5,FALSE)</f>
        <v>2601</v>
      </c>
      <c r="M105" s="539"/>
      <c r="N105" s="539">
        <f>VLOOKUP(N104,Check2,5,FALSE)</f>
        <v>2602</v>
      </c>
      <c r="O105" s="539"/>
      <c r="P105" s="724">
        <f>VLOOKUP(P104,Check2,5,FALSE)</f>
        <v>2603</v>
      </c>
      <c r="Q105" s="539">
        <f>VLOOKUP(Q104,Check2,5,FALSE)</f>
        <v>2604</v>
      </c>
      <c r="R105" s="539"/>
      <c r="S105" s="539">
        <f>VLOOKUP(S104,Check2,5,FALSE)</f>
        <v>2605</v>
      </c>
      <c r="T105" s="539"/>
      <c r="U105" s="490"/>
      <c r="V105" s="539">
        <f>VLOOKUP(V104,Check2,5,FALSE)</f>
        <v>2606</v>
      </c>
      <c r="W105" s="539"/>
      <c r="X105" s="539"/>
      <c r="Y105" s="539">
        <f>VLOOKUP(Y104,Check2,5,FALSE)</f>
        <v>2607</v>
      </c>
      <c r="Z105" s="491"/>
      <c r="AA105" s="491"/>
      <c r="AB105" s="449"/>
      <c r="AC105" s="933" t="s">
        <v>1422</v>
      </c>
      <c r="AD105" s="933"/>
      <c r="AE105" s="929" t="s">
        <v>1429</v>
      </c>
      <c r="AF105" s="929">
        <f>COUNTIFS('טבלת סטטוס'!C:C,"דרומי",'טבלת סטטוס'!M:M,AC105)</f>
        <v>2</v>
      </c>
      <c r="AG105" s="449"/>
      <c r="AH105" s="449"/>
      <c r="AI105" s="449"/>
      <c r="AJ105" s="933" t="s">
        <v>1422</v>
      </c>
      <c r="AK105" s="933"/>
      <c r="AL105" s="929" t="s">
        <v>1429</v>
      </c>
      <c r="AM105" s="929">
        <f>COUNTIFS('טבלת סטטוס'!C:C,"צפוני",'טבלת סטטוס'!M:M,AJ105)</f>
        <v>0</v>
      </c>
      <c r="AN105" s="637"/>
      <c r="AO105" s="542">
        <f>VLOOKUP(AO104,Check2,5,FALSE)</f>
        <v>2602</v>
      </c>
      <c r="AP105" s="543"/>
      <c r="AQ105" s="589">
        <f>VLOOKUP(AQ104,Check2,5,FALSE)</f>
        <v>2603</v>
      </c>
      <c r="AR105" s="543"/>
      <c r="AS105" s="589">
        <f>VLOOKUP(AS104,Check2,5,FALSE)</f>
        <v>2604</v>
      </c>
      <c r="AT105" s="590"/>
      <c r="AU105" s="584"/>
      <c r="AV105" s="589">
        <f>VLOOKUP(AV104,Check2,5,FALSE)</f>
        <v>2605</v>
      </c>
      <c r="AW105" s="543"/>
      <c r="AX105" s="724">
        <f>VLOOKUP(AX104,Check2,5,FALSE)</f>
        <v>2605</v>
      </c>
      <c r="AY105" s="589">
        <f>VLOOKUP(AY104,Check2,5,FALSE)</f>
        <v>2607</v>
      </c>
      <c r="AZ105" s="590"/>
      <c r="BA105" s="584"/>
      <c r="BB105" s="589">
        <f>VLOOKUP(BB104,Check2,5,FALSE)</f>
        <v>2601</v>
      </c>
      <c r="BC105" s="725"/>
      <c r="BD105" s="745"/>
      <c r="BE105" s="563"/>
      <c r="BF105" s="563"/>
      <c r="BG105" s="745"/>
      <c r="BH105" s="1078"/>
      <c r="BI105" s="1078"/>
      <c r="BJ105" s="1078"/>
      <c r="BK105" s="564"/>
      <c r="BL105" s="544" t="s">
        <v>65</v>
      </c>
      <c r="BM105" s="726"/>
      <c r="BN105" s="979"/>
      <c r="BO105" s="434"/>
      <c r="BP105" s="496" t="s">
        <v>1078</v>
      </c>
    </row>
    <row r="106" spans="1:68" ht="22.5" thickBot="1" x14ac:dyDescent="0.45">
      <c r="A106" s="958"/>
      <c r="B106" s="545">
        <f t="shared" ref="B106" si="597">B110+3.48</f>
        <v>97.000000000000014</v>
      </c>
      <c r="C106" s="546" t="s">
        <v>1</v>
      </c>
      <c r="D106" s="567"/>
      <c r="E106" s="1079"/>
      <c r="F106" s="1079"/>
      <c r="G106" s="1079"/>
      <c r="H106" s="568"/>
      <c r="I106" s="568"/>
      <c r="J106" s="568"/>
      <c r="K106" s="568"/>
      <c r="L106" s="595" t="str">
        <f>VLOOKUP(L104,Check2,6,FALSE)</f>
        <v>3F</v>
      </c>
      <c r="M106" s="548"/>
      <c r="N106" s="548" t="str">
        <f>VLOOKUP(N104,Check2,6,FALSE)</f>
        <v>3G</v>
      </c>
      <c r="O106" s="548"/>
      <c r="P106" s="727" t="str">
        <f>VLOOKUP(P104,Check2,6,FALSE)</f>
        <v>3A</v>
      </c>
      <c r="Q106" s="548" t="str">
        <f>VLOOKUP(Q104,Check2,6,FALSE)</f>
        <v>2D</v>
      </c>
      <c r="R106" s="548"/>
      <c r="S106" s="548" t="str">
        <f>VLOOKUP(S104,Check2,6,FALSE)</f>
        <v>4C</v>
      </c>
      <c r="T106" s="548"/>
      <c r="U106" s="549"/>
      <c r="V106" s="548" t="str">
        <f>VLOOKUP(V104,Check2,6,FALSE)</f>
        <v>5A</v>
      </c>
      <c r="W106" s="548"/>
      <c r="X106" s="548"/>
      <c r="Y106" s="548" t="str">
        <f>VLOOKUP(Y104,Check2,6,FALSE)</f>
        <v>5B</v>
      </c>
      <c r="Z106" s="615"/>
      <c r="AA106" s="615"/>
      <c r="AB106" s="503"/>
      <c r="AC106" s="933" t="s">
        <v>1423</v>
      </c>
      <c r="AD106" s="933"/>
      <c r="AE106" s="928" t="s">
        <v>1430</v>
      </c>
      <c r="AF106" s="929">
        <f>COUNTIFS('טבלת סטטוס'!C:C,"דרומי",'טבלת סטטוס'!M:M,AC106)</f>
        <v>1</v>
      </c>
      <c r="AG106" s="503"/>
      <c r="AH106" s="503"/>
      <c r="AI106" s="503"/>
      <c r="AJ106" s="933" t="s">
        <v>1423</v>
      </c>
      <c r="AK106" s="933"/>
      <c r="AL106" s="928" t="s">
        <v>1430</v>
      </c>
      <c r="AM106" s="929">
        <f>COUNTIFS('טבלת סטטוס'!C:C,"צפוני",'טבלת סטטוס'!M:M,AJ106)</f>
        <v>0</v>
      </c>
      <c r="AN106" s="640"/>
      <c r="AO106" s="551" t="str">
        <f>VLOOKUP(AO104,Check2,6,FALSE)</f>
        <v>5B</v>
      </c>
      <c r="AP106" s="553"/>
      <c r="AQ106" s="603" t="str">
        <f>VLOOKUP(AQ104,Check2,6,FALSE)</f>
        <v>5A</v>
      </c>
      <c r="AR106" s="553"/>
      <c r="AS106" s="603" t="str">
        <f>VLOOKUP(AS104,Check2,6,FALSE)</f>
        <v>4C</v>
      </c>
      <c r="AT106" s="604"/>
      <c r="AU106" s="597"/>
      <c r="AV106" s="603" t="str">
        <f>VLOOKUP(AV104,Check2,6,FALSE)</f>
        <v>2D</v>
      </c>
      <c r="AW106" s="553"/>
      <c r="AX106" s="727" t="str">
        <f>VLOOKUP(AX104,Check2,6,FALSE)</f>
        <v>3A</v>
      </c>
      <c r="AY106" s="603" t="str">
        <f>VLOOKUP(AY104,Check2,6,FALSE)</f>
        <v>3G</v>
      </c>
      <c r="AZ106" s="604"/>
      <c r="BA106" s="597"/>
      <c r="BB106" s="603" t="str">
        <f>VLOOKUP(BB104,Check2,6,FALSE)</f>
        <v>3F</v>
      </c>
      <c r="BC106" s="728"/>
      <c r="BD106" s="746"/>
      <c r="BE106" s="568"/>
      <c r="BF106" s="568"/>
      <c r="BG106" s="746"/>
      <c r="BH106" s="1079"/>
      <c r="BI106" s="1079"/>
      <c r="BJ106" s="1079"/>
      <c r="BK106" s="572"/>
      <c r="BL106" s="555" t="s">
        <v>1</v>
      </c>
      <c r="BM106" s="729">
        <f t="shared" ref="BM106" si="598">BM110+3.48</f>
        <v>97.000000000000014</v>
      </c>
      <c r="BN106" s="980"/>
      <c r="BO106" s="509"/>
      <c r="BP106" s="510" t="s">
        <v>1</v>
      </c>
    </row>
    <row r="107" spans="1:68" ht="25.5" x14ac:dyDescent="0.45">
      <c r="A107" s="957"/>
      <c r="B107" s="511" t="str">
        <f t="shared" ref="B107" si="599">_xlfn.CONCAT("קומה ",B108)</f>
        <v>קומה 25</v>
      </c>
      <c r="C107" s="512" t="s">
        <v>0</v>
      </c>
      <c r="D107" s="556"/>
      <c r="E107" s="1081" t="s">
        <v>1076</v>
      </c>
      <c r="F107" s="1081" t="s">
        <v>1076</v>
      </c>
      <c r="G107" s="1081" t="s">
        <v>1076</v>
      </c>
      <c r="H107" s="557"/>
      <c r="I107" s="557"/>
      <c r="J107" s="557"/>
      <c r="K107" s="557"/>
      <c r="L107" s="460">
        <f t="shared" ref="L107" si="600">L111+7</f>
        <v>200</v>
      </c>
      <c r="M107" s="514"/>
      <c r="N107" s="514">
        <f t="shared" ref="N107" si="601">N111+7</f>
        <v>201</v>
      </c>
      <c r="O107" s="514"/>
      <c r="P107" s="540">
        <f t="shared" ref="P107:Q107" si="602">P111+7</f>
        <v>202</v>
      </c>
      <c r="Q107" s="514">
        <f t="shared" si="602"/>
        <v>203</v>
      </c>
      <c r="R107" s="514"/>
      <c r="S107" s="514">
        <f t="shared" ref="S107" si="603">S111+7</f>
        <v>204</v>
      </c>
      <c r="T107" s="514"/>
      <c r="U107" s="462"/>
      <c r="V107" s="514">
        <f t="shared" ref="V107" si="604">V111+7</f>
        <v>205</v>
      </c>
      <c r="W107" s="514"/>
      <c r="X107" s="514"/>
      <c r="Y107" s="514">
        <f t="shared" ref="Y107" si="605">Y111+7</f>
        <v>206</v>
      </c>
      <c r="Z107" s="463"/>
      <c r="AA107" s="463"/>
      <c r="AB107" s="464"/>
      <c r="AC107" s="464"/>
      <c r="AD107" s="464"/>
      <c r="AE107" s="464"/>
      <c r="AF107" s="464"/>
      <c r="AG107" s="464"/>
      <c r="AH107" s="464"/>
      <c r="AI107" s="464"/>
      <c r="AJ107" s="464"/>
      <c r="AK107" s="464"/>
      <c r="AL107" s="464"/>
      <c r="AM107" s="464"/>
      <c r="AN107" s="626"/>
      <c r="AO107" s="519">
        <f t="shared" ref="AO107" si="606">AO111+7</f>
        <v>197</v>
      </c>
      <c r="AP107" s="520"/>
      <c r="AQ107" s="578">
        <f t="shared" ref="AQ107" si="607">AQ111+7</f>
        <v>198</v>
      </c>
      <c r="AR107" s="520"/>
      <c r="AS107" s="578">
        <f t="shared" ref="AS107" si="608">AS111+7</f>
        <v>199</v>
      </c>
      <c r="AT107" s="461"/>
      <c r="AU107" s="520"/>
      <c r="AV107" s="578">
        <f t="shared" ref="AV107" si="609">AV111+7</f>
        <v>200</v>
      </c>
      <c r="AW107" s="520"/>
      <c r="AX107" s="540">
        <f t="shared" ref="AX107:AY107" si="610">AX111+7</f>
        <v>194</v>
      </c>
      <c r="AY107" s="578">
        <f t="shared" si="610"/>
        <v>195</v>
      </c>
      <c r="AZ107" s="461"/>
      <c r="BA107" s="520"/>
      <c r="BB107" s="578">
        <f t="shared" ref="BB107" si="611">BB111+7</f>
        <v>196</v>
      </c>
      <c r="BC107" s="719"/>
      <c r="BD107" s="733"/>
      <c r="BE107" s="557"/>
      <c r="BF107" s="557"/>
      <c r="BG107" s="733"/>
      <c r="BH107" s="1081" t="s">
        <v>1076</v>
      </c>
      <c r="BI107" s="1081" t="s">
        <v>1076</v>
      </c>
      <c r="BJ107" s="1081" t="s">
        <v>1076</v>
      </c>
      <c r="BK107" s="559"/>
      <c r="BL107" s="522" t="s">
        <v>0</v>
      </c>
      <c r="BM107" s="721" t="str">
        <f t="shared" ref="BM107" si="612">_xlfn.CONCAT("קומה ",BM108)</f>
        <v>קומה 25</v>
      </c>
      <c r="BN107" s="979"/>
      <c r="BO107" s="470"/>
      <c r="BP107" s="471" t="s">
        <v>0</v>
      </c>
    </row>
    <row r="108" spans="1:68" ht="18.75" hidden="1" customHeight="1" x14ac:dyDescent="0.3">
      <c r="A108" s="957"/>
      <c r="B108" s="523">
        <f t="shared" ref="B108" si="613">B112+1</f>
        <v>25</v>
      </c>
      <c r="C108" s="512" t="s">
        <v>89</v>
      </c>
      <c r="D108" s="560"/>
      <c r="E108" s="1082"/>
      <c r="F108" s="1082"/>
      <c r="G108" s="1082"/>
      <c r="H108" s="535"/>
      <c r="I108" s="535"/>
      <c r="J108" s="535"/>
      <c r="K108" s="535"/>
      <c r="L108" s="475" t="str">
        <f>VLOOKUP("*"&amp;L$5&amp;".Ap."&amp;L107,Check2,1,FALSE)</f>
        <v>S.S.3F.TS.Ap.200</v>
      </c>
      <c r="M108" s="525" t="str">
        <f t="shared" ref="M108" si="614">L108</f>
        <v>S.S.3F.TS.Ap.200</v>
      </c>
      <c r="N108" s="525" t="str">
        <f>VLOOKUP("*"&amp;N$5&amp;".Ap."&amp;N107,Check2,1,FALSE)</f>
        <v>V.GMS.S.3G.TS.Ap.201</v>
      </c>
      <c r="O108" s="525" t="str">
        <f t="shared" ref="O108" si="615">N108</f>
        <v>V.GMS.S.3G.TS.Ap.201</v>
      </c>
      <c r="P108" s="525" t="str">
        <f>VLOOKUP("*"&amp;P$5&amp;".Ap."&amp;P107,Check2,1,FALSE)</f>
        <v>V.GMS.S.3A.TS.Ap.202</v>
      </c>
      <c r="Q108" s="525" t="str">
        <f>VLOOKUP("*"&amp;Q$5&amp;".Ap."&amp;Q107,Check2,1,FALSE)</f>
        <v>S.S.2D.TS.Ap.203</v>
      </c>
      <c r="R108" s="525" t="str">
        <f t="shared" ref="R108" si="616">Q108</f>
        <v>S.S.2D.TS.Ap.203</v>
      </c>
      <c r="S108" s="525" t="str">
        <f>VLOOKUP("*"&amp;S$5&amp;".Ap."&amp;S107,Check2,1,FALSE)</f>
        <v>S.S.4C.TS.Ap.204</v>
      </c>
      <c r="T108" s="525" t="str">
        <f t="shared" ref="T108:U108" si="617">S108</f>
        <v>S.S.4C.TS.Ap.204</v>
      </c>
      <c r="U108" s="477" t="str">
        <f t="shared" si="617"/>
        <v>S.S.4C.TS.Ap.204</v>
      </c>
      <c r="V108" s="525" t="str">
        <f>VLOOKUP("*"&amp;V$5&amp;".Ap."&amp;V107,Check2,1,FALSE)</f>
        <v>O.S.5A.TS.Ap.205</v>
      </c>
      <c r="W108" s="525" t="str">
        <f t="shared" ref="W108" si="618">V108</f>
        <v>O.S.5A.TS.Ap.205</v>
      </c>
      <c r="X108" s="525" t="str">
        <f t="shared" ref="X108" si="619">V108</f>
        <v>O.S.5A.TS.Ap.205</v>
      </c>
      <c r="Y108" s="525" t="str">
        <f>VLOOKUP("*"&amp;Y$5&amp;".Ap."&amp;Y107,Check2,1,FALSE)</f>
        <v>V.GMC.S.5B.TS.Ap.206</v>
      </c>
      <c r="Z108" s="478" t="str">
        <f t="shared" ref="Z108" si="620">Y108</f>
        <v>V.GMC.S.5B.TS.Ap.206</v>
      </c>
      <c r="AA108" s="478" t="str">
        <f t="shared" ref="AA108" si="621">Y108</f>
        <v>V.GMC.S.5B.TS.Ap.206</v>
      </c>
      <c r="AB108" s="479"/>
      <c r="AC108" s="479"/>
      <c r="AD108" s="479"/>
      <c r="AE108" s="479"/>
      <c r="AF108" s="479"/>
      <c r="AG108" s="479"/>
      <c r="AH108" s="479"/>
      <c r="AI108" s="479"/>
      <c r="AJ108" s="479"/>
      <c r="AK108" s="479"/>
      <c r="AL108" s="479"/>
      <c r="AM108" s="479"/>
      <c r="AN108" s="636"/>
      <c r="AO108" s="532" t="str">
        <f>VLOOKUP("*"&amp;AO$5&amp;".Ap."&amp;AO107,Check2,1,FALSE)</f>
        <v>O.S.5B.TN.Ap.197</v>
      </c>
      <c r="AP108" s="477" t="str">
        <f t="shared" ref="AP108" si="622">AO108</f>
        <v>O.S.5B.TN.Ap.197</v>
      </c>
      <c r="AQ108" s="533" t="str">
        <f>VLOOKUP("*"&amp;AQ$5&amp;".Ap."&amp;AQ107,Check2,1,FALSE)</f>
        <v>S.S.5A.TN.Ap.198</v>
      </c>
      <c r="AR108" s="477" t="str">
        <f t="shared" ref="AR108" si="623">AQ108</f>
        <v>S.S.5A.TN.Ap.198</v>
      </c>
      <c r="AS108" s="533" t="str">
        <f>VLOOKUP("*"&amp;AS$5&amp;".Ap."&amp;AS107,Check2,1,FALSE)</f>
        <v>S.S.4C.TN.Ap.199</v>
      </c>
      <c r="AT108" s="476" t="str">
        <f t="shared" ref="AT108:AU108" si="624">AS108</f>
        <v>S.S.4C.TN.Ap.199</v>
      </c>
      <c r="AU108" s="477" t="str">
        <f t="shared" si="624"/>
        <v>S.S.4C.TN.Ap.199</v>
      </c>
      <c r="AV108" s="533" t="str">
        <f>VLOOKUP("*"&amp;AV$5&amp;".Ap."&amp;AV107,Check2,1,FALSE)</f>
        <v>V.GMS.S.2D.TN.Ap.200</v>
      </c>
      <c r="AW108" s="477" t="str">
        <f t="shared" ref="AW108" si="625">AV108</f>
        <v>V.GMS.S.2D.TN.Ap.200</v>
      </c>
      <c r="AX108" s="525" t="str">
        <f>VLOOKUP("*"&amp;AX$5&amp;".Ap."&amp;AX107,Check2,1,FALSE)</f>
        <v>V.GMS.S.3A.TN.Ap.194</v>
      </c>
      <c r="AY108" s="533" t="str">
        <f>VLOOKUP("*"&amp;AY$5&amp;".Ap."&amp;AY107,Check2,1,FALSE)</f>
        <v>S.S.3G.TN.Ap.195</v>
      </c>
      <c r="AZ108" s="476" t="str">
        <f t="shared" ref="AZ108:BA108" si="626">AY108</f>
        <v>S.S.3G.TN.Ap.195</v>
      </c>
      <c r="BA108" s="477" t="str">
        <f t="shared" si="626"/>
        <v>S.S.3G.TN.Ap.195</v>
      </c>
      <c r="BB108" s="533" t="str">
        <f>VLOOKUP("*"&amp;BB$5&amp;".Ap."&amp;BB107,Check2,1,FALSE)</f>
        <v>S.S.3F.TN.Ap.196</v>
      </c>
      <c r="BC108" s="722" t="str">
        <f t="shared" ref="BC108" si="627">BB108</f>
        <v>S.S.3F.TN.Ap.196</v>
      </c>
      <c r="BD108" s="744"/>
      <c r="BE108" s="535"/>
      <c r="BF108" s="535"/>
      <c r="BG108" s="744"/>
      <c r="BH108" s="1082"/>
      <c r="BI108" s="1082"/>
      <c r="BJ108" s="1082"/>
      <c r="BK108" s="561"/>
      <c r="BL108" s="522" t="s">
        <v>89</v>
      </c>
      <c r="BM108" s="723">
        <f t="shared" ref="BM108" si="628">BM112+1</f>
        <v>25</v>
      </c>
      <c r="BN108" s="979"/>
      <c r="BO108" s="484"/>
      <c r="BP108" s="485" t="s">
        <v>89</v>
      </c>
    </row>
    <row r="109" spans="1:68" ht="21.75" x14ac:dyDescent="0.3">
      <c r="A109" s="957"/>
      <c r="B109" s="537"/>
      <c r="C109" s="538" t="s">
        <v>65</v>
      </c>
      <c r="D109" s="562"/>
      <c r="E109" s="1082"/>
      <c r="F109" s="1082"/>
      <c r="G109" s="1082"/>
      <c r="H109" s="563"/>
      <c r="I109" s="563"/>
      <c r="J109" s="563"/>
      <c r="K109" s="563"/>
      <c r="L109" s="488">
        <f>VLOOKUP(L108,Check2,5,FALSE)</f>
        <v>2501</v>
      </c>
      <c r="M109" s="539"/>
      <c r="N109" s="539">
        <f>VLOOKUP(N108,Check2,5,FALSE)</f>
        <v>2502</v>
      </c>
      <c r="O109" s="539"/>
      <c r="P109" s="724">
        <f>VLOOKUP(P108,Check2,5,FALSE)</f>
        <v>2503</v>
      </c>
      <c r="Q109" s="539">
        <f>VLOOKUP(Q108,Check2,5,FALSE)</f>
        <v>2504</v>
      </c>
      <c r="R109" s="539"/>
      <c r="S109" s="539">
        <f>VLOOKUP(S108,Check2,5,FALSE)</f>
        <v>2505</v>
      </c>
      <c r="T109" s="539"/>
      <c r="U109" s="490"/>
      <c r="V109" s="539">
        <f>VLOOKUP(V108,Check2,5,FALSE)</f>
        <v>2506</v>
      </c>
      <c r="W109" s="539"/>
      <c r="X109" s="539"/>
      <c r="Y109" s="539">
        <f>VLOOKUP(Y108,Check2,5,FALSE)</f>
        <v>2507</v>
      </c>
      <c r="Z109" s="491"/>
      <c r="AA109" s="491"/>
      <c r="AB109" s="449"/>
      <c r="AC109" s="449"/>
      <c r="AD109" s="449"/>
      <c r="AE109" s="449"/>
      <c r="AF109" s="449"/>
      <c r="AG109" s="449"/>
      <c r="AH109" s="449"/>
      <c r="AI109" s="449"/>
      <c r="AJ109" s="449"/>
      <c r="AK109" s="449"/>
      <c r="AL109" s="449"/>
      <c r="AM109" s="449"/>
      <c r="AN109" s="637"/>
      <c r="AO109" s="542">
        <f>VLOOKUP(AO108,Check2,5,FALSE)</f>
        <v>2502</v>
      </c>
      <c r="AP109" s="543"/>
      <c r="AQ109" s="589">
        <f>VLOOKUP(AQ108,Check2,5,FALSE)</f>
        <v>2503</v>
      </c>
      <c r="AR109" s="543"/>
      <c r="AS109" s="589">
        <f>VLOOKUP(AS108,Check2,5,FALSE)</f>
        <v>2504</v>
      </c>
      <c r="AT109" s="590"/>
      <c r="AU109" s="584"/>
      <c r="AV109" s="589">
        <f>VLOOKUP(AV108,Check2,5,FALSE)</f>
        <v>2505</v>
      </c>
      <c r="AW109" s="543"/>
      <c r="AX109" s="724">
        <f>VLOOKUP(AX108,Check2,5,FALSE)</f>
        <v>2506</v>
      </c>
      <c r="AY109" s="589">
        <f>VLOOKUP(AY108,Check2,5,FALSE)</f>
        <v>2507</v>
      </c>
      <c r="AZ109" s="590"/>
      <c r="BA109" s="584"/>
      <c r="BB109" s="589">
        <f>VLOOKUP(BB108,Check2,5,FALSE)</f>
        <v>2501</v>
      </c>
      <c r="BC109" s="725"/>
      <c r="BD109" s="745"/>
      <c r="BE109" s="563"/>
      <c r="BF109" s="563"/>
      <c r="BG109" s="745"/>
      <c r="BH109" s="1082"/>
      <c r="BI109" s="1082"/>
      <c r="BJ109" s="1082"/>
      <c r="BK109" s="564"/>
      <c r="BL109" s="544" t="s">
        <v>65</v>
      </c>
      <c r="BM109" s="726"/>
      <c r="BN109" s="979"/>
      <c r="BO109" s="434"/>
      <c r="BP109" s="496" t="s">
        <v>1078</v>
      </c>
    </row>
    <row r="110" spans="1:68" ht="22.5" thickBot="1" x14ac:dyDescent="0.45">
      <c r="A110" s="958"/>
      <c r="B110" s="545">
        <f t="shared" ref="B110" si="629">B114+3.48</f>
        <v>93.52000000000001</v>
      </c>
      <c r="C110" s="546" t="s">
        <v>1</v>
      </c>
      <c r="D110" s="567"/>
      <c r="E110" s="1083"/>
      <c r="F110" s="1083"/>
      <c r="G110" s="1083"/>
      <c r="H110" s="568"/>
      <c r="I110" s="568"/>
      <c r="J110" s="568"/>
      <c r="K110" s="568"/>
      <c r="L110" s="595" t="str">
        <f>VLOOKUP(L108,Check2,6,FALSE)</f>
        <v>3F</v>
      </c>
      <c r="M110" s="548"/>
      <c r="N110" s="548" t="str">
        <f>VLOOKUP(N108,Check2,6,FALSE)</f>
        <v>3G</v>
      </c>
      <c r="O110" s="548"/>
      <c r="P110" s="727" t="str">
        <f>VLOOKUP(P108,Check2,6,FALSE)</f>
        <v>3A</v>
      </c>
      <c r="Q110" s="548" t="str">
        <f>VLOOKUP(Q108,Check2,6,FALSE)</f>
        <v>2D</v>
      </c>
      <c r="R110" s="548"/>
      <c r="S110" s="548" t="str">
        <f>VLOOKUP(S108,Check2,6,FALSE)</f>
        <v>4C</v>
      </c>
      <c r="T110" s="548"/>
      <c r="U110" s="549"/>
      <c r="V110" s="548" t="str">
        <f>VLOOKUP(V108,Check2,6,FALSE)</f>
        <v>5A</v>
      </c>
      <c r="W110" s="548"/>
      <c r="X110" s="548"/>
      <c r="Y110" s="548" t="str">
        <f>VLOOKUP(Y108,Check2,6,FALSE)</f>
        <v>5B</v>
      </c>
      <c r="Z110" s="615"/>
      <c r="AA110" s="615"/>
      <c r="AB110" s="503"/>
      <c r="AC110" s="503"/>
      <c r="AD110" s="503"/>
      <c r="AE110" s="503"/>
      <c r="AF110" s="503"/>
      <c r="AG110" s="503"/>
      <c r="AH110" s="503"/>
      <c r="AI110" s="503"/>
      <c r="AJ110" s="503"/>
      <c r="AK110" s="503"/>
      <c r="AL110" s="503"/>
      <c r="AM110" s="503"/>
      <c r="AN110" s="640"/>
      <c r="AO110" s="551" t="str">
        <f>VLOOKUP(AO108,Check2,6,FALSE)</f>
        <v>5B</v>
      </c>
      <c r="AP110" s="553"/>
      <c r="AQ110" s="603" t="str">
        <f>VLOOKUP(AQ108,Check2,6,FALSE)</f>
        <v>5A</v>
      </c>
      <c r="AR110" s="553"/>
      <c r="AS110" s="603" t="str">
        <f>VLOOKUP(AS108,Check2,6,FALSE)</f>
        <v>4C</v>
      </c>
      <c r="AT110" s="604"/>
      <c r="AU110" s="597"/>
      <c r="AV110" s="603" t="str">
        <f>VLOOKUP(AV108,Check2,6,FALSE)</f>
        <v>2D</v>
      </c>
      <c r="AW110" s="553"/>
      <c r="AX110" s="727" t="str">
        <f>VLOOKUP(AX108,Check2,6,FALSE)</f>
        <v>3A</v>
      </c>
      <c r="AY110" s="603" t="str">
        <f>VLOOKUP(AY108,Check2,6,FALSE)</f>
        <v>3G</v>
      </c>
      <c r="AZ110" s="604"/>
      <c r="BA110" s="597"/>
      <c r="BB110" s="603" t="str">
        <f>VLOOKUP(BB108,Check2,6,FALSE)</f>
        <v>3F</v>
      </c>
      <c r="BC110" s="728"/>
      <c r="BD110" s="746"/>
      <c r="BE110" s="568"/>
      <c r="BF110" s="568"/>
      <c r="BG110" s="746"/>
      <c r="BH110" s="1083"/>
      <c r="BI110" s="1083"/>
      <c r="BJ110" s="1083"/>
      <c r="BK110" s="572"/>
      <c r="BL110" s="555" t="s">
        <v>1</v>
      </c>
      <c r="BM110" s="729">
        <f t="shared" ref="BM110" si="630">BM114+3.48</f>
        <v>93.52000000000001</v>
      </c>
      <c r="BN110" s="980"/>
      <c r="BO110" s="509"/>
      <c r="BP110" s="510" t="s">
        <v>1</v>
      </c>
    </row>
    <row r="111" spans="1:68" ht="25.5" x14ac:dyDescent="0.45">
      <c r="A111" s="957"/>
      <c r="B111" s="511" t="str">
        <f t="shared" ref="B111" si="631">_xlfn.CONCAT("קומה ",B112)</f>
        <v>קומה 24</v>
      </c>
      <c r="C111" s="512" t="s">
        <v>0</v>
      </c>
      <c r="D111" s="556"/>
      <c r="E111" s="1080"/>
      <c r="F111" s="1080"/>
      <c r="G111" s="1080"/>
      <c r="H111" s="557"/>
      <c r="I111" s="557"/>
      <c r="J111" s="557"/>
      <c r="K111" s="557"/>
      <c r="L111" s="460">
        <f t="shared" ref="L111" si="632">L115+7</f>
        <v>193</v>
      </c>
      <c r="M111" s="514"/>
      <c r="N111" s="514">
        <f t="shared" ref="N111" si="633">N115+7</f>
        <v>194</v>
      </c>
      <c r="O111" s="514"/>
      <c r="P111" s="540">
        <f t="shared" ref="P111:Q111" si="634">P115+7</f>
        <v>195</v>
      </c>
      <c r="Q111" s="514">
        <f t="shared" si="634"/>
        <v>196</v>
      </c>
      <c r="R111" s="514"/>
      <c r="S111" s="514">
        <f t="shared" ref="S111" si="635">S115+7</f>
        <v>197</v>
      </c>
      <c r="T111" s="514"/>
      <c r="U111" s="462"/>
      <c r="V111" s="514">
        <f t="shared" ref="V111" si="636">V115+7</f>
        <v>198</v>
      </c>
      <c r="W111" s="514"/>
      <c r="X111" s="514"/>
      <c r="Y111" s="514">
        <f t="shared" ref="Y111" si="637">Y115+7</f>
        <v>199</v>
      </c>
      <c r="Z111" s="463"/>
      <c r="AA111" s="463"/>
      <c r="AB111" s="464"/>
      <c r="AC111" s="464"/>
      <c r="AD111" s="464"/>
      <c r="AE111" s="464"/>
      <c r="AF111" s="464"/>
      <c r="AG111" s="464"/>
      <c r="AH111" s="464"/>
      <c r="AI111" s="464"/>
      <c r="AJ111" s="464"/>
      <c r="AK111" s="464"/>
      <c r="AL111" s="464"/>
      <c r="AM111" s="464"/>
      <c r="AN111" s="626"/>
      <c r="AO111" s="519">
        <f t="shared" ref="AO111" si="638">AO115+7</f>
        <v>190</v>
      </c>
      <c r="AP111" s="520"/>
      <c r="AQ111" s="578">
        <f t="shared" ref="AQ111" si="639">AQ115+7</f>
        <v>191</v>
      </c>
      <c r="AR111" s="520"/>
      <c r="AS111" s="578">
        <f t="shared" ref="AS111" si="640">AS115+7</f>
        <v>192</v>
      </c>
      <c r="AT111" s="461"/>
      <c r="AU111" s="520"/>
      <c r="AV111" s="578">
        <f t="shared" ref="AV111" si="641">AV115+7</f>
        <v>193</v>
      </c>
      <c r="AW111" s="520"/>
      <c r="AX111" s="540">
        <f t="shared" ref="AX111:AY111" si="642">AX115+7</f>
        <v>187</v>
      </c>
      <c r="AY111" s="578">
        <f t="shared" si="642"/>
        <v>188</v>
      </c>
      <c r="AZ111" s="461"/>
      <c r="BA111" s="520"/>
      <c r="BB111" s="578">
        <f t="shared" ref="BB111" si="643">BB115+7</f>
        <v>189</v>
      </c>
      <c r="BC111" s="719"/>
      <c r="BD111" s="733"/>
      <c r="BE111" s="557"/>
      <c r="BF111" s="557"/>
      <c r="BG111" s="733"/>
      <c r="BH111" s="1080"/>
      <c r="BI111" s="1080"/>
      <c r="BJ111" s="1080"/>
      <c r="BK111" s="559"/>
      <c r="BL111" s="522" t="s">
        <v>0</v>
      </c>
      <c r="BM111" s="721" t="str">
        <f t="shared" ref="BM111" si="644">_xlfn.CONCAT("קומה ",BM112)</f>
        <v>קומה 24</v>
      </c>
      <c r="BN111" s="979"/>
      <c r="BO111" s="470"/>
      <c r="BP111" s="471" t="s">
        <v>0</v>
      </c>
    </row>
    <row r="112" spans="1:68" ht="18.75" hidden="1" customHeight="1" x14ac:dyDescent="0.3">
      <c r="A112" s="957"/>
      <c r="B112" s="523">
        <f t="shared" ref="B112" si="645">B116+1</f>
        <v>24</v>
      </c>
      <c r="C112" s="512" t="s">
        <v>89</v>
      </c>
      <c r="D112" s="560"/>
      <c r="E112" s="1078"/>
      <c r="F112" s="1078"/>
      <c r="G112" s="1078"/>
      <c r="H112" s="535"/>
      <c r="I112" s="535"/>
      <c r="J112" s="535"/>
      <c r="K112" s="535"/>
      <c r="L112" s="475" t="str">
        <f>VLOOKUP("*"&amp;L$5&amp;".Ap."&amp;L111,Check2,1,FALSE)</f>
        <v>S.S.3F.TS.Ap.193</v>
      </c>
      <c r="M112" s="525" t="str">
        <f t="shared" ref="M112" si="646">L112</f>
        <v>S.S.3F.TS.Ap.193</v>
      </c>
      <c r="N112" s="525" t="str">
        <f>VLOOKUP("*"&amp;N$5&amp;".Ap."&amp;N111,Check2,1,FALSE)</f>
        <v>S.S.3G.TS.Ap.194</v>
      </c>
      <c r="O112" s="525" t="str">
        <f t="shared" ref="O112" si="647">N112</f>
        <v>S.S.3G.TS.Ap.194</v>
      </c>
      <c r="P112" s="525" t="str">
        <f>VLOOKUP("*"&amp;P$5&amp;".Ap."&amp;P111,Check2,1,FALSE)</f>
        <v>S.S.3A.TS.Ap.195</v>
      </c>
      <c r="Q112" s="525" t="str">
        <f>VLOOKUP("*"&amp;Q$5&amp;".Ap."&amp;Q111,Check2,1,FALSE)</f>
        <v>S.S.2D.TS.Ap.196</v>
      </c>
      <c r="R112" s="525" t="str">
        <f t="shared" ref="R112" si="648">Q112</f>
        <v>S.S.2D.TS.Ap.196</v>
      </c>
      <c r="S112" s="525" t="str">
        <f>VLOOKUP("*"&amp;S$5&amp;".Ap."&amp;S111,Check2,1,FALSE)</f>
        <v>S.S.4C.TS.Ap.197</v>
      </c>
      <c r="T112" s="525" t="str">
        <f t="shared" ref="T112:U112" si="649">S112</f>
        <v>S.S.4C.TS.Ap.197</v>
      </c>
      <c r="U112" s="477" t="str">
        <f t="shared" si="649"/>
        <v>S.S.4C.TS.Ap.197</v>
      </c>
      <c r="V112" s="525" t="str">
        <f>VLOOKUP("*"&amp;V$5&amp;".Ap."&amp;V111,Check2,1,FALSE)</f>
        <v>S.S.5A.TS.Ap.198</v>
      </c>
      <c r="W112" s="525" t="str">
        <f t="shared" ref="W112" si="650">V112</f>
        <v>S.S.5A.TS.Ap.198</v>
      </c>
      <c r="X112" s="525" t="str">
        <f t="shared" ref="X112" si="651">V112</f>
        <v>S.S.5A.TS.Ap.198</v>
      </c>
      <c r="Y112" s="525" t="str">
        <f>VLOOKUP("*"&amp;Y$5&amp;".Ap."&amp;Y111,Check2,1,FALSE)</f>
        <v>V.GMC.S.5B.TS.Ap.199</v>
      </c>
      <c r="Z112" s="478" t="str">
        <f t="shared" ref="Z112" si="652">Y112</f>
        <v>V.GMC.S.5B.TS.Ap.199</v>
      </c>
      <c r="AA112" s="478" t="str">
        <f t="shared" ref="AA112" si="653">Y112</f>
        <v>V.GMC.S.5B.TS.Ap.199</v>
      </c>
      <c r="AB112" s="479"/>
      <c r="AC112" s="479"/>
      <c r="AD112" s="479"/>
      <c r="AE112" s="479"/>
      <c r="AF112" s="479"/>
      <c r="AG112" s="479"/>
      <c r="AH112" s="479"/>
      <c r="AI112" s="479"/>
      <c r="AJ112" s="479"/>
      <c r="AK112" s="479"/>
      <c r="AL112" s="479"/>
      <c r="AM112" s="479"/>
      <c r="AN112" s="636"/>
      <c r="AO112" s="532" t="str">
        <f>VLOOKUP("*"&amp;AO$5&amp;".Ap."&amp;AO111,Check2,1,FALSE)</f>
        <v>V.GMC.S.5B.TN.Ap.190</v>
      </c>
      <c r="AP112" s="477" t="str">
        <f t="shared" ref="AP112" si="654">AO112</f>
        <v>V.GMC.S.5B.TN.Ap.190</v>
      </c>
      <c r="AQ112" s="533" t="str">
        <f>VLOOKUP("*"&amp;AQ$5&amp;".Ap."&amp;AQ111,Check2,1,FALSE)</f>
        <v>S.S.5A.TN.Ap.191</v>
      </c>
      <c r="AR112" s="477" t="str">
        <f t="shared" ref="AR112" si="655">AQ112</f>
        <v>S.S.5A.TN.Ap.191</v>
      </c>
      <c r="AS112" s="533" t="str">
        <f>VLOOKUP("*"&amp;AS$5&amp;".Ap."&amp;AS111,Check2,1,FALSE)</f>
        <v>S.S.4C.TN.Ap.192</v>
      </c>
      <c r="AT112" s="476" t="str">
        <f t="shared" ref="AT112:AU112" si="656">AS112</f>
        <v>S.S.4C.TN.Ap.192</v>
      </c>
      <c r="AU112" s="477" t="str">
        <f t="shared" si="656"/>
        <v>S.S.4C.TN.Ap.192</v>
      </c>
      <c r="AV112" s="533" t="str">
        <f>VLOOKUP("*"&amp;AV$5&amp;".Ap."&amp;AV111,Check2,1,FALSE)</f>
        <v>V.GMS.S.2D.TN.Ap.193</v>
      </c>
      <c r="AW112" s="477" t="str">
        <f t="shared" ref="AW112" si="657">AV112</f>
        <v>V.GMS.S.2D.TN.Ap.193</v>
      </c>
      <c r="AX112" s="525" t="str">
        <f>VLOOKUP("*"&amp;AX$5&amp;".Ap."&amp;AX111,Check2,1,FALSE)</f>
        <v>V.GMS.S.3A.TN.Ap.187</v>
      </c>
      <c r="AY112" s="533" t="str">
        <f>VLOOKUP("*"&amp;AY$5&amp;".Ap."&amp;AY111,Check2,1,FALSE)</f>
        <v>S.S.3G.TN.Ap.188</v>
      </c>
      <c r="AZ112" s="476" t="str">
        <f t="shared" ref="AZ112:BA112" si="658">AY112</f>
        <v>S.S.3G.TN.Ap.188</v>
      </c>
      <c r="BA112" s="477" t="str">
        <f t="shared" si="658"/>
        <v>S.S.3G.TN.Ap.188</v>
      </c>
      <c r="BB112" s="533" t="str">
        <f>VLOOKUP("*"&amp;BB$5&amp;".Ap."&amp;BB111,Check2,1,FALSE)</f>
        <v>S.S.3F.TN.Ap.189</v>
      </c>
      <c r="BC112" s="722" t="str">
        <f t="shared" ref="BC112" si="659">BB112</f>
        <v>S.S.3F.TN.Ap.189</v>
      </c>
      <c r="BD112" s="744"/>
      <c r="BE112" s="535"/>
      <c r="BF112" s="535"/>
      <c r="BG112" s="744"/>
      <c r="BH112" s="1078"/>
      <c r="BI112" s="1078"/>
      <c r="BJ112" s="1078"/>
      <c r="BK112" s="561"/>
      <c r="BL112" s="522" t="s">
        <v>89</v>
      </c>
      <c r="BM112" s="723">
        <f t="shared" ref="BM112" si="660">BM116+1</f>
        <v>24</v>
      </c>
      <c r="BN112" s="979"/>
      <c r="BO112" s="484"/>
      <c r="BP112" s="485" t="s">
        <v>89</v>
      </c>
    </row>
    <row r="113" spans="1:68" ht="21.75" x14ac:dyDescent="0.3">
      <c r="A113" s="957"/>
      <c r="B113" s="537"/>
      <c r="C113" s="538" t="s">
        <v>65</v>
      </c>
      <c r="D113" s="562"/>
      <c r="E113" s="1078"/>
      <c r="F113" s="1078"/>
      <c r="G113" s="1078"/>
      <c r="H113" s="563"/>
      <c r="I113" s="563"/>
      <c r="J113" s="563"/>
      <c r="K113" s="563"/>
      <c r="L113" s="488">
        <f>VLOOKUP(L112,Check2,5,FALSE)</f>
        <v>2401</v>
      </c>
      <c r="M113" s="539"/>
      <c r="N113" s="539">
        <f>VLOOKUP(N112,Check2,5,FALSE)</f>
        <v>2402</v>
      </c>
      <c r="O113" s="539"/>
      <c r="P113" s="724">
        <f>VLOOKUP(P112,Check2,5,FALSE)</f>
        <v>2403</v>
      </c>
      <c r="Q113" s="539">
        <f>VLOOKUP(Q112,Check2,5,FALSE)</f>
        <v>2404</v>
      </c>
      <c r="R113" s="539"/>
      <c r="S113" s="539">
        <f>VLOOKUP(S112,Check2,5,FALSE)</f>
        <v>2405</v>
      </c>
      <c r="T113" s="539"/>
      <c r="U113" s="490"/>
      <c r="V113" s="539">
        <f>VLOOKUP(V112,Check2,5,FALSE)</f>
        <v>2406</v>
      </c>
      <c r="W113" s="539"/>
      <c r="X113" s="539"/>
      <c r="Y113" s="539">
        <f>VLOOKUP(Y112,Check2,5,FALSE)</f>
        <v>2407</v>
      </c>
      <c r="Z113" s="491"/>
      <c r="AA113" s="491"/>
      <c r="AB113" s="449"/>
      <c r="AC113" s="449"/>
      <c r="AD113" s="449"/>
      <c r="AE113" s="449"/>
      <c r="AF113" s="449"/>
      <c r="AG113" s="449"/>
      <c r="AH113" s="449"/>
      <c r="AI113" s="449"/>
      <c r="AJ113" s="449"/>
      <c r="AK113" s="449"/>
      <c r="AL113" s="449"/>
      <c r="AM113" s="449"/>
      <c r="AN113" s="637"/>
      <c r="AO113" s="542">
        <f>VLOOKUP(AO112,Check2,5,FALSE)</f>
        <v>2402</v>
      </c>
      <c r="AP113" s="543"/>
      <c r="AQ113" s="589">
        <f>VLOOKUP(AQ112,Check2,5,FALSE)</f>
        <v>2403</v>
      </c>
      <c r="AR113" s="543"/>
      <c r="AS113" s="589">
        <f>VLOOKUP(AS112,Check2,5,FALSE)</f>
        <v>2404</v>
      </c>
      <c r="AT113" s="590"/>
      <c r="AU113" s="584"/>
      <c r="AV113" s="589">
        <f>VLOOKUP(AV112,Check2,5,FALSE)</f>
        <v>2405</v>
      </c>
      <c r="AW113" s="543"/>
      <c r="AX113" s="724">
        <f>VLOOKUP(AX112,Check2,5,FALSE)</f>
        <v>2406</v>
      </c>
      <c r="AY113" s="589">
        <f>VLOOKUP(AY112,Check2,5,FALSE)</f>
        <v>2407</v>
      </c>
      <c r="AZ113" s="590"/>
      <c r="BA113" s="584"/>
      <c r="BB113" s="589">
        <f>VLOOKUP(BB112,Check2,5,FALSE)</f>
        <v>2401</v>
      </c>
      <c r="BC113" s="725"/>
      <c r="BD113" s="745"/>
      <c r="BE113" s="563"/>
      <c r="BF113" s="563"/>
      <c r="BG113" s="745"/>
      <c r="BH113" s="1078"/>
      <c r="BI113" s="1078"/>
      <c r="BJ113" s="1078"/>
      <c r="BK113" s="564"/>
      <c r="BL113" s="544" t="s">
        <v>65</v>
      </c>
      <c r="BM113" s="726"/>
      <c r="BN113" s="979"/>
      <c r="BO113" s="434"/>
      <c r="BP113" s="496" t="s">
        <v>1078</v>
      </c>
    </row>
    <row r="114" spans="1:68" ht="22.5" thickBot="1" x14ac:dyDescent="0.45">
      <c r="A114" s="958"/>
      <c r="B114" s="545">
        <f t="shared" ref="B114" si="661">B118+3.48</f>
        <v>90.04</v>
      </c>
      <c r="C114" s="546" t="s">
        <v>1</v>
      </c>
      <c r="D114" s="567"/>
      <c r="E114" s="1079"/>
      <c r="F114" s="1079"/>
      <c r="G114" s="1079"/>
      <c r="H114" s="568"/>
      <c r="I114" s="568"/>
      <c r="J114" s="568"/>
      <c r="K114" s="568"/>
      <c r="L114" s="595" t="str">
        <f>VLOOKUP(L112,Check2,6,FALSE)</f>
        <v>3F</v>
      </c>
      <c r="M114" s="548"/>
      <c r="N114" s="548" t="str">
        <f>VLOOKUP(N112,Check2,6,FALSE)</f>
        <v>3G</v>
      </c>
      <c r="O114" s="548"/>
      <c r="P114" s="727" t="str">
        <f>VLOOKUP(P112,Check2,6,FALSE)</f>
        <v>3A</v>
      </c>
      <c r="Q114" s="548" t="str">
        <f>VLOOKUP(Q112,Check2,6,FALSE)</f>
        <v>2D</v>
      </c>
      <c r="R114" s="548"/>
      <c r="S114" s="548" t="str">
        <f>VLOOKUP(S112,Check2,6,FALSE)</f>
        <v>4C</v>
      </c>
      <c r="T114" s="548"/>
      <c r="U114" s="549"/>
      <c r="V114" s="548" t="str">
        <f>VLOOKUP(V112,Check2,6,FALSE)</f>
        <v>5A</v>
      </c>
      <c r="W114" s="548"/>
      <c r="X114" s="548"/>
      <c r="Y114" s="548" t="str">
        <f>VLOOKUP(Y112,Check2,6,FALSE)</f>
        <v>5B</v>
      </c>
      <c r="Z114" s="615"/>
      <c r="AA114" s="615"/>
      <c r="AB114" s="503"/>
      <c r="AC114" s="503"/>
      <c r="AD114" s="503"/>
      <c r="AE114" s="503"/>
      <c r="AF114" s="503"/>
      <c r="AG114" s="503"/>
      <c r="AH114" s="503"/>
      <c r="AI114" s="503"/>
      <c r="AJ114" s="503"/>
      <c r="AK114" s="503"/>
      <c r="AL114" s="503"/>
      <c r="AM114" s="503"/>
      <c r="AN114" s="640"/>
      <c r="AO114" s="551" t="str">
        <f>VLOOKUP(AO112,Check2,6,FALSE)</f>
        <v>5B</v>
      </c>
      <c r="AP114" s="553"/>
      <c r="AQ114" s="603" t="str">
        <f>VLOOKUP(AQ112,Check2,6,FALSE)</f>
        <v>5A</v>
      </c>
      <c r="AR114" s="553"/>
      <c r="AS114" s="603" t="str">
        <f>VLOOKUP(AS112,Check2,6,FALSE)</f>
        <v>4C</v>
      </c>
      <c r="AT114" s="604"/>
      <c r="AU114" s="597"/>
      <c r="AV114" s="603" t="str">
        <f>VLOOKUP(AV112,Check2,6,FALSE)</f>
        <v>2D</v>
      </c>
      <c r="AW114" s="553"/>
      <c r="AX114" s="727" t="str">
        <f>VLOOKUP(AX112,Check2,6,FALSE)</f>
        <v>3A</v>
      </c>
      <c r="AY114" s="603" t="str">
        <f>VLOOKUP(AY112,Check2,6,FALSE)</f>
        <v>3G</v>
      </c>
      <c r="AZ114" s="604"/>
      <c r="BA114" s="597"/>
      <c r="BB114" s="603" t="str">
        <f>VLOOKUP(BB112,Check2,6,FALSE)</f>
        <v>3F</v>
      </c>
      <c r="BC114" s="728"/>
      <c r="BD114" s="746"/>
      <c r="BE114" s="568"/>
      <c r="BF114" s="568"/>
      <c r="BG114" s="746"/>
      <c r="BH114" s="1079"/>
      <c r="BI114" s="1079"/>
      <c r="BJ114" s="1079"/>
      <c r="BK114" s="572"/>
      <c r="BL114" s="555" t="s">
        <v>1</v>
      </c>
      <c r="BM114" s="729">
        <f t="shared" ref="BM114" si="662">BM118+3.48</f>
        <v>90.04</v>
      </c>
      <c r="BN114" s="980"/>
      <c r="BO114" s="509"/>
      <c r="BP114" s="510" t="s">
        <v>1</v>
      </c>
    </row>
    <row r="115" spans="1:68" ht="25.5" x14ac:dyDescent="0.45">
      <c r="A115" s="957"/>
      <c r="B115" s="511" t="str">
        <f t="shared" ref="B115" si="663">_xlfn.CONCAT("קומה ",B116)</f>
        <v>קומה 23</v>
      </c>
      <c r="C115" s="512" t="s">
        <v>0</v>
      </c>
      <c r="D115" s="556"/>
      <c r="E115" s="1080"/>
      <c r="F115" s="1080"/>
      <c r="G115" s="1080"/>
      <c r="H115" s="557"/>
      <c r="I115" s="557"/>
      <c r="J115" s="557"/>
      <c r="K115" s="557"/>
      <c r="L115" s="460">
        <f>L119+7</f>
        <v>186</v>
      </c>
      <c r="M115" s="514"/>
      <c r="N115" s="514">
        <f>N119+7</f>
        <v>187</v>
      </c>
      <c r="O115" s="514"/>
      <c r="P115" s="540">
        <f>P119+7</f>
        <v>188</v>
      </c>
      <c r="Q115" s="514">
        <f>Q119+7</f>
        <v>189</v>
      </c>
      <c r="R115" s="514"/>
      <c r="S115" s="514">
        <f>S119+7</f>
        <v>190</v>
      </c>
      <c r="T115" s="514"/>
      <c r="U115" s="462"/>
      <c r="V115" s="514">
        <f>V119+7</f>
        <v>191</v>
      </c>
      <c r="W115" s="514"/>
      <c r="X115" s="514"/>
      <c r="Y115" s="514">
        <f>Y119+7</f>
        <v>192</v>
      </c>
      <c r="Z115" s="463"/>
      <c r="AA115" s="463"/>
      <c r="AB115" s="464"/>
      <c r="AC115" s="464"/>
      <c r="AD115" s="464"/>
      <c r="AE115" s="464"/>
      <c r="AF115" s="464"/>
      <c r="AG115" s="464"/>
      <c r="AH115" s="464"/>
      <c r="AI115" s="464"/>
      <c r="AJ115" s="464"/>
      <c r="AK115" s="464"/>
      <c r="AL115" s="464"/>
      <c r="AM115" s="464"/>
      <c r="AN115" s="626"/>
      <c r="AO115" s="519">
        <f t="shared" ref="AO115" si="664">AO119+7</f>
        <v>183</v>
      </c>
      <c r="AP115" s="520"/>
      <c r="AQ115" s="578">
        <f t="shared" ref="AQ115" si="665">AQ119+7</f>
        <v>184</v>
      </c>
      <c r="AR115" s="520"/>
      <c r="AS115" s="578">
        <f t="shared" ref="AS115" si="666">AS119+7</f>
        <v>185</v>
      </c>
      <c r="AT115" s="461"/>
      <c r="AU115" s="520"/>
      <c r="AV115" s="578">
        <f t="shared" ref="AV115" si="667">AV119+7</f>
        <v>186</v>
      </c>
      <c r="AW115" s="520"/>
      <c r="AX115" s="540">
        <f t="shared" ref="AX115:AY115" si="668">AX119+7</f>
        <v>180</v>
      </c>
      <c r="AY115" s="578">
        <f t="shared" si="668"/>
        <v>181</v>
      </c>
      <c r="AZ115" s="461"/>
      <c r="BA115" s="520"/>
      <c r="BB115" s="578">
        <f t="shared" ref="BB115" si="669">BB119+7</f>
        <v>182</v>
      </c>
      <c r="BC115" s="719"/>
      <c r="BD115" s="733"/>
      <c r="BE115" s="557"/>
      <c r="BF115" s="557"/>
      <c r="BG115" s="733"/>
      <c r="BH115" s="1080"/>
      <c r="BI115" s="1080"/>
      <c r="BJ115" s="1080"/>
      <c r="BK115" s="559"/>
      <c r="BL115" s="522" t="s">
        <v>0</v>
      </c>
      <c r="BM115" s="721" t="str">
        <f t="shared" ref="BM115" si="670">_xlfn.CONCAT("קומה ",BM116)</f>
        <v>קומה 23</v>
      </c>
      <c r="BN115" s="979"/>
      <c r="BO115" s="470"/>
      <c r="BP115" s="471" t="s">
        <v>0</v>
      </c>
    </row>
    <row r="116" spans="1:68" ht="18.75" hidden="1" customHeight="1" x14ac:dyDescent="0.3">
      <c r="A116" s="957"/>
      <c r="B116" s="523">
        <f t="shared" ref="B116" si="671">B120+1</f>
        <v>23</v>
      </c>
      <c r="C116" s="512" t="s">
        <v>89</v>
      </c>
      <c r="D116" s="560"/>
      <c r="E116" s="1078"/>
      <c r="F116" s="1078"/>
      <c r="G116" s="1078"/>
      <c r="H116" s="535"/>
      <c r="I116" s="535"/>
      <c r="J116" s="535"/>
      <c r="K116" s="535"/>
      <c r="L116" s="475" t="str">
        <f>VLOOKUP("*"&amp;L$5&amp;".Ap."&amp;L115,Check2,1,FALSE)</f>
        <v>O.S.3F.TS.Ap.186</v>
      </c>
      <c r="M116" s="525" t="str">
        <f t="shared" ref="M116" si="672">L116</f>
        <v>O.S.3F.TS.Ap.186</v>
      </c>
      <c r="N116" s="525" t="str">
        <f>VLOOKUP("*"&amp;N$5&amp;".Ap."&amp;N115,Check2,1,FALSE)</f>
        <v>S.S.3G.TS.Ap.187</v>
      </c>
      <c r="O116" s="525" t="str">
        <f t="shared" ref="O116" si="673">N116</f>
        <v>S.S.3G.TS.Ap.187</v>
      </c>
      <c r="P116" s="525" t="str">
        <f>VLOOKUP("*"&amp;P$5&amp;".Ap."&amp;P115,Check2,1,FALSE)</f>
        <v>S.S.3A.TS.Ap.188</v>
      </c>
      <c r="Q116" s="525" t="str">
        <f>VLOOKUP("*"&amp;Q$5&amp;".Ap."&amp;Q115,Check2,1,FALSE)</f>
        <v>V.GMC.S.2D.TS.Ap.189</v>
      </c>
      <c r="R116" s="525" t="str">
        <f t="shared" ref="R116" si="674">Q116</f>
        <v>V.GMC.S.2D.TS.Ap.189</v>
      </c>
      <c r="S116" s="525" t="str">
        <f>VLOOKUP("*"&amp;S$5&amp;".Ap."&amp;S115,Check2,1,FALSE)</f>
        <v>S.S.4C.TS.Ap.190</v>
      </c>
      <c r="T116" s="525" t="str">
        <f t="shared" ref="T116:U116" si="675">S116</f>
        <v>S.S.4C.TS.Ap.190</v>
      </c>
      <c r="U116" s="477" t="str">
        <f t="shared" si="675"/>
        <v>S.S.4C.TS.Ap.190</v>
      </c>
      <c r="V116" s="525" t="str">
        <f>VLOOKUP("*"&amp;V$5&amp;".Ap."&amp;V115,Check2,1,FALSE)</f>
        <v>S.S.5A.TS.Ap.191</v>
      </c>
      <c r="W116" s="525" t="str">
        <f>V116</f>
        <v>S.S.5A.TS.Ap.191</v>
      </c>
      <c r="X116" s="525" t="str">
        <f>V116</f>
        <v>S.S.5A.TS.Ap.191</v>
      </c>
      <c r="Y116" s="525" t="str">
        <f>VLOOKUP("*"&amp;Y$5&amp;".Ap."&amp;Y115,Check2,1,FALSE)</f>
        <v>S.S.5B.TS.Ap.192</v>
      </c>
      <c r="Z116" s="478" t="str">
        <f>Y116</f>
        <v>S.S.5B.TS.Ap.192</v>
      </c>
      <c r="AA116" s="478" t="str">
        <f>Y116</f>
        <v>S.S.5B.TS.Ap.192</v>
      </c>
      <c r="AB116" s="479"/>
      <c r="AC116" s="479"/>
      <c r="AD116" s="479"/>
      <c r="AE116" s="479"/>
      <c r="AF116" s="479"/>
      <c r="AG116" s="479"/>
      <c r="AH116" s="479"/>
      <c r="AI116" s="479"/>
      <c r="AJ116" s="479"/>
      <c r="AK116" s="479"/>
      <c r="AL116" s="479"/>
      <c r="AM116" s="479"/>
      <c r="AN116" s="636"/>
      <c r="AO116" s="532" t="str">
        <f>VLOOKUP("*"&amp;AO$5&amp;".Ap."&amp;AO115,Check2,1,FALSE)</f>
        <v>V.GMC.S.5B.TN.Ap.183</v>
      </c>
      <c r="AP116" s="477" t="str">
        <f t="shared" ref="AP116" si="676">AO116</f>
        <v>V.GMC.S.5B.TN.Ap.183</v>
      </c>
      <c r="AQ116" s="533" t="str">
        <f>VLOOKUP("*"&amp;AQ$5&amp;".Ap."&amp;AQ115,Check2,1,FALSE)</f>
        <v>S.S.5A.TN.Ap.184</v>
      </c>
      <c r="AR116" s="477" t="str">
        <f t="shared" ref="AR116" si="677">AQ116</f>
        <v>S.S.5A.TN.Ap.184</v>
      </c>
      <c r="AS116" s="533" t="str">
        <f>VLOOKUP("*"&amp;AS$5&amp;".Ap."&amp;AS115,Check2,1,FALSE)</f>
        <v>S.S.4C.TN.Ap.185</v>
      </c>
      <c r="AT116" s="476" t="str">
        <f t="shared" ref="AT116:AU116" si="678">AS116</f>
        <v>S.S.4C.TN.Ap.185</v>
      </c>
      <c r="AU116" s="477" t="str">
        <f t="shared" si="678"/>
        <v>S.S.4C.TN.Ap.185</v>
      </c>
      <c r="AV116" s="533" t="str">
        <f>VLOOKUP("*"&amp;AV$5&amp;".Ap."&amp;AV115,Check2,1,FALSE)</f>
        <v>S.S.2D.TN.Ap.186</v>
      </c>
      <c r="AW116" s="477" t="str">
        <f t="shared" ref="AW116" si="679">AV116</f>
        <v>S.S.2D.TN.Ap.186</v>
      </c>
      <c r="AX116" s="525" t="str">
        <f>VLOOKUP("*"&amp;AX$5&amp;".Ap."&amp;AX115,Check2,1,FALSE)</f>
        <v>V.GMS.S.3A.TN.Ap.180</v>
      </c>
      <c r="AY116" s="533" t="str">
        <f>VLOOKUP("*"&amp;AY$5&amp;".Ap."&amp;AY115,Check2,1,FALSE)</f>
        <v>S.S.3G.TN.Ap.181</v>
      </c>
      <c r="AZ116" s="476" t="str">
        <f t="shared" ref="AZ116:BA116" si="680">AY116</f>
        <v>S.S.3G.TN.Ap.181</v>
      </c>
      <c r="BA116" s="477" t="str">
        <f t="shared" si="680"/>
        <v>S.S.3G.TN.Ap.181</v>
      </c>
      <c r="BB116" s="533" t="str">
        <f>VLOOKUP("*"&amp;BB$5&amp;".Ap."&amp;BB115,Check2,1,FALSE)</f>
        <v>S.S.3F.TN.Ap.182</v>
      </c>
      <c r="BC116" s="722" t="str">
        <f t="shared" ref="BC116" si="681">BB116</f>
        <v>S.S.3F.TN.Ap.182</v>
      </c>
      <c r="BD116" s="744"/>
      <c r="BE116" s="535"/>
      <c r="BF116" s="535"/>
      <c r="BG116" s="744"/>
      <c r="BH116" s="1078"/>
      <c r="BI116" s="1078"/>
      <c r="BJ116" s="1078"/>
      <c r="BK116" s="561"/>
      <c r="BL116" s="522" t="s">
        <v>89</v>
      </c>
      <c r="BM116" s="723">
        <f t="shared" ref="BM116" si="682">BM120+1</f>
        <v>23</v>
      </c>
      <c r="BN116" s="979"/>
      <c r="BO116" s="484"/>
      <c r="BP116" s="485" t="s">
        <v>89</v>
      </c>
    </row>
    <row r="117" spans="1:68" ht="21.75" x14ac:dyDescent="0.3">
      <c r="A117" s="957"/>
      <c r="B117" s="537"/>
      <c r="C117" s="538" t="s">
        <v>65</v>
      </c>
      <c r="D117" s="562"/>
      <c r="E117" s="1078"/>
      <c r="F117" s="1078"/>
      <c r="G117" s="1078"/>
      <c r="H117" s="563"/>
      <c r="I117" s="563"/>
      <c r="J117" s="563"/>
      <c r="K117" s="563"/>
      <c r="L117" s="488">
        <f>VLOOKUP(L116,Check2,5,FALSE)</f>
        <v>2301</v>
      </c>
      <c r="M117" s="539"/>
      <c r="N117" s="539">
        <f>VLOOKUP(N116,Check2,5,FALSE)</f>
        <v>2302</v>
      </c>
      <c r="O117" s="539"/>
      <c r="P117" s="724">
        <f>VLOOKUP(P116,Check2,5,FALSE)</f>
        <v>2303</v>
      </c>
      <c r="Q117" s="539">
        <f>VLOOKUP(Q116,Check2,5,FALSE)</f>
        <v>2304</v>
      </c>
      <c r="R117" s="539"/>
      <c r="S117" s="539">
        <f>VLOOKUP(S116,Check2,5,FALSE)</f>
        <v>2305</v>
      </c>
      <c r="T117" s="539"/>
      <c r="U117" s="490"/>
      <c r="V117" s="539">
        <f>VLOOKUP(V116,Check2,5,FALSE)</f>
        <v>2306</v>
      </c>
      <c r="W117" s="539"/>
      <c r="X117" s="539"/>
      <c r="Y117" s="539">
        <f>VLOOKUP(Y116,Check2,5,FALSE)</f>
        <v>2307</v>
      </c>
      <c r="Z117" s="491"/>
      <c r="AA117" s="491"/>
      <c r="AB117" s="449"/>
      <c r="AC117" s="449"/>
      <c r="AD117" s="449"/>
      <c r="AE117" s="449"/>
      <c r="AF117" s="449"/>
      <c r="AG117" s="449"/>
      <c r="AH117" s="449"/>
      <c r="AI117" s="449"/>
      <c r="AJ117" s="449"/>
      <c r="AK117" s="449"/>
      <c r="AL117" s="449"/>
      <c r="AM117" s="449"/>
      <c r="AN117" s="637"/>
      <c r="AO117" s="542">
        <f>VLOOKUP(AO116,Check2,5,FALSE)</f>
        <v>2302</v>
      </c>
      <c r="AP117" s="543"/>
      <c r="AQ117" s="589">
        <f>VLOOKUP(AQ116,Check2,5,FALSE)</f>
        <v>2303</v>
      </c>
      <c r="AR117" s="543"/>
      <c r="AS117" s="589">
        <f>VLOOKUP(AS116,Check2,5,FALSE)</f>
        <v>2304</v>
      </c>
      <c r="AT117" s="590"/>
      <c r="AU117" s="584"/>
      <c r="AV117" s="589">
        <f>VLOOKUP(AV116,Check2,5,FALSE)</f>
        <v>2305</v>
      </c>
      <c r="AW117" s="543"/>
      <c r="AX117" s="724">
        <f>VLOOKUP(AX116,Check2,5,FALSE)</f>
        <v>2306</v>
      </c>
      <c r="AY117" s="589">
        <f>VLOOKUP(AY116,Check2,5,FALSE)</f>
        <v>2307</v>
      </c>
      <c r="AZ117" s="590"/>
      <c r="BA117" s="584"/>
      <c r="BB117" s="589">
        <f>VLOOKUP(BB116,Check2,5,FALSE)</f>
        <v>2301</v>
      </c>
      <c r="BC117" s="725"/>
      <c r="BD117" s="745"/>
      <c r="BE117" s="563"/>
      <c r="BF117" s="563"/>
      <c r="BG117" s="745"/>
      <c r="BH117" s="1078"/>
      <c r="BI117" s="1078"/>
      <c r="BJ117" s="1078"/>
      <c r="BK117" s="564"/>
      <c r="BL117" s="544" t="s">
        <v>65</v>
      </c>
      <c r="BM117" s="726"/>
      <c r="BN117" s="979"/>
      <c r="BO117" s="434"/>
      <c r="BP117" s="496" t="s">
        <v>1078</v>
      </c>
    </row>
    <row r="118" spans="1:68" ht="22.5" thickBot="1" x14ac:dyDescent="0.45">
      <c r="A118" s="958"/>
      <c r="B118" s="545">
        <f t="shared" ref="B118" si="683">B122+3.48</f>
        <v>86.56</v>
      </c>
      <c r="C118" s="546" t="s">
        <v>1</v>
      </c>
      <c r="D118" s="567"/>
      <c r="E118" s="1079"/>
      <c r="F118" s="1079"/>
      <c r="G118" s="1079"/>
      <c r="H118" s="568"/>
      <c r="I118" s="568"/>
      <c r="J118" s="568"/>
      <c r="K118" s="568"/>
      <c r="L118" s="595" t="str">
        <f>VLOOKUP(L116,Check2,6,FALSE)</f>
        <v>3F</v>
      </c>
      <c r="M118" s="548"/>
      <c r="N118" s="548" t="str">
        <f>VLOOKUP(N116,Check2,6,FALSE)</f>
        <v>3G</v>
      </c>
      <c r="O118" s="548"/>
      <c r="P118" s="727" t="str">
        <f>VLOOKUP(P116,Check2,6,FALSE)</f>
        <v>3A</v>
      </c>
      <c r="Q118" s="548" t="str">
        <f>VLOOKUP(Q116,Check2,6,FALSE)</f>
        <v>2D</v>
      </c>
      <c r="R118" s="548"/>
      <c r="S118" s="548" t="str">
        <f>VLOOKUP(S116,Check2,6,FALSE)</f>
        <v>4C</v>
      </c>
      <c r="T118" s="548"/>
      <c r="U118" s="549"/>
      <c r="V118" s="548" t="str">
        <f>VLOOKUP(V116,Check2,6,FALSE)</f>
        <v>5A</v>
      </c>
      <c r="W118" s="548"/>
      <c r="X118" s="548"/>
      <c r="Y118" s="548" t="str">
        <f>VLOOKUP(Y116,Check2,6,FALSE)</f>
        <v>5B</v>
      </c>
      <c r="Z118" s="615"/>
      <c r="AA118" s="615"/>
      <c r="AB118" s="503"/>
      <c r="AC118" s="503"/>
      <c r="AD118" s="503"/>
      <c r="AE118" s="503"/>
      <c r="AF118" s="503"/>
      <c r="AG118" s="503"/>
      <c r="AH118" s="503"/>
      <c r="AI118" s="503"/>
      <c r="AJ118" s="503"/>
      <c r="AK118" s="503"/>
      <c r="AL118" s="503"/>
      <c r="AM118" s="503"/>
      <c r="AN118" s="640"/>
      <c r="AO118" s="551" t="str">
        <f>VLOOKUP(AO116,Check2,6,FALSE)</f>
        <v>5B</v>
      </c>
      <c r="AP118" s="553"/>
      <c r="AQ118" s="603" t="str">
        <f>VLOOKUP(AQ116,Check2,6,FALSE)</f>
        <v>5A</v>
      </c>
      <c r="AR118" s="553"/>
      <c r="AS118" s="603" t="str">
        <f>VLOOKUP(AS116,Check2,6,FALSE)</f>
        <v>4C</v>
      </c>
      <c r="AT118" s="604"/>
      <c r="AU118" s="597"/>
      <c r="AV118" s="603" t="str">
        <f>VLOOKUP(AV116,Check2,6,FALSE)</f>
        <v>2D</v>
      </c>
      <c r="AW118" s="553"/>
      <c r="AX118" s="727" t="str">
        <f>VLOOKUP(AX116,Check2,6,FALSE)</f>
        <v>3A</v>
      </c>
      <c r="AY118" s="603" t="str">
        <f>VLOOKUP(AY116,Check2,6,FALSE)</f>
        <v>3G</v>
      </c>
      <c r="AZ118" s="604"/>
      <c r="BA118" s="597"/>
      <c r="BB118" s="603" t="str">
        <f>VLOOKUP(BB116,Check2,6,FALSE)</f>
        <v>3F</v>
      </c>
      <c r="BC118" s="728"/>
      <c r="BD118" s="746"/>
      <c r="BE118" s="568"/>
      <c r="BF118" s="568"/>
      <c r="BG118" s="746"/>
      <c r="BH118" s="1079"/>
      <c r="BI118" s="1079"/>
      <c r="BJ118" s="1079"/>
      <c r="BK118" s="572"/>
      <c r="BL118" s="555" t="s">
        <v>1</v>
      </c>
      <c r="BM118" s="729">
        <f t="shared" ref="BM118" si="684">BM122+3.48</f>
        <v>86.56</v>
      </c>
      <c r="BN118" s="980"/>
      <c r="BO118" s="509"/>
      <c r="BP118" s="510" t="s">
        <v>1</v>
      </c>
    </row>
    <row r="119" spans="1:68" ht="25.5" x14ac:dyDescent="0.45">
      <c r="A119" s="957"/>
      <c r="B119" s="511" t="str">
        <f t="shared" ref="B119" si="685">_xlfn.CONCAT("קומה ",B120)</f>
        <v>קומה 22</v>
      </c>
      <c r="C119" s="512" t="s">
        <v>0</v>
      </c>
      <c r="D119" s="556"/>
      <c r="E119" s="1081" t="s">
        <v>1076</v>
      </c>
      <c r="F119" s="1081" t="s">
        <v>1076</v>
      </c>
      <c r="G119" s="1081" t="s">
        <v>1076</v>
      </c>
      <c r="H119" s="557"/>
      <c r="I119" s="557"/>
      <c r="J119" s="557"/>
      <c r="K119" s="557"/>
      <c r="L119" s="460">
        <v>179</v>
      </c>
      <c r="M119" s="514"/>
      <c r="N119" s="514">
        <v>180</v>
      </c>
      <c r="O119" s="514"/>
      <c r="P119" s="540">
        <v>181</v>
      </c>
      <c r="Q119" s="514">
        <v>182</v>
      </c>
      <c r="R119" s="514"/>
      <c r="S119" s="514">
        <v>183</v>
      </c>
      <c r="T119" s="514"/>
      <c r="U119" s="462"/>
      <c r="V119" s="514">
        <v>184</v>
      </c>
      <c r="W119" s="514"/>
      <c r="X119" s="514"/>
      <c r="Y119" s="514">
        <v>185</v>
      </c>
      <c r="Z119" s="463"/>
      <c r="AA119" s="463"/>
      <c r="AB119" s="464"/>
      <c r="AC119" s="464"/>
      <c r="AD119" s="464"/>
      <c r="AE119" s="464"/>
      <c r="AF119" s="464"/>
      <c r="AG119" s="464"/>
      <c r="AH119" s="464"/>
      <c r="AI119" s="464"/>
      <c r="AJ119" s="464"/>
      <c r="AK119" s="464"/>
      <c r="AL119" s="464"/>
      <c r="AM119" s="464"/>
      <c r="AN119" s="626"/>
      <c r="AO119" s="519">
        <f t="shared" ref="AO119" si="686">AO123+7</f>
        <v>176</v>
      </c>
      <c r="AP119" s="520"/>
      <c r="AQ119" s="578">
        <f t="shared" ref="AQ119" si="687">AQ123+7</f>
        <v>177</v>
      </c>
      <c r="AR119" s="520"/>
      <c r="AS119" s="578">
        <f t="shared" ref="AS119" si="688">AS123+7</f>
        <v>178</v>
      </c>
      <c r="AT119" s="461"/>
      <c r="AU119" s="520"/>
      <c r="AV119" s="578">
        <f t="shared" ref="AV119" si="689">AV123+7</f>
        <v>179</v>
      </c>
      <c r="AW119" s="520"/>
      <c r="AX119" s="540">
        <f t="shared" ref="AX119:AY119" si="690">AX123+7</f>
        <v>173</v>
      </c>
      <c r="AY119" s="578">
        <f t="shared" si="690"/>
        <v>174</v>
      </c>
      <c r="AZ119" s="461"/>
      <c r="BA119" s="520"/>
      <c r="BB119" s="578">
        <f t="shared" ref="BB119" si="691">BB123+7</f>
        <v>175</v>
      </c>
      <c r="BC119" s="719"/>
      <c r="BD119" s="733"/>
      <c r="BE119" s="557"/>
      <c r="BF119" s="557"/>
      <c r="BG119" s="733"/>
      <c r="BH119" s="1081" t="s">
        <v>1076</v>
      </c>
      <c r="BI119" s="1081" t="s">
        <v>1076</v>
      </c>
      <c r="BJ119" s="1081" t="s">
        <v>1076</v>
      </c>
      <c r="BK119" s="559"/>
      <c r="BL119" s="522" t="s">
        <v>0</v>
      </c>
      <c r="BM119" s="721" t="str">
        <f t="shared" ref="BM119" si="692">_xlfn.CONCAT("קומה ",BM120)</f>
        <v>קומה 22</v>
      </c>
      <c r="BN119" s="979"/>
      <c r="BO119" s="470"/>
      <c r="BP119" s="471" t="s">
        <v>0</v>
      </c>
    </row>
    <row r="120" spans="1:68" ht="18.75" hidden="1" customHeight="1" x14ac:dyDescent="0.3">
      <c r="A120" s="957"/>
      <c r="B120" s="523">
        <f t="shared" ref="B120" si="693">B124+1</f>
        <v>22</v>
      </c>
      <c r="C120" s="512" t="s">
        <v>89</v>
      </c>
      <c r="D120" s="560"/>
      <c r="E120" s="1082"/>
      <c r="F120" s="1082"/>
      <c r="G120" s="1082"/>
      <c r="H120" s="535"/>
      <c r="I120" s="535"/>
      <c r="J120" s="535"/>
      <c r="K120" s="535"/>
      <c r="L120" s="475" t="str">
        <f>VLOOKUP("*"&amp;L$5&amp;".Ap."&amp;L119,Check2,1,FALSE)</f>
        <v>O.S.3F.TS.Ap.179</v>
      </c>
      <c r="M120" s="525" t="str">
        <f t="shared" ref="M120" si="694">L120</f>
        <v>O.S.3F.TS.Ap.179</v>
      </c>
      <c r="N120" s="525" t="str">
        <f>VLOOKUP("*"&amp;N$5&amp;".Ap."&amp;N119,Check2,1,FALSE)</f>
        <v>S.S.3G.TS.Ap.180</v>
      </c>
      <c r="O120" s="525" t="str">
        <f t="shared" ref="O120" si="695">N120</f>
        <v>S.S.3G.TS.Ap.180</v>
      </c>
      <c r="P120" s="525" t="str">
        <f>VLOOKUP("*"&amp;P$5&amp;".Ap."&amp;P119,Check2,1,FALSE)</f>
        <v>V.GMS.S.3A.TS.Ap.181</v>
      </c>
      <c r="Q120" s="525" t="str">
        <f>VLOOKUP("*"&amp;Q$5&amp;".Ap."&amp;Q119,Check2,1,FALSE)</f>
        <v>O.S.2D.TS.Ap.182</v>
      </c>
      <c r="R120" s="525" t="str">
        <f t="shared" ref="R120" si="696">Q120</f>
        <v>O.S.2D.TS.Ap.182</v>
      </c>
      <c r="S120" s="525" t="str">
        <f>VLOOKUP("*"&amp;S$5&amp;".Ap."&amp;S119,Check2,1,FALSE)</f>
        <v>S.S.4C.TS.Ap.183</v>
      </c>
      <c r="T120" s="525" t="str">
        <f t="shared" ref="T120:U120" si="697">S120</f>
        <v>S.S.4C.TS.Ap.183</v>
      </c>
      <c r="U120" s="477" t="str">
        <f t="shared" si="697"/>
        <v>S.S.4C.TS.Ap.183</v>
      </c>
      <c r="V120" s="525" t="str">
        <f>VLOOKUP("*"&amp;V$5&amp;".Ap."&amp;V119,Check2,1,FALSE)</f>
        <v>S.S.5A.TS.Ap.184</v>
      </c>
      <c r="W120" s="525" t="str">
        <f>V120</f>
        <v>S.S.5A.TS.Ap.184</v>
      </c>
      <c r="X120" s="525" t="str">
        <f t="shared" ref="X120" si="698">V120</f>
        <v>S.S.5A.TS.Ap.184</v>
      </c>
      <c r="Y120" s="525" t="str">
        <f>VLOOKUP("*"&amp;Y$5&amp;".Ap."&amp;Y119,Check2,1,FALSE)</f>
        <v>S.S.5B.TS.Ap.185</v>
      </c>
      <c r="Z120" s="478" t="str">
        <f>Y120</f>
        <v>S.S.5B.TS.Ap.185</v>
      </c>
      <c r="AA120" s="478" t="str">
        <f>Y120</f>
        <v>S.S.5B.TS.Ap.185</v>
      </c>
      <c r="AB120" s="479"/>
      <c r="AC120" s="479"/>
      <c r="AD120" s="479"/>
      <c r="AE120" s="479"/>
      <c r="AF120" s="479"/>
      <c r="AG120" s="479"/>
      <c r="AH120" s="479"/>
      <c r="AI120" s="479"/>
      <c r="AJ120" s="479"/>
      <c r="AK120" s="479"/>
      <c r="AL120" s="479"/>
      <c r="AM120" s="479"/>
      <c r="AN120" s="636"/>
      <c r="AO120" s="532" t="str">
        <f>VLOOKUP("*"&amp;AO$5&amp;".Ap."&amp;AO119,Check2,1,FALSE)</f>
        <v>O.S.5B.TN.Ap.176</v>
      </c>
      <c r="AP120" s="477" t="str">
        <f t="shared" ref="AP120" si="699">AO120</f>
        <v>O.S.5B.TN.Ap.176</v>
      </c>
      <c r="AQ120" s="533" t="str">
        <f>VLOOKUP("*"&amp;AQ$5&amp;".Ap."&amp;AQ119,Check2,1,FALSE)</f>
        <v>O.S.5A.TN.Ap.177</v>
      </c>
      <c r="AR120" s="477" t="str">
        <f t="shared" ref="AR120" si="700">AQ120</f>
        <v>O.S.5A.TN.Ap.177</v>
      </c>
      <c r="AS120" s="533" t="str">
        <f>VLOOKUP("*"&amp;AS$5&amp;".Ap."&amp;AS119,Check2,1,FALSE)</f>
        <v>S.S.4C.TN.Ap.178</v>
      </c>
      <c r="AT120" s="476" t="str">
        <f t="shared" ref="AT120:AU120" si="701">AS120</f>
        <v>S.S.4C.TN.Ap.178</v>
      </c>
      <c r="AU120" s="477" t="str">
        <f t="shared" si="701"/>
        <v>S.S.4C.TN.Ap.178</v>
      </c>
      <c r="AV120" s="533" t="str">
        <f>VLOOKUP("*"&amp;AV$5&amp;".Ap."&amp;AV119,Check2,1,FALSE)</f>
        <v>S.S.2D.TN.Ap.179</v>
      </c>
      <c r="AW120" s="477" t="str">
        <f t="shared" ref="AW120" si="702">AV120</f>
        <v>S.S.2D.TN.Ap.179</v>
      </c>
      <c r="AX120" s="525" t="str">
        <f>VLOOKUP("*"&amp;AX$5&amp;".Ap."&amp;AX119,Check2,1,FALSE)</f>
        <v>V.GMS.S.3A.TN.Ap.173</v>
      </c>
      <c r="AY120" s="533" t="str">
        <f>VLOOKUP("*"&amp;AY$5&amp;".Ap."&amp;AY119,Check2,1,FALSE)</f>
        <v>S.S.3G.TN.Ap.174</v>
      </c>
      <c r="AZ120" s="476" t="str">
        <f t="shared" ref="AZ120:BA120" si="703">AY120</f>
        <v>S.S.3G.TN.Ap.174</v>
      </c>
      <c r="BA120" s="477" t="str">
        <f t="shared" si="703"/>
        <v>S.S.3G.TN.Ap.174</v>
      </c>
      <c r="BB120" s="533" t="str">
        <f>VLOOKUP("*"&amp;BB$5&amp;".Ap."&amp;BB119,Check2,1,FALSE)</f>
        <v>O.S.3F.TN.Ap.175</v>
      </c>
      <c r="BC120" s="722" t="str">
        <f t="shared" ref="BC120" si="704">BB120</f>
        <v>O.S.3F.TN.Ap.175</v>
      </c>
      <c r="BD120" s="744"/>
      <c r="BE120" s="535"/>
      <c r="BF120" s="535"/>
      <c r="BG120" s="744"/>
      <c r="BH120" s="1082"/>
      <c r="BI120" s="1082"/>
      <c r="BJ120" s="1082"/>
      <c r="BK120" s="561"/>
      <c r="BL120" s="522" t="s">
        <v>89</v>
      </c>
      <c r="BM120" s="723">
        <f t="shared" ref="BM120" si="705">BM124+1</f>
        <v>22</v>
      </c>
      <c r="BN120" s="979"/>
      <c r="BO120" s="484"/>
      <c r="BP120" s="485" t="s">
        <v>89</v>
      </c>
    </row>
    <row r="121" spans="1:68" ht="21.75" x14ac:dyDescent="0.3">
      <c r="A121" s="957"/>
      <c r="B121" s="537"/>
      <c r="C121" s="538" t="s">
        <v>65</v>
      </c>
      <c r="D121" s="562"/>
      <c r="E121" s="1082"/>
      <c r="F121" s="1082"/>
      <c r="G121" s="1082"/>
      <c r="H121" s="563"/>
      <c r="I121" s="563"/>
      <c r="J121" s="563"/>
      <c r="K121" s="563"/>
      <c r="L121" s="488">
        <f>VLOOKUP(L120,Check2,5,FALSE)</f>
        <v>2201</v>
      </c>
      <c r="M121" s="539"/>
      <c r="N121" s="539">
        <f>VLOOKUP(N120,Check2,5,FALSE)</f>
        <v>2202</v>
      </c>
      <c r="O121" s="539"/>
      <c r="P121" s="724">
        <f>VLOOKUP(P120,Check2,5,FALSE)</f>
        <v>2203</v>
      </c>
      <c r="Q121" s="539">
        <f>VLOOKUP(Q120,Check2,5,FALSE)</f>
        <v>2204</v>
      </c>
      <c r="R121" s="539"/>
      <c r="S121" s="539">
        <f>VLOOKUP(S120,Check2,5,FALSE)</f>
        <v>2205</v>
      </c>
      <c r="T121" s="539"/>
      <c r="U121" s="490"/>
      <c r="V121" s="539">
        <f>VLOOKUP(V120,Check2,5,FALSE)</f>
        <v>2206</v>
      </c>
      <c r="W121" s="539"/>
      <c r="X121" s="539"/>
      <c r="Y121" s="539">
        <f>VLOOKUP(Y120,Check2,5,FALSE)</f>
        <v>2207</v>
      </c>
      <c r="Z121" s="491"/>
      <c r="AA121" s="491"/>
      <c r="AB121" s="449"/>
      <c r="AC121" s="449"/>
      <c r="AD121" s="449"/>
      <c r="AE121" s="449"/>
      <c r="AF121" s="449"/>
      <c r="AG121" s="449"/>
      <c r="AH121" s="449"/>
      <c r="AI121" s="449"/>
      <c r="AJ121" s="449"/>
      <c r="AK121" s="449"/>
      <c r="AL121" s="449"/>
      <c r="AM121" s="449"/>
      <c r="AN121" s="637"/>
      <c r="AO121" s="542">
        <f>VLOOKUP(AO120,Check2,5,FALSE)</f>
        <v>2202</v>
      </c>
      <c r="AP121" s="543"/>
      <c r="AQ121" s="589">
        <f>VLOOKUP(AQ120,Check2,5,FALSE)</f>
        <v>2203</v>
      </c>
      <c r="AR121" s="543"/>
      <c r="AS121" s="589">
        <f>VLOOKUP(AS120,Check2,5,FALSE)</f>
        <v>2204</v>
      </c>
      <c r="AT121" s="590"/>
      <c r="AU121" s="584"/>
      <c r="AV121" s="589">
        <f>VLOOKUP(AV120,Check2,5,FALSE)</f>
        <v>2205</v>
      </c>
      <c r="AW121" s="543"/>
      <c r="AX121" s="724">
        <f>VLOOKUP(AX120,Check2,5,FALSE)</f>
        <v>2206</v>
      </c>
      <c r="AY121" s="589">
        <f>VLOOKUP(AY120,Check2,5,FALSE)</f>
        <v>2207</v>
      </c>
      <c r="AZ121" s="590"/>
      <c r="BA121" s="584"/>
      <c r="BB121" s="589">
        <f>VLOOKUP(BB120,Check2,5,FALSE)</f>
        <v>2201</v>
      </c>
      <c r="BC121" s="725"/>
      <c r="BD121" s="745"/>
      <c r="BE121" s="563"/>
      <c r="BF121" s="563"/>
      <c r="BG121" s="745"/>
      <c r="BH121" s="1082"/>
      <c r="BI121" s="1082"/>
      <c r="BJ121" s="1082"/>
      <c r="BK121" s="564"/>
      <c r="BL121" s="544" t="s">
        <v>65</v>
      </c>
      <c r="BM121" s="726"/>
      <c r="BN121" s="979"/>
      <c r="BO121" s="434"/>
      <c r="BP121" s="496" t="s">
        <v>1078</v>
      </c>
    </row>
    <row r="122" spans="1:68" ht="22.5" thickBot="1" x14ac:dyDescent="0.45">
      <c r="A122" s="959"/>
      <c r="B122" s="565">
        <f t="shared" ref="B122" si="706">B126+3.48</f>
        <v>83.08</v>
      </c>
      <c r="C122" s="566" t="s">
        <v>1</v>
      </c>
      <c r="D122" s="567"/>
      <c r="E122" s="1083"/>
      <c r="F122" s="1083"/>
      <c r="G122" s="1083"/>
      <c r="H122" s="568"/>
      <c r="I122" s="568"/>
      <c r="J122" s="568"/>
      <c r="K122" s="568"/>
      <c r="L122" s="499" t="str">
        <f>VLOOKUP(L120,Check2,6,FALSE)</f>
        <v>3F</v>
      </c>
      <c r="M122" s="569"/>
      <c r="N122" s="569" t="str">
        <f>VLOOKUP(N120,Check2,6,FALSE)</f>
        <v>3G</v>
      </c>
      <c r="O122" s="569"/>
      <c r="P122" s="747" t="str">
        <f>VLOOKUP(P120,Check2,6,FALSE)</f>
        <v>3A</v>
      </c>
      <c r="Q122" s="569" t="str">
        <f>VLOOKUP(Q120,Check2,6,FALSE)</f>
        <v>2D</v>
      </c>
      <c r="R122" s="569"/>
      <c r="S122" s="569" t="str">
        <f>VLOOKUP(S120,Check2,6,FALSE)</f>
        <v>4C</v>
      </c>
      <c r="T122" s="569"/>
      <c r="U122" s="501"/>
      <c r="V122" s="569" t="str">
        <f>VLOOKUP(V120,Check2,6,FALSE)</f>
        <v>5A</v>
      </c>
      <c r="W122" s="569"/>
      <c r="X122" s="569"/>
      <c r="Y122" s="569" t="str">
        <f>VLOOKUP(Y120,Check2,6,FALSE)</f>
        <v>5B</v>
      </c>
      <c r="Z122" s="502"/>
      <c r="AA122" s="502"/>
      <c r="AB122" s="503"/>
      <c r="AC122" s="503"/>
      <c r="AD122" s="503"/>
      <c r="AE122" s="503"/>
      <c r="AF122" s="503"/>
      <c r="AG122" s="503"/>
      <c r="AH122" s="503"/>
      <c r="AI122" s="503"/>
      <c r="AJ122" s="503"/>
      <c r="AK122" s="503"/>
      <c r="AL122" s="503"/>
      <c r="AM122" s="503"/>
      <c r="AN122" s="640"/>
      <c r="AO122" s="551" t="str">
        <f>VLOOKUP(AO120,Check2,6,FALSE)</f>
        <v>5B</v>
      </c>
      <c r="AP122" s="553"/>
      <c r="AQ122" s="603" t="str">
        <f>VLOOKUP(AQ120,Check2,6,FALSE)</f>
        <v>5A</v>
      </c>
      <c r="AR122" s="553"/>
      <c r="AS122" s="603" t="str">
        <f>VLOOKUP(AS120,Check2,6,FALSE)</f>
        <v>4C</v>
      </c>
      <c r="AT122" s="604"/>
      <c r="AU122" s="597"/>
      <c r="AV122" s="603" t="str">
        <f>VLOOKUP(AV120,Check2,6,FALSE)</f>
        <v>2D</v>
      </c>
      <c r="AW122" s="553"/>
      <c r="AX122" s="727" t="str">
        <f>VLOOKUP(AX120,Check2,6,FALSE)</f>
        <v>3A</v>
      </c>
      <c r="AY122" s="603" t="str">
        <f>VLOOKUP(AY120,Check2,6,FALSE)</f>
        <v>3G</v>
      </c>
      <c r="AZ122" s="604"/>
      <c r="BA122" s="597"/>
      <c r="BB122" s="603" t="str">
        <f>VLOOKUP(BB120,Check2,6,FALSE)</f>
        <v>3F</v>
      </c>
      <c r="BC122" s="728"/>
      <c r="BD122" s="746"/>
      <c r="BE122" s="568"/>
      <c r="BF122" s="568"/>
      <c r="BG122" s="746"/>
      <c r="BH122" s="1083"/>
      <c r="BI122" s="1083"/>
      <c r="BJ122" s="1083"/>
      <c r="BK122" s="572"/>
      <c r="BL122" s="555" t="s">
        <v>1</v>
      </c>
      <c r="BM122" s="729">
        <f t="shared" ref="BM122" si="707">BM126+3.48</f>
        <v>83.08</v>
      </c>
      <c r="BN122" s="980"/>
      <c r="BO122" s="509"/>
      <c r="BP122" s="510" t="s">
        <v>1</v>
      </c>
    </row>
    <row r="123" spans="1:68" ht="26.25" thickTop="1" x14ac:dyDescent="0.45">
      <c r="A123" s="937" t="s">
        <v>59</v>
      </c>
      <c r="B123" s="469" t="str">
        <f t="shared" ref="B123" si="708">_xlfn.CONCAT("קומה ",B124)</f>
        <v>קומה 21</v>
      </c>
      <c r="C123" s="473" t="s">
        <v>0</v>
      </c>
      <c r="D123" s="556"/>
      <c r="E123" s="1080"/>
      <c r="F123" s="1080"/>
      <c r="G123" s="1080"/>
      <c r="H123" s="557"/>
      <c r="I123" s="557"/>
      <c r="J123" s="557"/>
      <c r="K123" s="557"/>
      <c r="L123" s="460">
        <f t="shared" ref="L123" si="709">L127+8</f>
        <v>171</v>
      </c>
      <c r="M123" s="514"/>
      <c r="N123" s="514">
        <f t="shared" ref="N123" si="710">N127+8</f>
        <v>172</v>
      </c>
      <c r="O123" s="514"/>
      <c r="P123" s="540">
        <f t="shared" ref="P123:Q123" si="711">P127+8</f>
        <v>173</v>
      </c>
      <c r="Q123" s="514">
        <f t="shared" si="711"/>
        <v>174</v>
      </c>
      <c r="R123" s="514"/>
      <c r="S123" s="462"/>
      <c r="T123" s="514">
        <f t="shared" ref="T123" si="712">T127+8</f>
        <v>175</v>
      </c>
      <c r="U123" s="514"/>
      <c r="V123" s="514">
        <f t="shared" ref="V123" si="713">V127+8</f>
        <v>176</v>
      </c>
      <c r="W123" s="514"/>
      <c r="X123" s="514">
        <f t="shared" ref="X123" si="714">X127+8</f>
        <v>177</v>
      </c>
      <c r="Y123" s="514"/>
      <c r="Z123" s="514">
        <f t="shared" ref="Z123" si="715">Z127+8</f>
        <v>178</v>
      </c>
      <c r="AA123" s="463"/>
      <c r="AB123" s="464"/>
      <c r="AC123" s="464"/>
      <c r="AD123" s="464"/>
      <c r="AE123" s="464"/>
      <c r="AF123" s="464"/>
      <c r="AG123" s="464"/>
      <c r="AH123" s="464"/>
      <c r="AI123" s="464"/>
      <c r="AJ123" s="464"/>
      <c r="AK123" s="464"/>
      <c r="AL123" s="464"/>
      <c r="AM123" s="464"/>
      <c r="AN123" s="626"/>
      <c r="AO123" s="519">
        <f>AO127+7</f>
        <v>169</v>
      </c>
      <c r="AP123" s="520"/>
      <c r="AQ123" s="578">
        <f>AQ127+7</f>
        <v>170</v>
      </c>
      <c r="AR123" s="520"/>
      <c r="AS123" s="578">
        <f>AS127+7</f>
        <v>171</v>
      </c>
      <c r="AT123" s="461"/>
      <c r="AU123" s="520"/>
      <c r="AV123" s="578">
        <f>AV127+7</f>
        <v>172</v>
      </c>
      <c r="AW123" s="520"/>
      <c r="AX123" s="540">
        <f>AX127+7</f>
        <v>166</v>
      </c>
      <c r="AY123" s="578">
        <f>AY127+7</f>
        <v>167</v>
      </c>
      <c r="AZ123" s="461"/>
      <c r="BA123" s="520"/>
      <c r="BB123" s="578">
        <f>BB127+7</f>
        <v>168</v>
      </c>
      <c r="BC123" s="719"/>
      <c r="BD123" s="733"/>
      <c r="BE123" s="557"/>
      <c r="BF123" s="557"/>
      <c r="BG123" s="733"/>
      <c r="BH123" s="1080"/>
      <c r="BI123" s="1080"/>
      <c r="BJ123" s="1080"/>
      <c r="BK123" s="559"/>
      <c r="BL123" s="522" t="s">
        <v>0</v>
      </c>
      <c r="BM123" s="721" t="str">
        <f t="shared" ref="BM123" si="716">_xlfn.CONCAT("קומה ",BM124)</f>
        <v>קומה 21</v>
      </c>
      <c r="BN123" s="979"/>
      <c r="BO123" s="470"/>
      <c r="BP123" s="471" t="s">
        <v>0</v>
      </c>
    </row>
    <row r="124" spans="1:68" ht="18.75" hidden="1" customHeight="1" x14ac:dyDescent="0.3">
      <c r="A124" s="937"/>
      <c r="B124" s="472">
        <f t="shared" ref="B124" si="717">B128+1</f>
        <v>21</v>
      </c>
      <c r="C124" s="473" t="s">
        <v>89</v>
      </c>
      <c r="D124" s="560"/>
      <c r="E124" s="1078"/>
      <c r="F124" s="1078"/>
      <c r="G124" s="1078"/>
      <c r="H124" s="535"/>
      <c r="I124" s="535"/>
      <c r="J124" s="535"/>
      <c r="K124" s="535"/>
      <c r="L124" s="475" t="str">
        <f>VLOOKUP("*"&amp;L$5&amp;".Ap."&amp;L123,Check2,1,FALSE)</f>
        <v>V.GMS.S.3B.TS.Ap.171</v>
      </c>
      <c r="M124" s="525" t="str">
        <f t="shared" ref="M124:M132" si="718">L124</f>
        <v>V.GMS.S.3B.TS.Ap.171</v>
      </c>
      <c r="N124" s="525" t="str">
        <f>VLOOKUP("*"&amp;N$5&amp;".Ap."&amp;N123,Check2,1,FALSE)</f>
        <v>S.S.3C.TS.Ap.172</v>
      </c>
      <c r="O124" s="525" t="str">
        <f t="shared" ref="O124:O132" si="719">N124</f>
        <v>S.S.3C.TS.Ap.172</v>
      </c>
      <c r="P124" s="525" t="str">
        <f>VLOOKUP("*"&amp;P$5&amp;".Ap."&amp;P123,Check2,1,FALSE)</f>
        <v>S.S.3A.TS.Ap.173</v>
      </c>
      <c r="Q124" s="525" t="str">
        <f>VLOOKUP("*"&amp;Q$5&amp;".Ap."&amp;Q123,Check2,1,FALSE)</f>
        <v>S.S.3D.TS.Ap.174</v>
      </c>
      <c r="R124" s="525" t="str">
        <f t="shared" ref="R124:S124" si="720">Q124</f>
        <v>S.S.3D.TS.Ap.174</v>
      </c>
      <c r="S124" s="477" t="str">
        <f t="shared" si="720"/>
        <v>S.S.3D.TS.Ap.174</v>
      </c>
      <c r="T124" s="525" t="str">
        <f>VLOOKUP("*"&amp;T$5&amp;".Ap."&amp;T123,Check2,1,FALSE)</f>
        <v>S.S.3E.TS.Ap.175</v>
      </c>
      <c r="U124" s="525" t="str">
        <f t="shared" ref="U124:U132" si="721">T124</f>
        <v>S.S.3E.TS.Ap.175</v>
      </c>
      <c r="V124" s="525" t="str">
        <f>VLOOKUP("*"&amp;V$5&amp;".Ap."&amp;V123,Check2,1,FALSE)</f>
        <v>O.S.4A.TS.Ap.176</v>
      </c>
      <c r="W124" s="525" t="str">
        <f t="shared" ref="W124" si="722">V124</f>
        <v>O.S.4A.TS.Ap.176</v>
      </c>
      <c r="X124" s="525" t="str">
        <f>VLOOKUP("*"&amp;X$5&amp;".Ap."&amp;X123,Check2,1,FALSE)</f>
        <v>S.S.2G.TS.Ap.177</v>
      </c>
      <c r="Y124" s="525" t="str">
        <f t="shared" ref="Y124:Y132" si="723">X124</f>
        <v>S.S.2G.TS.Ap.177</v>
      </c>
      <c r="Z124" s="525" t="str">
        <f>VLOOKUP("*"&amp;Z$5&amp;".Ap."&amp;Z123,Check2,1,FALSE)</f>
        <v>V.GMC.S.4B.TS.Ap.178</v>
      </c>
      <c r="AA124" s="478" t="str">
        <f t="shared" ref="AA124:AA184" si="724">Z124</f>
        <v>V.GMC.S.4B.TS.Ap.178</v>
      </c>
      <c r="AB124" s="479"/>
      <c r="AC124" s="479"/>
      <c r="AD124" s="479"/>
      <c r="AE124" s="479"/>
      <c r="AF124" s="479"/>
      <c r="AG124" s="479"/>
      <c r="AH124" s="479"/>
      <c r="AI124" s="479"/>
      <c r="AJ124" s="479"/>
      <c r="AK124" s="479"/>
      <c r="AL124" s="479"/>
      <c r="AM124" s="479"/>
      <c r="AN124" s="636"/>
      <c r="AO124" s="532" t="str">
        <f>VLOOKUP("*"&amp;AO$5&amp;".Ap."&amp;AO123,Check2,1,FALSE)</f>
        <v>S.S.5B.TN.Ap.169</v>
      </c>
      <c r="AP124" s="477" t="str">
        <f t="shared" ref="AP124" si="725">AO124</f>
        <v>S.S.5B.TN.Ap.169</v>
      </c>
      <c r="AQ124" s="533" t="str">
        <f>VLOOKUP("*"&amp;AQ$5&amp;".Ap."&amp;AQ123,Check2,1,FALSE)</f>
        <v>S.S.5A.TN.Ap.170</v>
      </c>
      <c r="AR124" s="477" t="str">
        <f t="shared" ref="AR124" si="726">AQ124</f>
        <v>S.S.5A.TN.Ap.170</v>
      </c>
      <c r="AS124" s="533" t="str">
        <f>VLOOKUP("*"&amp;AS$5&amp;".Ap."&amp;AS123,Check2,1,FALSE)</f>
        <v>S.S.4C.TN.Ap.171</v>
      </c>
      <c r="AT124" s="476" t="str">
        <f t="shared" ref="AT124:AU124" si="727">AS124</f>
        <v>S.S.4C.TN.Ap.171</v>
      </c>
      <c r="AU124" s="477" t="str">
        <f t="shared" si="727"/>
        <v>S.S.4C.TN.Ap.171</v>
      </c>
      <c r="AV124" s="533" t="str">
        <f>VLOOKUP("*"&amp;AV$5&amp;".Ap."&amp;AV123,Check2,1,FALSE)</f>
        <v>S.S.2D.TN.Ap.172</v>
      </c>
      <c r="AW124" s="477" t="str">
        <f t="shared" ref="AW124" si="728">AV124</f>
        <v>S.S.2D.TN.Ap.172</v>
      </c>
      <c r="AX124" s="525" t="str">
        <f>VLOOKUP("*"&amp;AX$5&amp;".Ap."&amp;AX123,Check2,1,FALSE)</f>
        <v>V.GMS.S.3A.TN.Ap.166</v>
      </c>
      <c r="AY124" s="533" t="str">
        <f>VLOOKUP("*"&amp;AY$5&amp;".Ap."&amp;AY123,Check2,1,FALSE)</f>
        <v>S.S.3G.TN.Ap.167</v>
      </c>
      <c r="AZ124" s="476" t="str">
        <f t="shared" ref="AZ124:BA124" si="729">AY124</f>
        <v>S.S.3G.TN.Ap.167</v>
      </c>
      <c r="BA124" s="477" t="str">
        <f t="shared" si="729"/>
        <v>S.S.3G.TN.Ap.167</v>
      </c>
      <c r="BB124" s="533" t="str">
        <f>VLOOKUP("*"&amp;BB$5&amp;".Ap."&amp;BB123,Check2,1,FALSE)</f>
        <v>S.S.3F.TN.Ap.168</v>
      </c>
      <c r="BC124" s="722" t="str">
        <f t="shared" ref="BC124" si="730">BB124</f>
        <v>S.S.3F.TN.Ap.168</v>
      </c>
      <c r="BD124" s="744"/>
      <c r="BE124" s="535"/>
      <c r="BF124" s="535"/>
      <c r="BG124" s="744"/>
      <c r="BH124" s="1078"/>
      <c r="BI124" s="1078"/>
      <c r="BJ124" s="1078"/>
      <c r="BK124" s="561"/>
      <c r="BL124" s="522" t="s">
        <v>89</v>
      </c>
      <c r="BM124" s="723">
        <f t="shared" ref="BM124" si="731">BM128+1</f>
        <v>21</v>
      </c>
      <c r="BN124" s="979"/>
      <c r="BO124" s="484"/>
      <c r="BP124" s="485" t="s">
        <v>89</v>
      </c>
    </row>
    <row r="125" spans="1:68" ht="22.5" thickBot="1" x14ac:dyDescent="0.35">
      <c r="A125" s="937"/>
      <c r="B125" s="486"/>
      <c r="C125" s="487" t="s">
        <v>65</v>
      </c>
      <c r="D125" s="562"/>
      <c r="E125" s="1078"/>
      <c r="F125" s="1078"/>
      <c r="G125" s="1078"/>
      <c r="H125" s="563"/>
      <c r="I125" s="563"/>
      <c r="J125" s="563"/>
      <c r="K125" s="563"/>
      <c r="L125" s="488">
        <f>VLOOKUP(L124,Check2,5,FALSE)</f>
        <v>2101</v>
      </c>
      <c r="M125" s="539"/>
      <c r="N125" s="539">
        <f>VLOOKUP(N124,Check2,5,FALSE)</f>
        <v>2102</v>
      </c>
      <c r="O125" s="539"/>
      <c r="P125" s="724">
        <f>VLOOKUP(P124,Check2,5,FALSE)</f>
        <v>2103</v>
      </c>
      <c r="Q125" s="539">
        <f>VLOOKUP(Q124,Check2,5,FALSE)</f>
        <v>2104</v>
      </c>
      <c r="R125" s="539"/>
      <c r="S125" s="490"/>
      <c r="T125" s="539">
        <f>VLOOKUP(T124,Check2,5,FALSE)</f>
        <v>2105</v>
      </c>
      <c r="U125" s="539"/>
      <c r="V125" s="539">
        <f>VLOOKUP(V124,Check2,5,FALSE)</f>
        <v>2106</v>
      </c>
      <c r="W125" s="539"/>
      <c r="X125" s="539">
        <f>VLOOKUP(X124,Check2,5,FALSE)</f>
        <v>2107</v>
      </c>
      <c r="Y125" s="539"/>
      <c r="Z125" s="539">
        <f>VLOOKUP(Z124,Check2,5,FALSE)</f>
        <v>2108</v>
      </c>
      <c r="AA125" s="491"/>
      <c r="AB125" s="449"/>
      <c r="AC125" s="449"/>
      <c r="AD125" s="449"/>
      <c r="AE125" s="449"/>
      <c r="AF125" s="449"/>
      <c r="AG125" s="449"/>
      <c r="AH125" s="449"/>
      <c r="AI125" s="449"/>
      <c r="AJ125" s="449"/>
      <c r="AK125" s="449"/>
      <c r="AL125" s="449"/>
      <c r="AM125" s="449"/>
      <c r="AN125" s="637"/>
      <c r="AO125" s="542">
        <f>VLOOKUP(AO124,Check2,5,FALSE)</f>
        <v>2102</v>
      </c>
      <c r="AP125" s="543"/>
      <c r="AQ125" s="589">
        <f>VLOOKUP(AQ124,Check2,5,FALSE)</f>
        <v>2103</v>
      </c>
      <c r="AR125" s="543"/>
      <c r="AS125" s="589">
        <f>VLOOKUP(AS124,Check2,5,FALSE)</f>
        <v>2104</v>
      </c>
      <c r="AT125" s="590"/>
      <c r="AU125" s="584"/>
      <c r="AV125" s="589">
        <f>VLOOKUP(AV124,Check2,5,FALSE)</f>
        <v>2105</v>
      </c>
      <c r="AW125" s="543"/>
      <c r="AX125" s="724">
        <f>VLOOKUP(AX124,Check2,5,FALSE)</f>
        <v>2106</v>
      </c>
      <c r="AY125" s="589">
        <f>VLOOKUP(AY124,Check2,5,FALSE)</f>
        <v>2107</v>
      </c>
      <c r="AZ125" s="590"/>
      <c r="BA125" s="584"/>
      <c r="BB125" s="589">
        <f>VLOOKUP(BB124,Check2,5,FALSE)</f>
        <v>2101</v>
      </c>
      <c r="BC125" s="725"/>
      <c r="BD125" s="745"/>
      <c r="BE125" s="563"/>
      <c r="BF125" s="563"/>
      <c r="BG125" s="745"/>
      <c r="BH125" s="1078"/>
      <c r="BI125" s="1078"/>
      <c r="BJ125" s="1078"/>
      <c r="BK125" s="564"/>
      <c r="BL125" s="544" t="s">
        <v>65</v>
      </c>
      <c r="BM125" s="726"/>
      <c r="BN125" s="979"/>
      <c r="BO125" s="434"/>
      <c r="BP125" s="496" t="s">
        <v>1078</v>
      </c>
    </row>
    <row r="126" spans="1:68" ht="23.25" thickTop="1" thickBot="1" x14ac:dyDescent="0.45">
      <c r="A126" s="1014"/>
      <c r="B126" s="593">
        <f t="shared" ref="B126" si="732">B130+3.48</f>
        <v>79.599999999999994</v>
      </c>
      <c r="C126" s="594" t="s">
        <v>1</v>
      </c>
      <c r="D126" s="567"/>
      <c r="E126" s="1079"/>
      <c r="F126" s="1079"/>
      <c r="G126" s="1079"/>
      <c r="H126" s="568"/>
      <c r="I126" s="568"/>
      <c r="J126" s="568"/>
      <c r="K126" s="568"/>
      <c r="L126" s="595" t="str">
        <f>VLOOKUP(L124,Check2,6,FALSE)</f>
        <v>3B</v>
      </c>
      <c r="M126" s="548"/>
      <c r="N126" s="548" t="str">
        <f>VLOOKUP(N124,Check2,6,FALSE)</f>
        <v>3C</v>
      </c>
      <c r="O126" s="548"/>
      <c r="P126" s="727" t="str">
        <f>VLOOKUP(P124,Check2,6,FALSE)</f>
        <v>3A</v>
      </c>
      <c r="Q126" s="548" t="str">
        <f>VLOOKUP(Q124,Check2,6,FALSE)</f>
        <v>3D</v>
      </c>
      <c r="R126" s="548"/>
      <c r="S126" s="549"/>
      <c r="T126" s="548" t="str">
        <f>VLOOKUP(T124,Check2,6,FALSE)</f>
        <v>3E</v>
      </c>
      <c r="U126" s="548"/>
      <c r="V126" s="548" t="str">
        <f>VLOOKUP(V124,Check2,6,FALSE)</f>
        <v>4A</v>
      </c>
      <c r="W126" s="548"/>
      <c r="X126" s="548" t="str">
        <f>VLOOKUP(X124,Check2,6,FALSE)</f>
        <v>2G</v>
      </c>
      <c r="Y126" s="548"/>
      <c r="Z126" s="548" t="str">
        <f>VLOOKUP(Z124,Check2,6,FALSE)</f>
        <v>4B</v>
      </c>
      <c r="AA126" s="615"/>
      <c r="AB126" s="503"/>
      <c r="AC126" s="503"/>
      <c r="AD126" s="1098" t="s">
        <v>1</v>
      </c>
      <c r="AE126" s="1104" t="s">
        <v>54</v>
      </c>
      <c r="AF126" s="1106" t="s">
        <v>1246</v>
      </c>
      <c r="AG126" s="1108" t="s">
        <v>1247</v>
      </c>
      <c r="AH126" s="1110" t="s">
        <v>64</v>
      </c>
      <c r="AI126" s="1112" t="s">
        <v>1248</v>
      </c>
      <c r="AJ126" s="1114" t="s">
        <v>1287</v>
      </c>
      <c r="AK126" s="1100" t="s">
        <v>54</v>
      </c>
      <c r="AL126" s="1102" t="s">
        <v>1</v>
      </c>
      <c r="AM126" s="503"/>
      <c r="AN126" s="640"/>
      <c r="AO126" s="551" t="str">
        <f>VLOOKUP(AO124,Check2,6,FALSE)</f>
        <v>5B</v>
      </c>
      <c r="AP126" s="553"/>
      <c r="AQ126" s="603" t="str">
        <f>VLOOKUP(AQ124,Check2,6,FALSE)</f>
        <v>5A</v>
      </c>
      <c r="AR126" s="553"/>
      <c r="AS126" s="603" t="str">
        <f>VLOOKUP(AS124,Check2,6,FALSE)</f>
        <v>4C</v>
      </c>
      <c r="AT126" s="604"/>
      <c r="AU126" s="597"/>
      <c r="AV126" s="603" t="str">
        <f>VLOOKUP(AV124,Check2,6,FALSE)</f>
        <v>2D</v>
      </c>
      <c r="AW126" s="553"/>
      <c r="AX126" s="727" t="str">
        <f>VLOOKUP(AX124,Check2,6,FALSE)</f>
        <v>3A</v>
      </c>
      <c r="AY126" s="603" t="str">
        <f>VLOOKUP(AY124,Check2,6,FALSE)</f>
        <v>3G</v>
      </c>
      <c r="AZ126" s="604"/>
      <c r="BA126" s="597"/>
      <c r="BB126" s="603" t="str">
        <f>VLOOKUP(BB124,Check2,6,FALSE)</f>
        <v>3F</v>
      </c>
      <c r="BC126" s="728"/>
      <c r="BD126" s="746"/>
      <c r="BE126" s="568"/>
      <c r="BF126" s="568"/>
      <c r="BG126" s="746"/>
      <c r="BH126" s="1079"/>
      <c r="BI126" s="1079"/>
      <c r="BJ126" s="1079"/>
      <c r="BK126" s="572"/>
      <c r="BL126" s="555" t="s">
        <v>1</v>
      </c>
      <c r="BM126" s="729">
        <f t="shared" ref="BM126" si="733">BM130+3.48</f>
        <v>79.599999999999994</v>
      </c>
      <c r="BN126" s="980"/>
      <c r="BO126" s="509"/>
      <c r="BP126" s="510" t="s">
        <v>1</v>
      </c>
    </row>
    <row r="127" spans="1:68" ht="26.25" thickBot="1" x14ac:dyDescent="0.5">
      <c r="A127" s="937"/>
      <c r="B127" s="469" t="str">
        <f t="shared" ref="B127" si="734">_xlfn.CONCAT("קומה ",B128)</f>
        <v>קומה 20</v>
      </c>
      <c r="C127" s="473" t="s">
        <v>0</v>
      </c>
      <c r="D127" s="556"/>
      <c r="E127" s="1080"/>
      <c r="F127" s="1080"/>
      <c r="G127" s="1080"/>
      <c r="H127" s="557"/>
      <c r="I127" s="557"/>
      <c r="J127" s="557"/>
      <c r="K127" s="557"/>
      <c r="L127" s="460">
        <f t="shared" ref="L127" si="735">L131+8</f>
        <v>163</v>
      </c>
      <c r="M127" s="514"/>
      <c r="N127" s="514">
        <f t="shared" ref="N127" si="736">N131+8</f>
        <v>164</v>
      </c>
      <c r="O127" s="514"/>
      <c r="P127" s="540">
        <f t="shared" ref="P127:Q127" si="737">P131+8</f>
        <v>165</v>
      </c>
      <c r="Q127" s="514">
        <f t="shared" si="737"/>
        <v>166</v>
      </c>
      <c r="R127" s="514"/>
      <c r="S127" s="462"/>
      <c r="T127" s="514">
        <f t="shared" ref="T127" si="738">T131+8</f>
        <v>167</v>
      </c>
      <c r="U127" s="514"/>
      <c r="V127" s="514">
        <f t="shared" ref="V127" si="739">V131+8</f>
        <v>168</v>
      </c>
      <c r="W127" s="514"/>
      <c r="X127" s="514">
        <f t="shared" ref="X127" si="740">X131+8</f>
        <v>169</v>
      </c>
      <c r="Y127" s="514"/>
      <c r="Z127" s="514">
        <f t="shared" ref="Z127" si="741">Z131+8</f>
        <v>170</v>
      </c>
      <c r="AA127" s="463"/>
      <c r="AB127" s="464"/>
      <c r="AC127" s="464"/>
      <c r="AD127" s="1099"/>
      <c r="AE127" s="1105"/>
      <c r="AF127" s="1107"/>
      <c r="AG127" s="1109"/>
      <c r="AH127" s="1111"/>
      <c r="AI127" s="1113"/>
      <c r="AJ127" s="1115"/>
      <c r="AK127" s="1101"/>
      <c r="AL127" s="1103"/>
      <c r="AM127" s="464"/>
      <c r="AN127" s="626"/>
      <c r="AO127" s="519">
        <v>162</v>
      </c>
      <c r="AP127" s="520"/>
      <c r="AQ127" s="578">
        <v>163</v>
      </c>
      <c r="AR127" s="520"/>
      <c r="AS127" s="578">
        <v>164</v>
      </c>
      <c r="AT127" s="461"/>
      <c r="AU127" s="520"/>
      <c r="AV127" s="578">
        <v>165</v>
      </c>
      <c r="AW127" s="520"/>
      <c r="AX127" s="540">
        <v>159</v>
      </c>
      <c r="AY127" s="578">
        <v>160</v>
      </c>
      <c r="AZ127" s="461"/>
      <c r="BA127" s="520"/>
      <c r="BB127" s="578">
        <v>161</v>
      </c>
      <c r="BC127" s="719"/>
      <c r="BD127" s="733"/>
      <c r="BE127" s="557"/>
      <c r="BF127" s="557"/>
      <c r="BG127" s="733"/>
      <c r="BH127" s="1080"/>
      <c r="BI127" s="1080"/>
      <c r="BJ127" s="1080"/>
      <c r="BK127" s="559"/>
      <c r="BL127" s="522" t="s">
        <v>0</v>
      </c>
      <c r="BM127" s="721" t="str">
        <f t="shared" ref="BM127" si="742">_xlfn.CONCAT("קומה ",BM128)</f>
        <v>קומה 20</v>
      </c>
      <c r="BN127" s="979"/>
      <c r="BO127" s="470"/>
      <c r="BP127" s="471" t="s">
        <v>0</v>
      </c>
    </row>
    <row r="128" spans="1:68" ht="22.5" hidden="1" thickTop="1" x14ac:dyDescent="0.3">
      <c r="A128" s="937"/>
      <c r="B128" s="472">
        <f t="shared" ref="B128" si="743">B132+1</f>
        <v>20</v>
      </c>
      <c r="C128" s="473" t="s">
        <v>89</v>
      </c>
      <c r="D128" s="560"/>
      <c r="E128" s="1078"/>
      <c r="F128" s="1078"/>
      <c r="G128" s="1078"/>
      <c r="H128" s="535"/>
      <c r="I128" s="535"/>
      <c r="J128" s="535"/>
      <c r="K128" s="535"/>
      <c r="L128" s="475" t="str">
        <f>VLOOKUP("*"&amp;L$5&amp;".Ap."&amp;L127,Check2,1,FALSE)</f>
        <v>V.GMS.S.3B.TS.Ap.163</v>
      </c>
      <c r="M128" s="525" t="str">
        <f t="shared" si="718"/>
        <v>V.GMS.S.3B.TS.Ap.163</v>
      </c>
      <c r="N128" s="525" t="str">
        <f>VLOOKUP("*"&amp;N$5&amp;".Ap."&amp;N127,Check2,1,FALSE)</f>
        <v>S.S.3C.TS.Ap.164</v>
      </c>
      <c r="O128" s="525" t="str">
        <f t="shared" si="719"/>
        <v>S.S.3C.TS.Ap.164</v>
      </c>
      <c r="P128" s="525" t="str">
        <f>VLOOKUP("*"&amp;P$5&amp;".Ap."&amp;P127,Check2,1,FALSE)</f>
        <v>S.S.3A.TS.Ap.165</v>
      </c>
      <c r="Q128" s="525" t="str">
        <f>VLOOKUP("*"&amp;Q$5&amp;".Ap."&amp;Q127,Check2,1,FALSE)</f>
        <v>S.S.3D.TS.Ap.166</v>
      </c>
      <c r="R128" s="525" t="str">
        <f t="shared" ref="R128:S128" si="744">Q128</f>
        <v>S.S.3D.TS.Ap.166</v>
      </c>
      <c r="S128" s="477" t="str">
        <f t="shared" si="744"/>
        <v>S.S.3D.TS.Ap.166</v>
      </c>
      <c r="T128" s="525" t="str">
        <f>VLOOKUP("*"&amp;T$5&amp;".Ap."&amp;T127,Check2,1,FALSE)</f>
        <v>S.S.3E.TS.Ap.167</v>
      </c>
      <c r="U128" s="525" t="str">
        <f t="shared" si="721"/>
        <v>S.S.3E.TS.Ap.167</v>
      </c>
      <c r="V128" s="525" t="str">
        <f>VLOOKUP("*"&amp;V$5&amp;".Ap."&amp;V127,Check2,1,FALSE)</f>
        <v>S.S.4A.TS.Ap.168</v>
      </c>
      <c r="W128" s="525" t="str">
        <f t="shared" ref="W128" si="745">V128</f>
        <v>S.S.4A.TS.Ap.168</v>
      </c>
      <c r="X128" s="525" t="str">
        <f>VLOOKUP("*"&amp;X$5&amp;".Ap."&amp;X127,Check2,1,FALSE)</f>
        <v>O.S.2G.TS.Ap.169</v>
      </c>
      <c r="Y128" s="525" t="str">
        <f t="shared" si="723"/>
        <v>O.S.2G.TS.Ap.169</v>
      </c>
      <c r="Z128" s="525" t="str">
        <f>VLOOKUP("*"&amp;Z$5&amp;".Ap."&amp;Z127,Check2,1,FALSE)</f>
        <v>O.S.4B.TS.Ap.170</v>
      </c>
      <c r="AA128" s="478" t="str">
        <f t="shared" si="724"/>
        <v>O.S.4B.TS.Ap.170</v>
      </c>
      <c r="AB128" s="479"/>
      <c r="AC128" s="479"/>
      <c r="AD128" s="748"/>
      <c r="AE128" s="749"/>
      <c r="AF128" s="750"/>
      <c r="AG128" s="751"/>
      <c r="AH128" s="752"/>
      <c r="AI128" s="750"/>
      <c r="AJ128" s="751"/>
      <c r="AK128" s="753"/>
      <c r="AL128" s="754"/>
      <c r="AM128" s="479"/>
      <c r="AN128" s="636"/>
      <c r="AO128" s="532" t="str">
        <f>VLOOKUP("*"&amp;AO$5&amp;".Ap."&amp;AO127,Check2,1,FALSE)</f>
        <v>S.S.5B.TN.Ap.162</v>
      </c>
      <c r="AP128" s="477" t="str">
        <f t="shared" ref="AP128" si="746">AO128</f>
        <v>S.S.5B.TN.Ap.162</v>
      </c>
      <c r="AQ128" s="533" t="str">
        <f>VLOOKUP("*"&amp;AQ$5&amp;".Ap."&amp;AQ127,Check2,1,FALSE)</f>
        <v>V.GM.S.5A.TN.Ap.163</v>
      </c>
      <c r="AR128" s="477" t="str">
        <f t="shared" ref="AR128" si="747">AQ128</f>
        <v>V.GM.S.5A.TN.Ap.163</v>
      </c>
      <c r="AS128" s="533" t="str">
        <f>VLOOKUP("*"&amp;AS$5&amp;".Ap."&amp;AS127,Check2,1,FALSE)</f>
        <v>S.S.4C.TN.Ap.164</v>
      </c>
      <c r="AT128" s="476" t="str">
        <f t="shared" ref="AT128:AU128" si="748">AS128</f>
        <v>S.S.4C.TN.Ap.164</v>
      </c>
      <c r="AU128" s="477" t="str">
        <f t="shared" si="748"/>
        <v>S.S.4C.TN.Ap.164</v>
      </c>
      <c r="AV128" s="533" t="str">
        <f>VLOOKUP("*"&amp;AV$5&amp;".Ap."&amp;AV127,Check2,1,FALSE)</f>
        <v>S.S.2D.TN.Ap.165</v>
      </c>
      <c r="AW128" s="477" t="str">
        <f t="shared" ref="AW128" si="749">AV128</f>
        <v>S.S.2D.TN.Ap.165</v>
      </c>
      <c r="AX128" s="525" t="str">
        <f>VLOOKUP("*"&amp;AX$5&amp;".Ap."&amp;AX127,Check2,1,FALSE)</f>
        <v>S.S.3A.TN.Ap.159</v>
      </c>
      <c r="AY128" s="533" t="str">
        <f>VLOOKUP("*"&amp;AY$5&amp;".Ap."&amp;AY127,Check2,1,FALSE)</f>
        <v>S.S.3G.TN.Ap.160</v>
      </c>
      <c r="AZ128" s="476" t="str">
        <f t="shared" ref="AZ128:BA128" si="750">AY128</f>
        <v>S.S.3G.TN.Ap.160</v>
      </c>
      <c r="BA128" s="477" t="str">
        <f t="shared" si="750"/>
        <v>S.S.3G.TN.Ap.160</v>
      </c>
      <c r="BB128" s="533" t="str">
        <f>VLOOKUP("*"&amp;BB$5&amp;".Ap."&amp;BB127,Check2,1,FALSE)</f>
        <v>S.S.3F.TN.Ap.161</v>
      </c>
      <c r="BC128" s="722" t="str">
        <f t="shared" ref="BC128" si="751">BB128</f>
        <v>S.S.3F.TN.Ap.161</v>
      </c>
      <c r="BD128" s="744"/>
      <c r="BE128" s="535"/>
      <c r="BF128" s="535"/>
      <c r="BG128" s="744"/>
      <c r="BH128" s="1078"/>
      <c r="BI128" s="1078"/>
      <c r="BJ128" s="1078"/>
      <c r="BK128" s="561"/>
      <c r="BL128" s="522" t="s">
        <v>89</v>
      </c>
      <c r="BM128" s="723">
        <f t="shared" ref="BM128" si="752">BM132+1</f>
        <v>20</v>
      </c>
      <c r="BN128" s="979"/>
      <c r="BO128" s="484"/>
      <c r="BP128" s="485" t="s">
        <v>89</v>
      </c>
    </row>
    <row r="129" spans="1:68" ht="19.5" customHeight="1" thickTop="1" x14ac:dyDescent="0.3">
      <c r="A129" s="937"/>
      <c r="B129" s="486"/>
      <c r="C129" s="487" t="s">
        <v>65</v>
      </c>
      <c r="D129" s="562"/>
      <c r="E129" s="1078"/>
      <c r="F129" s="1078"/>
      <c r="G129" s="1078"/>
      <c r="H129" s="563"/>
      <c r="I129" s="563"/>
      <c r="J129" s="563"/>
      <c r="K129" s="563"/>
      <c r="L129" s="488">
        <f>VLOOKUP(L128,Check2,5,FALSE)</f>
        <v>2001</v>
      </c>
      <c r="M129" s="539"/>
      <c r="N129" s="539">
        <f>VLOOKUP(N128,Check2,5,FALSE)</f>
        <v>2002</v>
      </c>
      <c r="O129" s="539"/>
      <c r="P129" s="724">
        <f>VLOOKUP(P128,Check2,5,FALSE)</f>
        <v>2003</v>
      </c>
      <c r="Q129" s="539">
        <f>VLOOKUP(Q128,Check2,5,FALSE)</f>
        <v>2004</v>
      </c>
      <c r="R129" s="539"/>
      <c r="S129" s="490"/>
      <c r="T129" s="539">
        <f>VLOOKUP(T128,Check2,5,FALSE)</f>
        <v>2005</v>
      </c>
      <c r="U129" s="539"/>
      <c r="V129" s="539">
        <f>VLOOKUP(V128,Check2,5,FALSE)</f>
        <v>2006</v>
      </c>
      <c r="W129" s="539"/>
      <c r="X129" s="539">
        <f>VLOOKUP(X128,Check2,5,FALSE)</f>
        <v>2007</v>
      </c>
      <c r="Y129" s="539"/>
      <c r="Z129" s="539">
        <f>VLOOKUP(Z128,Check2,5,FALSE)</f>
        <v>2008</v>
      </c>
      <c r="AA129" s="491"/>
      <c r="AB129" s="449"/>
      <c r="AC129" s="449"/>
      <c r="AD129" s="1094" t="s">
        <v>134</v>
      </c>
      <c r="AE129" s="755" t="s">
        <v>55</v>
      </c>
      <c r="AF129" s="756">
        <f>COUNTIF(Check[סימון2],("S.S.2"&amp;"*"&amp;"."&amp;AD$5&amp;"*"))</f>
        <v>21</v>
      </c>
      <c r="AG129" s="757">
        <f>COUNTIF(Check[סימון2],("O.S.2"&amp;"*"&amp;"."&amp;AD$5&amp;"*"))</f>
        <v>17</v>
      </c>
      <c r="AH129" s="758">
        <f>SUM(AF129,AG129,AI129)</f>
        <v>38</v>
      </c>
      <c r="AI129" s="759">
        <f>COUNTIF(Check[סימון2],("V.S.2"&amp;"*"&amp;"."&amp;AD$5&amp;"*"))+AJ129</f>
        <v>0</v>
      </c>
      <c r="AJ129" s="760">
        <f>COUNTIF(Check[סימון2],("H.S.2"&amp;"*"&amp;"."&amp;AD$5&amp;"*"))</f>
        <v>0</v>
      </c>
      <c r="AK129" s="761" t="s">
        <v>55</v>
      </c>
      <c r="AL129" s="1096" t="s">
        <v>134</v>
      </c>
      <c r="AM129" s="449"/>
      <c r="AN129" s="637"/>
      <c r="AO129" s="542">
        <f>VLOOKUP(AO128,Check2,5,FALSE)</f>
        <v>2002</v>
      </c>
      <c r="AP129" s="543"/>
      <c r="AQ129" s="589">
        <f>VLOOKUP(AQ128,Check2,5,FALSE)</f>
        <v>2003</v>
      </c>
      <c r="AR129" s="543"/>
      <c r="AS129" s="589">
        <f>VLOOKUP(AS128,Check2,5,FALSE)</f>
        <v>2004</v>
      </c>
      <c r="AT129" s="590"/>
      <c r="AU129" s="584"/>
      <c r="AV129" s="589">
        <f>VLOOKUP(AV128,Check2,5,FALSE)</f>
        <v>2005</v>
      </c>
      <c r="AW129" s="543"/>
      <c r="AX129" s="724">
        <f>VLOOKUP(AX128,Check2,5,FALSE)</f>
        <v>2006</v>
      </c>
      <c r="AY129" s="589">
        <f>VLOOKUP(AY128,Check2,5,FALSE)</f>
        <v>2007</v>
      </c>
      <c r="AZ129" s="590"/>
      <c r="BA129" s="584"/>
      <c r="BB129" s="589">
        <f>VLOOKUP(BB128,Check2,5,FALSE)</f>
        <v>2001</v>
      </c>
      <c r="BC129" s="725"/>
      <c r="BD129" s="745"/>
      <c r="BE129" s="563"/>
      <c r="BF129" s="563"/>
      <c r="BG129" s="745"/>
      <c r="BH129" s="1078"/>
      <c r="BI129" s="1078"/>
      <c r="BJ129" s="1078"/>
      <c r="BK129" s="564"/>
      <c r="BL129" s="544" t="s">
        <v>65</v>
      </c>
      <c r="BM129" s="726"/>
      <c r="BN129" s="979"/>
      <c r="BO129" s="434"/>
      <c r="BP129" s="496" t="s">
        <v>1078</v>
      </c>
    </row>
    <row r="130" spans="1:68" ht="19.5" customHeight="1" thickBot="1" x14ac:dyDescent="0.45">
      <c r="A130" s="1014"/>
      <c r="B130" s="593">
        <f t="shared" ref="B130" si="753">B134+3.48</f>
        <v>76.11999999999999</v>
      </c>
      <c r="C130" s="594" t="s">
        <v>1</v>
      </c>
      <c r="D130" s="567"/>
      <c r="E130" s="1079"/>
      <c r="F130" s="1079"/>
      <c r="G130" s="1079"/>
      <c r="H130" s="568"/>
      <c r="I130" s="568"/>
      <c r="J130" s="568"/>
      <c r="K130" s="568"/>
      <c r="L130" s="595" t="str">
        <f>VLOOKUP(L128,Check2,6,FALSE)</f>
        <v>3B</v>
      </c>
      <c r="M130" s="548"/>
      <c r="N130" s="548" t="str">
        <f>VLOOKUP(N128,Check2,6,FALSE)</f>
        <v>3C</v>
      </c>
      <c r="O130" s="548"/>
      <c r="P130" s="727" t="str">
        <f>VLOOKUP(P128,Check2,6,FALSE)</f>
        <v>3A</v>
      </c>
      <c r="Q130" s="548" t="str">
        <f>VLOOKUP(Q128,Check2,6,FALSE)</f>
        <v>3D</v>
      </c>
      <c r="R130" s="548"/>
      <c r="S130" s="549"/>
      <c r="T130" s="548" t="str">
        <f>VLOOKUP(T128,Check2,6,FALSE)</f>
        <v>3E</v>
      </c>
      <c r="U130" s="548"/>
      <c r="V130" s="548" t="str">
        <f>VLOOKUP(V128,Check2,6,FALSE)</f>
        <v>4A</v>
      </c>
      <c r="W130" s="548"/>
      <c r="X130" s="548" t="str">
        <f>VLOOKUP(X128,Check2,6,FALSE)</f>
        <v>2G</v>
      </c>
      <c r="Y130" s="548"/>
      <c r="Z130" s="548" t="str">
        <f>VLOOKUP(Z128,Check2,6,FALSE)</f>
        <v>4B</v>
      </c>
      <c r="AA130" s="615"/>
      <c r="AB130" s="503"/>
      <c r="AC130" s="503"/>
      <c r="AD130" s="1094"/>
      <c r="AE130" s="762" t="s">
        <v>56</v>
      </c>
      <c r="AF130" s="763">
        <f>COUNTIF(Check[סימון2],("S.S.2"&amp;"*"&amp;"."&amp;AK$5&amp;"*"))</f>
        <v>57</v>
      </c>
      <c r="AG130" s="764">
        <f>COUNTIF(Check[סימון2],("O.S.2"&amp;"*"&amp;"."&amp;AK$5&amp;"*"))</f>
        <v>12</v>
      </c>
      <c r="AH130" s="765">
        <f t="shared" ref="AH130:AH167" si="754">SUM(AF130,AG130,AI130)</f>
        <v>69</v>
      </c>
      <c r="AI130" s="766">
        <f>COUNTIF(Check[סימון2],("V.S.2"&amp;"*"&amp;"."&amp;AK$5&amp;"*"))+AJ130</f>
        <v>0</v>
      </c>
      <c r="AJ130" s="767">
        <f>COUNTIF(Check[סימון2],("H.S.2"&amp;"*"&amp;"."&amp;AK$5&amp;"*"))</f>
        <v>0</v>
      </c>
      <c r="AK130" s="768" t="s">
        <v>56</v>
      </c>
      <c r="AL130" s="1096"/>
      <c r="AM130" s="503"/>
      <c r="AN130" s="640"/>
      <c r="AO130" s="505" t="str">
        <f>VLOOKUP(AO128,Check2,6,FALSE)</f>
        <v>5B</v>
      </c>
      <c r="AP130" s="571"/>
      <c r="AQ130" s="713" t="str">
        <f>VLOOKUP(AQ128,Check2,6,FALSE)</f>
        <v>5A</v>
      </c>
      <c r="AR130" s="571"/>
      <c r="AS130" s="713" t="str">
        <f>VLOOKUP(AS128,Check2,6,FALSE)</f>
        <v>4C</v>
      </c>
      <c r="AT130" s="714"/>
      <c r="AU130" s="709"/>
      <c r="AV130" s="713" t="str">
        <f>VLOOKUP(AV128,Check2,6,FALSE)</f>
        <v>2D</v>
      </c>
      <c r="AW130" s="571"/>
      <c r="AX130" s="747" t="str">
        <f>VLOOKUP(AX128,Check2,6,FALSE)</f>
        <v>3A</v>
      </c>
      <c r="AY130" s="713" t="str">
        <f>VLOOKUP(AY128,Check2,6,FALSE)</f>
        <v>3G</v>
      </c>
      <c r="AZ130" s="714"/>
      <c r="BA130" s="709"/>
      <c r="BB130" s="713" t="str">
        <f>VLOOKUP(BB128,Check2,6,FALSE)</f>
        <v>3F</v>
      </c>
      <c r="BC130" s="769"/>
      <c r="BD130" s="746"/>
      <c r="BE130" s="568"/>
      <c r="BF130" s="568"/>
      <c r="BG130" s="746"/>
      <c r="BH130" s="1079"/>
      <c r="BI130" s="1079"/>
      <c r="BJ130" s="1079"/>
      <c r="BK130" s="572"/>
      <c r="BL130" s="573" t="s">
        <v>1</v>
      </c>
      <c r="BM130" s="770">
        <f t="shared" ref="BM130" si="755">BM134+3.48</f>
        <v>76.11999999999999</v>
      </c>
      <c r="BN130" s="981"/>
      <c r="BO130" s="509"/>
      <c r="BP130" s="510" t="s">
        <v>1</v>
      </c>
    </row>
    <row r="131" spans="1:68" ht="26.25" thickBot="1" x14ac:dyDescent="0.5">
      <c r="A131" s="937"/>
      <c r="B131" s="469" t="str">
        <f t="shared" ref="B131" si="756">_xlfn.CONCAT("קומה ",B132)</f>
        <v>קומה 19</v>
      </c>
      <c r="C131" s="473" t="s">
        <v>0</v>
      </c>
      <c r="D131" s="556"/>
      <c r="E131" s="1081" t="s">
        <v>1076</v>
      </c>
      <c r="F131" s="1081" t="s">
        <v>1076</v>
      </c>
      <c r="G131" s="1081" t="s">
        <v>1076</v>
      </c>
      <c r="H131" s="557"/>
      <c r="I131" s="557"/>
      <c r="J131" s="557"/>
      <c r="K131" s="557"/>
      <c r="L131" s="460">
        <f t="shared" ref="L131" si="757">L135+8</f>
        <v>155</v>
      </c>
      <c r="M131" s="514"/>
      <c r="N131" s="514">
        <f t="shared" ref="N131" si="758">N135+8</f>
        <v>156</v>
      </c>
      <c r="O131" s="514"/>
      <c r="P131" s="540">
        <f t="shared" ref="P131:Q131" si="759">P135+8</f>
        <v>157</v>
      </c>
      <c r="Q131" s="514">
        <f t="shared" si="759"/>
        <v>158</v>
      </c>
      <c r="R131" s="514"/>
      <c r="S131" s="462"/>
      <c r="T131" s="514">
        <f t="shared" ref="T131" si="760">T135+8</f>
        <v>159</v>
      </c>
      <c r="U131" s="514"/>
      <c r="V131" s="514">
        <f t="shared" ref="V131" si="761">V135+8</f>
        <v>160</v>
      </c>
      <c r="W131" s="514"/>
      <c r="X131" s="514">
        <f t="shared" ref="X131" si="762">X135+8</f>
        <v>161</v>
      </c>
      <c r="Y131" s="514"/>
      <c r="Z131" s="514">
        <f t="shared" ref="Z131" si="763">Z135+8</f>
        <v>162</v>
      </c>
      <c r="AA131" s="463"/>
      <c r="AB131" s="464"/>
      <c r="AC131" s="464"/>
      <c r="AD131" s="1095"/>
      <c r="AE131" s="771" t="s">
        <v>64</v>
      </c>
      <c r="AF131" s="772">
        <f>COUNTIF(Check[סימון2],("S.S.2"&amp;"*"))</f>
        <v>78</v>
      </c>
      <c r="AG131" s="773">
        <f>COUNTIF(Check[סימון2],("O.S.2"&amp;"*"))</f>
        <v>29</v>
      </c>
      <c r="AH131" s="774">
        <f t="shared" si="754"/>
        <v>107</v>
      </c>
      <c r="AI131" s="775">
        <f>COUNTIF(Check[סימון2],("V.S.2"&amp;"*"))+AJ131</f>
        <v>0</v>
      </c>
      <c r="AJ131" s="776">
        <f>COUNTIF(Check[סימון2],("H.S.2"&amp;"*"))</f>
        <v>0</v>
      </c>
      <c r="AK131" s="777" t="s">
        <v>64</v>
      </c>
      <c r="AL131" s="1097"/>
      <c r="AM131" s="464"/>
      <c r="AN131" s="626"/>
      <c r="AO131" s="778">
        <f t="shared" ref="AO131:AP131" si="764">AO135+8</f>
        <v>154</v>
      </c>
      <c r="AP131" s="578">
        <f t="shared" si="764"/>
        <v>155</v>
      </c>
      <c r="AQ131" s="520"/>
      <c r="AR131" s="540">
        <f t="shared" ref="AR131:AS131" si="765">AR135+8</f>
        <v>156</v>
      </c>
      <c r="AS131" s="578">
        <f t="shared" si="765"/>
        <v>157</v>
      </c>
      <c r="AT131" s="520"/>
      <c r="AU131" s="578">
        <f t="shared" ref="AU131" si="766">AU135+8</f>
        <v>158</v>
      </c>
      <c r="AV131" s="461"/>
      <c r="AW131" s="520"/>
      <c r="AX131" s="540">
        <f t="shared" ref="AX131:AY131" si="767">AX135+8</f>
        <v>151</v>
      </c>
      <c r="AY131" s="578">
        <f t="shared" si="767"/>
        <v>152</v>
      </c>
      <c r="AZ131" s="461"/>
      <c r="BA131" s="520"/>
      <c r="BB131" s="578">
        <f t="shared" ref="BB131" si="768">BB135+8</f>
        <v>153</v>
      </c>
      <c r="BC131" s="719"/>
      <c r="BD131" s="733"/>
      <c r="BE131" s="557"/>
      <c r="BF131" s="557"/>
      <c r="BG131" s="733"/>
      <c r="BH131" s="1081" t="s">
        <v>1076</v>
      </c>
      <c r="BI131" s="1081" t="s">
        <v>1076</v>
      </c>
      <c r="BJ131" s="1081" t="s">
        <v>1076</v>
      </c>
      <c r="BK131" s="559"/>
      <c r="BL131" s="483" t="s">
        <v>0</v>
      </c>
      <c r="BM131" s="779" t="str">
        <f t="shared" ref="BM131" si="769">_xlfn.CONCAT("קומה ",BM132)</f>
        <v>קומה 19</v>
      </c>
      <c r="BN131" s="1116" t="s">
        <v>59</v>
      </c>
      <c r="BO131" s="470"/>
      <c r="BP131" s="471" t="s">
        <v>0</v>
      </c>
    </row>
    <row r="132" spans="1:68" ht="20.25" hidden="1" customHeight="1" x14ac:dyDescent="0.3">
      <c r="A132" s="937"/>
      <c r="B132" s="472">
        <f t="shared" ref="B132" si="770">B136+1</f>
        <v>19</v>
      </c>
      <c r="C132" s="473" t="s">
        <v>89</v>
      </c>
      <c r="D132" s="560"/>
      <c r="E132" s="1082"/>
      <c r="F132" s="1082"/>
      <c r="G132" s="1082"/>
      <c r="H132" s="535"/>
      <c r="I132" s="535"/>
      <c r="J132" s="535"/>
      <c r="K132" s="535"/>
      <c r="L132" s="475" t="str">
        <f>VLOOKUP("*"&amp;L$5&amp;".Ap."&amp;L131,Check2,1,FALSE)</f>
        <v>V.GMS.S.3B.TS.Ap.155</v>
      </c>
      <c r="M132" s="525" t="str">
        <f t="shared" si="718"/>
        <v>V.GMS.S.3B.TS.Ap.155</v>
      </c>
      <c r="N132" s="525" t="str">
        <f>VLOOKUP("*"&amp;N$5&amp;".Ap."&amp;N131,Check2,1,FALSE)</f>
        <v>S.S.3C.TS.Ap.156</v>
      </c>
      <c r="O132" s="525" t="str">
        <f t="shared" si="719"/>
        <v>S.S.3C.TS.Ap.156</v>
      </c>
      <c r="P132" s="525" t="str">
        <f>VLOOKUP("*"&amp;P$5&amp;".Ap."&amp;P131,Check2,1,FALSE)</f>
        <v>S.S.3A.TS.Ap.157</v>
      </c>
      <c r="Q132" s="525" t="str">
        <f>VLOOKUP("*"&amp;Q$5&amp;".Ap."&amp;Q131,Check2,1,FALSE)</f>
        <v>S.S.3D.TS.Ap.158</v>
      </c>
      <c r="R132" s="525" t="str">
        <f t="shared" ref="R132:S132" si="771">Q132</f>
        <v>S.S.3D.TS.Ap.158</v>
      </c>
      <c r="S132" s="477" t="str">
        <f t="shared" si="771"/>
        <v>S.S.3D.TS.Ap.158</v>
      </c>
      <c r="T132" s="525" t="str">
        <f>VLOOKUP("*"&amp;T$5&amp;".Ap."&amp;T131,Check2,1,FALSE)</f>
        <v>S.S.3E.TS.Ap.159</v>
      </c>
      <c r="U132" s="525" t="str">
        <f t="shared" si="721"/>
        <v>S.S.3E.TS.Ap.159</v>
      </c>
      <c r="V132" s="525" t="str">
        <f>VLOOKUP("*"&amp;V$5&amp;".Ap."&amp;V131,Check2,1,FALSE)</f>
        <v>O.S.4A.TS.Ap.160</v>
      </c>
      <c r="W132" s="525" t="str">
        <f t="shared" ref="W132" si="772">V132</f>
        <v>O.S.4A.TS.Ap.160</v>
      </c>
      <c r="X132" s="525" t="str">
        <f>VLOOKUP("*"&amp;X$5&amp;".Ap."&amp;X131,Check2,1,FALSE)</f>
        <v>S.S.2G.TS.Ap.161</v>
      </c>
      <c r="Y132" s="525" t="str">
        <f t="shared" si="723"/>
        <v>S.S.2G.TS.Ap.161</v>
      </c>
      <c r="Z132" s="525" t="str">
        <f>VLOOKUP("*"&amp;Z$5&amp;".Ap."&amp;Z131,Check2,1,FALSE)</f>
        <v>V.GMS.S.4B.TS.Ap.162</v>
      </c>
      <c r="AA132" s="478" t="str">
        <f t="shared" si="724"/>
        <v>V.GMS.S.4B.TS.Ap.162</v>
      </c>
      <c r="AB132" s="479"/>
      <c r="AC132" s="479"/>
      <c r="AD132" s="780"/>
      <c r="AE132" s="749"/>
      <c r="AF132" s="781"/>
      <c r="AG132" s="782"/>
      <c r="AH132" s="783">
        <f t="shared" si="754"/>
        <v>0</v>
      </c>
      <c r="AI132" s="784"/>
      <c r="AJ132" s="785"/>
      <c r="AK132" s="753"/>
      <c r="AL132" s="786"/>
      <c r="AM132" s="479"/>
      <c r="AN132" s="636"/>
      <c r="AO132" s="475" t="str">
        <f>VLOOKUP("*"&amp;AO$5&amp;".Ap."&amp;AO131,Check2,1,FALSE)</f>
        <v>S.S.4B.TN.Ap.154</v>
      </c>
      <c r="AP132" s="533" t="str">
        <f>VLOOKUP("*"&amp;AP$5&amp;".Ap."&amp;AP131,Check2,1,FALSE)</f>
        <v>S.S.2G.TN.Ap.155</v>
      </c>
      <c r="AQ132" s="477" t="str">
        <f t="shared" ref="AQ132" si="773">AP132</f>
        <v>S.S.2G.TN.Ap.155</v>
      </c>
      <c r="AR132" s="525" t="str">
        <f>VLOOKUP("*"&amp;AR$5&amp;".Ap."&amp;AR131,Check2,1,FALSE)</f>
        <v>S.S.4A.TN.Ap.156</v>
      </c>
      <c r="AS132" s="533" t="str">
        <f>VLOOKUP("*"&amp;AS$5&amp;".Ap."&amp;AS131,Check2,1,FALSE)</f>
        <v>S.S.3E.TN.Ap.157</v>
      </c>
      <c r="AT132" s="477" t="str">
        <f t="shared" ref="AT132" si="774">AS132</f>
        <v>S.S.3E.TN.Ap.157</v>
      </c>
      <c r="AU132" s="533" t="str">
        <f>VLOOKUP("*"&amp;AU$5&amp;".Ap."&amp;AU131,Check2,1,FALSE)</f>
        <v>S.S.3D.TN.Ap.158</v>
      </c>
      <c r="AV132" s="476" t="str">
        <f t="shared" ref="AV132:AW132" si="775">AU132</f>
        <v>S.S.3D.TN.Ap.158</v>
      </c>
      <c r="AW132" s="477" t="str">
        <f t="shared" si="775"/>
        <v>S.S.3D.TN.Ap.158</v>
      </c>
      <c r="AX132" s="525" t="str">
        <f>VLOOKUP("*"&amp;AX$5&amp;".Ap."&amp;AX131,Check2,1,FALSE)</f>
        <v>V.GMS.S.3A.TN.Ap.151</v>
      </c>
      <c r="AY132" s="533" t="str">
        <f>VLOOKUP("*"&amp;AY$5&amp;".Ap."&amp;AY131,Check2,1,FALSE)</f>
        <v>S.S.3C.TN.Ap.152</v>
      </c>
      <c r="AZ132" s="476" t="str">
        <f t="shared" ref="AZ132:BA132" si="776">AY132</f>
        <v>S.S.3C.TN.Ap.152</v>
      </c>
      <c r="BA132" s="477" t="str">
        <f t="shared" si="776"/>
        <v>S.S.3C.TN.Ap.152</v>
      </c>
      <c r="BB132" s="533" t="str">
        <f>VLOOKUP("*"&amp;BB$5&amp;".Ap."&amp;BB131,Check2,1,FALSE)</f>
        <v>S.S.3B.TN.Ap.153</v>
      </c>
      <c r="BC132" s="722" t="str">
        <f t="shared" ref="BC132" si="777">BB132</f>
        <v>S.S.3B.TN.Ap.153</v>
      </c>
      <c r="BD132" s="744"/>
      <c r="BE132" s="535"/>
      <c r="BF132" s="535"/>
      <c r="BG132" s="744"/>
      <c r="BH132" s="1082"/>
      <c r="BI132" s="1082"/>
      <c r="BJ132" s="1082"/>
      <c r="BK132" s="561"/>
      <c r="BL132" s="483" t="s">
        <v>89</v>
      </c>
      <c r="BM132" s="787">
        <f t="shared" ref="BM132" si="778">BM136+1</f>
        <v>19</v>
      </c>
      <c r="BN132" s="1116"/>
      <c r="BO132" s="484"/>
      <c r="BP132" s="485" t="s">
        <v>89</v>
      </c>
    </row>
    <row r="133" spans="1:68" ht="21.75" x14ac:dyDescent="0.3">
      <c r="A133" s="937"/>
      <c r="B133" s="486"/>
      <c r="C133" s="487" t="s">
        <v>65</v>
      </c>
      <c r="D133" s="562"/>
      <c r="E133" s="1082"/>
      <c r="F133" s="1082"/>
      <c r="G133" s="1082"/>
      <c r="H133" s="563"/>
      <c r="I133" s="563"/>
      <c r="J133" s="563"/>
      <c r="K133" s="563"/>
      <c r="L133" s="488">
        <f>VLOOKUP(L132,Check2,5,FALSE)</f>
        <v>1901</v>
      </c>
      <c r="M133" s="539"/>
      <c r="N133" s="539">
        <f>VLOOKUP(N132,Check2,5,FALSE)</f>
        <v>1902</v>
      </c>
      <c r="O133" s="539"/>
      <c r="P133" s="724">
        <f>VLOOKUP(P132,Check2,5,FALSE)</f>
        <v>1903</v>
      </c>
      <c r="Q133" s="539">
        <f>VLOOKUP(Q132,Check2,5,FALSE)</f>
        <v>1904</v>
      </c>
      <c r="R133" s="539"/>
      <c r="S133" s="490"/>
      <c r="T133" s="539">
        <f>VLOOKUP(T132,Check2,5,FALSE)</f>
        <v>1905</v>
      </c>
      <c r="U133" s="539"/>
      <c r="V133" s="539">
        <f>VLOOKUP(V132,Check2,5,FALSE)</f>
        <v>1906</v>
      </c>
      <c r="W133" s="539"/>
      <c r="X133" s="539">
        <f>VLOOKUP(X132,Check2,5,FALSE)</f>
        <v>1907</v>
      </c>
      <c r="Y133" s="539"/>
      <c r="Z133" s="539">
        <f>VLOOKUP(Z132,Check2,5,FALSE)</f>
        <v>1908</v>
      </c>
      <c r="AA133" s="491"/>
      <c r="AB133" s="449"/>
      <c r="AC133" s="449"/>
      <c r="AD133" s="1094" t="s">
        <v>135</v>
      </c>
      <c r="AE133" s="755" t="s">
        <v>55</v>
      </c>
      <c r="AF133" s="756">
        <f>COUNTIF(Check[סימון2],("S.S.3"&amp;"*"&amp;"."&amp;AD$5&amp;"*"))</f>
        <v>51</v>
      </c>
      <c r="AG133" s="757">
        <f>COUNTIF(Check[סימון2],("O.S.3"&amp;"*"&amp;"."&amp;AD$5&amp;"*"))</f>
        <v>17</v>
      </c>
      <c r="AH133" s="758">
        <f t="shared" si="754"/>
        <v>68</v>
      </c>
      <c r="AI133" s="759">
        <f>COUNTIF(Check[סימון2],("V.S.3"&amp;"*"&amp;"."&amp;AD$5&amp;"*"))+AJ133</f>
        <v>0</v>
      </c>
      <c r="AJ133" s="760">
        <f>COUNTIF(Check[סימון2],("H.S.3"&amp;"*"&amp;"."&amp;AD$5&amp;"*"))</f>
        <v>0</v>
      </c>
      <c r="AK133" s="761" t="s">
        <v>55</v>
      </c>
      <c r="AL133" s="1096" t="s">
        <v>135</v>
      </c>
      <c r="AM133" s="449"/>
      <c r="AN133" s="637"/>
      <c r="AO133" s="788">
        <f>VLOOKUP(AO132,Check2,5,FALSE)</f>
        <v>1902</v>
      </c>
      <c r="AP133" s="589">
        <f>VLOOKUP(AP132,Check2,5,FALSE)</f>
        <v>1903</v>
      </c>
      <c r="AQ133" s="543"/>
      <c r="AR133" s="724">
        <f>VLOOKUP(AR132,Check2,5,FALSE)</f>
        <v>1904</v>
      </c>
      <c r="AS133" s="589">
        <f>VLOOKUP(AS132,Check2,5,FALSE)</f>
        <v>1905</v>
      </c>
      <c r="AT133" s="543"/>
      <c r="AU133" s="589">
        <f>VLOOKUP(AU132,Check2,5,FALSE)</f>
        <v>1906</v>
      </c>
      <c r="AV133" s="590"/>
      <c r="AW133" s="584"/>
      <c r="AX133" s="724">
        <f>VLOOKUP(AX132,Check2,5,FALSE)</f>
        <v>1907</v>
      </c>
      <c r="AY133" s="589">
        <f>VLOOKUP(AY132,Check2,5,FALSE)</f>
        <v>1908</v>
      </c>
      <c r="AZ133" s="590"/>
      <c r="BA133" s="584"/>
      <c r="BB133" s="589">
        <f>VLOOKUP(BB132,Check2,5,FALSE)</f>
        <v>1901</v>
      </c>
      <c r="BC133" s="725"/>
      <c r="BD133" s="745"/>
      <c r="BE133" s="563"/>
      <c r="BF133" s="563"/>
      <c r="BG133" s="745"/>
      <c r="BH133" s="1082"/>
      <c r="BI133" s="1082"/>
      <c r="BJ133" s="1082"/>
      <c r="BK133" s="564"/>
      <c r="BL133" s="495" t="s">
        <v>65</v>
      </c>
      <c r="BM133" s="789"/>
      <c r="BN133" s="1116"/>
      <c r="BO133" s="434"/>
      <c r="BP133" s="496" t="s">
        <v>1078</v>
      </c>
    </row>
    <row r="134" spans="1:68" ht="19.5" customHeight="1" thickBot="1" x14ac:dyDescent="0.45">
      <c r="A134" s="1014"/>
      <c r="B134" s="593">
        <f t="shared" ref="B134" si="779">B138+3.48</f>
        <v>72.639999999999986</v>
      </c>
      <c r="C134" s="594" t="s">
        <v>1</v>
      </c>
      <c r="D134" s="567"/>
      <c r="E134" s="1083"/>
      <c r="F134" s="1083"/>
      <c r="G134" s="1083"/>
      <c r="H134" s="568"/>
      <c r="I134" s="568"/>
      <c r="J134" s="568"/>
      <c r="K134" s="568"/>
      <c r="L134" s="595" t="str">
        <f>VLOOKUP(L132,Check2,6,FALSE)</f>
        <v>3B</v>
      </c>
      <c r="M134" s="548"/>
      <c r="N134" s="548" t="str">
        <f>VLOOKUP(N132,Check2,6,FALSE)</f>
        <v>3C</v>
      </c>
      <c r="O134" s="548"/>
      <c r="P134" s="727" t="str">
        <f>VLOOKUP(P132,Check2,6,FALSE)</f>
        <v>3A</v>
      </c>
      <c r="Q134" s="548" t="str">
        <f>VLOOKUP(Q132,Check2,6,FALSE)</f>
        <v>3D</v>
      </c>
      <c r="R134" s="548"/>
      <c r="S134" s="549"/>
      <c r="T134" s="548" t="str">
        <f>VLOOKUP(T132,Check2,6,FALSE)</f>
        <v>3E</v>
      </c>
      <c r="U134" s="548"/>
      <c r="V134" s="548" t="str">
        <f>VLOOKUP(V132,Check2,6,FALSE)</f>
        <v>4A</v>
      </c>
      <c r="W134" s="548"/>
      <c r="X134" s="548" t="str">
        <f>VLOOKUP(X132,Check2,6,FALSE)</f>
        <v>2G</v>
      </c>
      <c r="Y134" s="548"/>
      <c r="Z134" s="548" t="str">
        <f>VLOOKUP(Z132,Check2,6,FALSE)</f>
        <v>4B</v>
      </c>
      <c r="AA134" s="615"/>
      <c r="AB134" s="503"/>
      <c r="AC134" s="503"/>
      <c r="AD134" s="1094"/>
      <c r="AE134" s="762" t="s">
        <v>56</v>
      </c>
      <c r="AF134" s="763">
        <f>COUNTIF(Check[סימון2],("S.S.3"&amp;"*"&amp;"."&amp;AK$5&amp;"*"))</f>
        <v>79</v>
      </c>
      <c r="AG134" s="764">
        <f>COUNTIF(Check[סימון2],("O.S.3"&amp;"*"&amp;"."&amp;AK$5&amp;"*"))</f>
        <v>2</v>
      </c>
      <c r="AH134" s="765">
        <f t="shared" si="754"/>
        <v>81</v>
      </c>
      <c r="AI134" s="766">
        <f>COUNTIF(Check[סימון2],("V.S.3"&amp;"*"&amp;"."&amp;AK$5&amp;"*"))+AJ134</f>
        <v>0</v>
      </c>
      <c r="AJ134" s="767">
        <f>COUNTIF(Check[סימון2],("H.S.3"&amp;"*"&amp;"."&amp;AK$5&amp;"*"))</f>
        <v>0</v>
      </c>
      <c r="AK134" s="768" t="s">
        <v>56</v>
      </c>
      <c r="AL134" s="1096"/>
      <c r="AM134" s="503"/>
      <c r="AN134" s="640"/>
      <c r="AO134" s="790" t="str">
        <f>VLOOKUP(AO132,Check2,6,FALSE)</f>
        <v>4B</v>
      </c>
      <c r="AP134" s="603" t="str">
        <f>VLOOKUP(AP132,Check2,6,FALSE)</f>
        <v>2G</v>
      </c>
      <c r="AQ134" s="553"/>
      <c r="AR134" s="727" t="str">
        <f>VLOOKUP(AR132,Check2,6,FALSE)</f>
        <v>4A</v>
      </c>
      <c r="AS134" s="603" t="str">
        <f>VLOOKUP(AS132,Check2,6,FALSE)</f>
        <v>3E</v>
      </c>
      <c r="AT134" s="553"/>
      <c r="AU134" s="603" t="str">
        <f>VLOOKUP(AU132,Check2,6,FALSE)</f>
        <v>3D</v>
      </c>
      <c r="AV134" s="604"/>
      <c r="AW134" s="597"/>
      <c r="AX134" s="727" t="str">
        <f>VLOOKUP(AX132,Check2,6,FALSE)</f>
        <v>3A</v>
      </c>
      <c r="AY134" s="603" t="str">
        <f>VLOOKUP(AY132,Check2,6,FALSE)</f>
        <v>3C</v>
      </c>
      <c r="AZ134" s="604"/>
      <c r="BA134" s="597"/>
      <c r="BB134" s="603" t="str">
        <f>VLOOKUP(BB132,Check2,6,FALSE)</f>
        <v>3B</v>
      </c>
      <c r="BC134" s="728"/>
      <c r="BD134" s="746"/>
      <c r="BE134" s="568"/>
      <c r="BF134" s="568"/>
      <c r="BG134" s="746"/>
      <c r="BH134" s="1083"/>
      <c r="BI134" s="1083"/>
      <c r="BJ134" s="1083"/>
      <c r="BK134" s="572"/>
      <c r="BL134" s="607" t="s">
        <v>1</v>
      </c>
      <c r="BM134" s="791">
        <f t="shared" ref="BM134" si="780">BM138+3.48</f>
        <v>72.639999999999986</v>
      </c>
      <c r="BN134" s="1117"/>
      <c r="BO134" s="509"/>
      <c r="BP134" s="510" t="s">
        <v>1</v>
      </c>
    </row>
    <row r="135" spans="1:68" ht="26.25" thickBot="1" x14ac:dyDescent="0.5">
      <c r="A135" s="937"/>
      <c r="B135" s="469" t="str">
        <f t="shared" ref="B135" si="781">_xlfn.CONCAT("קומה ",B136)</f>
        <v>קומה 18</v>
      </c>
      <c r="C135" s="473" t="s">
        <v>0</v>
      </c>
      <c r="D135" s="556"/>
      <c r="E135" s="1080"/>
      <c r="F135" s="1080"/>
      <c r="G135" s="1080"/>
      <c r="H135" s="557"/>
      <c r="I135" s="557"/>
      <c r="J135" s="557"/>
      <c r="K135" s="557"/>
      <c r="L135" s="460">
        <f t="shared" ref="L135" si="782">L139+8</f>
        <v>147</v>
      </c>
      <c r="M135" s="514"/>
      <c r="N135" s="514">
        <f t="shared" ref="N135" si="783">N139+8</f>
        <v>148</v>
      </c>
      <c r="O135" s="514"/>
      <c r="P135" s="540">
        <f t="shared" ref="P135:Q135" si="784">P139+8</f>
        <v>149</v>
      </c>
      <c r="Q135" s="514">
        <f t="shared" si="784"/>
        <v>150</v>
      </c>
      <c r="R135" s="514"/>
      <c r="S135" s="462"/>
      <c r="T135" s="514">
        <f t="shared" ref="T135" si="785">T139+8</f>
        <v>151</v>
      </c>
      <c r="U135" s="514"/>
      <c r="V135" s="514">
        <f t="shared" ref="V135" si="786">V139+8</f>
        <v>152</v>
      </c>
      <c r="W135" s="514"/>
      <c r="X135" s="514">
        <f t="shared" ref="X135" si="787">X139+8</f>
        <v>153</v>
      </c>
      <c r="Y135" s="514"/>
      <c r="Z135" s="514">
        <f t="shared" ref="Z135" si="788">Z139+8</f>
        <v>154</v>
      </c>
      <c r="AA135" s="463"/>
      <c r="AB135" s="464"/>
      <c r="AC135" s="464"/>
      <c r="AD135" s="1095"/>
      <c r="AE135" s="771" t="s">
        <v>64</v>
      </c>
      <c r="AF135" s="772">
        <f>COUNTIF(Check[סימון2],("S.S.3"&amp;"*"))</f>
        <v>130</v>
      </c>
      <c r="AG135" s="773">
        <f>COUNTIF(Check[סימון2],("O.S.3"&amp;"*"))</f>
        <v>19</v>
      </c>
      <c r="AH135" s="774">
        <f t="shared" si="754"/>
        <v>149</v>
      </c>
      <c r="AI135" s="775">
        <f>COUNTIF(Check[סימון2],("V.S.3"&amp;"*"))+AJ135</f>
        <v>0</v>
      </c>
      <c r="AJ135" s="776">
        <f>COUNTIF(Check[סימון2],("H.S.3"&amp;"*"))</f>
        <v>0</v>
      </c>
      <c r="AK135" s="777" t="s">
        <v>64</v>
      </c>
      <c r="AL135" s="1097"/>
      <c r="AM135" s="464"/>
      <c r="AN135" s="626"/>
      <c r="AO135" s="778">
        <f t="shared" ref="AO135:AP135" si="789">AO139+8</f>
        <v>146</v>
      </c>
      <c r="AP135" s="578">
        <f t="shared" si="789"/>
        <v>147</v>
      </c>
      <c r="AQ135" s="520"/>
      <c r="AR135" s="540">
        <f t="shared" ref="AR135:AS135" si="790">AR139+8</f>
        <v>148</v>
      </c>
      <c r="AS135" s="578">
        <f t="shared" si="790"/>
        <v>149</v>
      </c>
      <c r="AT135" s="520"/>
      <c r="AU135" s="578">
        <f t="shared" ref="AU135" si="791">AU139+8</f>
        <v>150</v>
      </c>
      <c r="AV135" s="461"/>
      <c r="AW135" s="520"/>
      <c r="AX135" s="540">
        <f t="shared" ref="AX135:AY135" si="792">AX139+8</f>
        <v>143</v>
      </c>
      <c r="AY135" s="578">
        <f t="shared" si="792"/>
        <v>144</v>
      </c>
      <c r="AZ135" s="461"/>
      <c r="BA135" s="520"/>
      <c r="BB135" s="578">
        <f t="shared" ref="BB135" si="793">BB139+8</f>
        <v>145</v>
      </c>
      <c r="BC135" s="719"/>
      <c r="BD135" s="733"/>
      <c r="BE135" s="557"/>
      <c r="BF135" s="557"/>
      <c r="BG135" s="733"/>
      <c r="BH135" s="1080"/>
      <c r="BI135" s="1080"/>
      <c r="BJ135" s="1080"/>
      <c r="BK135" s="559"/>
      <c r="BL135" s="483" t="s">
        <v>0</v>
      </c>
      <c r="BM135" s="779" t="str">
        <f t="shared" ref="BM135" si="794">_xlfn.CONCAT("קומה ",BM136)</f>
        <v>קומה 18</v>
      </c>
      <c r="BN135" s="1116"/>
      <c r="BO135" s="470"/>
      <c r="BP135" s="471" t="s">
        <v>0</v>
      </c>
    </row>
    <row r="136" spans="1:68" ht="20.25" hidden="1" customHeight="1" x14ac:dyDescent="0.3">
      <c r="A136" s="937"/>
      <c r="B136" s="472">
        <f t="shared" ref="B136" si="795">B140+1</f>
        <v>18</v>
      </c>
      <c r="C136" s="473" t="s">
        <v>89</v>
      </c>
      <c r="D136" s="560"/>
      <c r="E136" s="1078"/>
      <c r="F136" s="1078"/>
      <c r="G136" s="1078"/>
      <c r="H136" s="535"/>
      <c r="I136" s="535"/>
      <c r="J136" s="535"/>
      <c r="K136" s="535"/>
      <c r="L136" s="475" t="str">
        <f>VLOOKUP("*"&amp;L$5&amp;".Ap."&amp;L135,Check2,1,FALSE)</f>
        <v>V.GMS.S.3B.TS.Ap.147</v>
      </c>
      <c r="M136" s="525" t="str">
        <f t="shared" ref="M136" si="796">L136</f>
        <v>V.GMS.S.3B.TS.Ap.147</v>
      </c>
      <c r="N136" s="525" t="str">
        <f>VLOOKUP("*"&amp;N$5&amp;".Ap."&amp;N135,Check2,1,FALSE)</f>
        <v>S.S.3C.TS.Ap.148</v>
      </c>
      <c r="O136" s="525" t="str">
        <f t="shared" ref="O136" si="797">N136</f>
        <v>S.S.3C.TS.Ap.148</v>
      </c>
      <c r="P136" s="525" t="str">
        <f>VLOOKUP("*"&amp;P$5&amp;".Ap."&amp;P135,Check2,1,FALSE)</f>
        <v>S.S.3A.TS.Ap.149</v>
      </c>
      <c r="Q136" s="525" t="str">
        <f>VLOOKUP("*"&amp;Q$5&amp;".Ap."&amp;Q135,Check2,1,FALSE)</f>
        <v>S.S.3D.TS.Ap.150</v>
      </c>
      <c r="R136" s="525" t="str">
        <f t="shared" ref="R136:S136" si="798">Q136</f>
        <v>S.S.3D.TS.Ap.150</v>
      </c>
      <c r="S136" s="477" t="str">
        <f t="shared" si="798"/>
        <v>S.S.3D.TS.Ap.150</v>
      </c>
      <c r="T136" s="525" t="str">
        <f>VLOOKUP("*"&amp;T$5&amp;".Ap."&amp;T135,Check2,1,FALSE)</f>
        <v>S.S.3E.TS.Ap.151</v>
      </c>
      <c r="U136" s="525" t="str">
        <f t="shared" ref="U136" si="799">T136</f>
        <v>S.S.3E.TS.Ap.151</v>
      </c>
      <c r="V136" s="525" t="str">
        <f>VLOOKUP("*"&amp;V$5&amp;".Ap."&amp;V135,Check2,1,FALSE)</f>
        <v>O.S.4A.TS.Ap.152</v>
      </c>
      <c r="W136" s="525" t="str">
        <f t="shared" ref="W136" si="800">V136</f>
        <v>O.S.4A.TS.Ap.152</v>
      </c>
      <c r="X136" s="525" t="str">
        <f>VLOOKUP("*"&amp;X$5&amp;".Ap."&amp;X135,Check2,1,FALSE)</f>
        <v>V.GMC.S.2G.TS.Ap.153</v>
      </c>
      <c r="Y136" s="525" t="str">
        <f t="shared" ref="Y136" si="801">X136</f>
        <v>V.GMC.S.2G.TS.Ap.153</v>
      </c>
      <c r="Z136" s="525" t="str">
        <f>VLOOKUP("*"&amp;Z$5&amp;".Ap."&amp;Z135,Check2,1,FALSE)</f>
        <v>V.GMC.S.4B.TS.Ap.154</v>
      </c>
      <c r="AA136" s="478" t="str">
        <f t="shared" si="724"/>
        <v>V.GMC.S.4B.TS.Ap.154</v>
      </c>
      <c r="AB136" s="479"/>
      <c r="AC136" s="479"/>
      <c r="AD136" s="780"/>
      <c r="AE136" s="749"/>
      <c r="AF136" s="781"/>
      <c r="AG136" s="782"/>
      <c r="AH136" s="783">
        <f t="shared" si="754"/>
        <v>0</v>
      </c>
      <c r="AI136" s="784"/>
      <c r="AJ136" s="785"/>
      <c r="AK136" s="753"/>
      <c r="AL136" s="786"/>
      <c r="AM136" s="479"/>
      <c r="AN136" s="636"/>
      <c r="AO136" s="475" t="str">
        <f>VLOOKUP("*"&amp;AO$5&amp;".Ap."&amp;AO135,Check2,1,FALSE)</f>
        <v>S.S.4B.TN.Ap.146</v>
      </c>
      <c r="AP136" s="533" t="str">
        <f>VLOOKUP("*"&amp;AP$5&amp;".Ap."&amp;AP135,Check2,1,FALSE)</f>
        <v>S.S.2G.TN.Ap.147</v>
      </c>
      <c r="AQ136" s="477" t="str">
        <f t="shared" ref="AQ136" si="802">AP136</f>
        <v>S.S.2G.TN.Ap.147</v>
      </c>
      <c r="AR136" s="525" t="str">
        <f>VLOOKUP("*"&amp;AR$5&amp;".Ap."&amp;AR135,Check2,1,FALSE)</f>
        <v>S.S.4A.TN.Ap.148</v>
      </c>
      <c r="AS136" s="533" t="str">
        <f>VLOOKUP("*"&amp;AS$5&amp;".Ap."&amp;AS135,Check2,1,FALSE)</f>
        <v>S.S.3E.TN.Ap.149</v>
      </c>
      <c r="AT136" s="477" t="str">
        <f t="shared" ref="AT136" si="803">AS136</f>
        <v>S.S.3E.TN.Ap.149</v>
      </c>
      <c r="AU136" s="533" t="str">
        <f>VLOOKUP("*"&amp;AU$5&amp;".Ap."&amp;AU135,Check2,1,FALSE)</f>
        <v>S.S.3D.TN.Ap.150</v>
      </c>
      <c r="AV136" s="476" t="str">
        <f t="shared" ref="AV136:AW136" si="804">AU136</f>
        <v>S.S.3D.TN.Ap.150</v>
      </c>
      <c r="AW136" s="477" t="str">
        <f t="shared" si="804"/>
        <v>S.S.3D.TN.Ap.150</v>
      </c>
      <c r="AX136" s="525" t="str">
        <f>VLOOKUP("*"&amp;AX$5&amp;".Ap."&amp;AX135,Check2,1,FALSE)</f>
        <v>V.GMS.S.3A.TN.Ap.143</v>
      </c>
      <c r="AY136" s="533" t="str">
        <f>VLOOKUP("*"&amp;AY$5&amp;".Ap."&amp;AY135,Check2,1,FALSE)</f>
        <v>S.S.3C.TN.Ap.144</v>
      </c>
      <c r="AZ136" s="476" t="str">
        <f t="shared" ref="AZ136:BA136" si="805">AY136</f>
        <v>S.S.3C.TN.Ap.144</v>
      </c>
      <c r="BA136" s="477" t="str">
        <f t="shared" si="805"/>
        <v>S.S.3C.TN.Ap.144</v>
      </c>
      <c r="BB136" s="533" t="str">
        <f>VLOOKUP("*"&amp;BB$5&amp;".Ap."&amp;BB135,Check2,1,FALSE)</f>
        <v>S.S.3B.TN.Ap.145</v>
      </c>
      <c r="BC136" s="722" t="str">
        <f t="shared" ref="BC136" si="806">BB136</f>
        <v>S.S.3B.TN.Ap.145</v>
      </c>
      <c r="BD136" s="744"/>
      <c r="BE136" s="535"/>
      <c r="BF136" s="535"/>
      <c r="BG136" s="744"/>
      <c r="BH136" s="1078"/>
      <c r="BI136" s="1078"/>
      <c r="BJ136" s="1078"/>
      <c r="BK136" s="561"/>
      <c r="BL136" s="483" t="s">
        <v>89</v>
      </c>
      <c r="BM136" s="787">
        <f t="shared" ref="BM136" si="807">BM140+1</f>
        <v>18</v>
      </c>
      <c r="BN136" s="1116"/>
      <c r="BO136" s="484"/>
      <c r="BP136" s="485" t="s">
        <v>89</v>
      </c>
    </row>
    <row r="137" spans="1:68" ht="21.75" x14ac:dyDescent="0.3">
      <c r="A137" s="937"/>
      <c r="B137" s="486"/>
      <c r="C137" s="487" t="s">
        <v>65</v>
      </c>
      <c r="D137" s="562"/>
      <c r="E137" s="1078"/>
      <c r="F137" s="1078"/>
      <c r="G137" s="1078"/>
      <c r="H137" s="563"/>
      <c r="I137" s="563"/>
      <c r="J137" s="563"/>
      <c r="K137" s="563"/>
      <c r="L137" s="488">
        <f>VLOOKUP(L136,Check2,5,FALSE)</f>
        <v>1801</v>
      </c>
      <c r="M137" s="539"/>
      <c r="N137" s="539">
        <f>VLOOKUP(N136,Check2,5,FALSE)</f>
        <v>1802</v>
      </c>
      <c r="O137" s="539"/>
      <c r="P137" s="724">
        <f>VLOOKUP(P136,Check2,5,FALSE)</f>
        <v>1803</v>
      </c>
      <c r="Q137" s="539">
        <f>VLOOKUP(Q136,Check2,5,FALSE)</f>
        <v>1804</v>
      </c>
      <c r="R137" s="539"/>
      <c r="S137" s="490"/>
      <c r="T137" s="539">
        <f>VLOOKUP(T136,Check2,5,FALSE)</f>
        <v>1805</v>
      </c>
      <c r="U137" s="539"/>
      <c r="V137" s="539">
        <f>VLOOKUP(V136,Check2,5,FALSE)</f>
        <v>1806</v>
      </c>
      <c r="W137" s="539"/>
      <c r="X137" s="539">
        <f>VLOOKUP(X136,Check2,5,FALSE)</f>
        <v>1807</v>
      </c>
      <c r="Y137" s="539"/>
      <c r="Z137" s="539">
        <f>VLOOKUP(Z136,Check2,5,FALSE)</f>
        <v>1808</v>
      </c>
      <c r="AA137" s="491"/>
      <c r="AB137" s="449"/>
      <c r="AC137" s="449"/>
      <c r="AD137" s="1094" t="s">
        <v>1249</v>
      </c>
      <c r="AE137" s="755" t="s">
        <v>55</v>
      </c>
      <c r="AF137" s="756">
        <f>COUNTIF(Check[סימון2],("S.S.4"&amp;"*"&amp;"."&amp;AD$5&amp;"*"))</f>
        <v>16</v>
      </c>
      <c r="AG137" s="757">
        <f>COUNTIF(Check[סימון2],("O.S.4"&amp;"*"&amp;"."&amp;AD$5&amp;"*"))</f>
        <v>15</v>
      </c>
      <c r="AH137" s="758">
        <f t="shared" si="754"/>
        <v>31</v>
      </c>
      <c r="AI137" s="759">
        <f>COUNTIF(Check[סימון2],("V.S.4"&amp;"*"&amp;"."&amp;AD$5&amp;"*"))+AJ137</f>
        <v>0</v>
      </c>
      <c r="AJ137" s="760">
        <f>COUNTIF(Check[סימון2],("H.S.4"&amp;"*"&amp;"."&amp;AD$5&amp;"*"))</f>
        <v>0</v>
      </c>
      <c r="AK137" s="761" t="s">
        <v>55</v>
      </c>
      <c r="AL137" s="1096" t="s">
        <v>1249</v>
      </c>
      <c r="AM137" s="449"/>
      <c r="AN137" s="637"/>
      <c r="AO137" s="788">
        <f>VLOOKUP(AO136,Check2,5,FALSE)</f>
        <v>1802</v>
      </c>
      <c r="AP137" s="589">
        <f>VLOOKUP(AP136,Check2,5,FALSE)</f>
        <v>1803</v>
      </c>
      <c r="AQ137" s="543"/>
      <c r="AR137" s="724">
        <f>VLOOKUP(AR136,Check2,5,FALSE)</f>
        <v>1804</v>
      </c>
      <c r="AS137" s="589">
        <f>VLOOKUP(AS136,Check2,5,FALSE)</f>
        <v>1805</v>
      </c>
      <c r="AT137" s="543"/>
      <c r="AU137" s="589">
        <f>VLOOKUP(AU136,Check2,5,FALSE)</f>
        <v>1806</v>
      </c>
      <c r="AV137" s="590"/>
      <c r="AW137" s="584"/>
      <c r="AX137" s="724">
        <f>VLOOKUP(AX136,Check2,5,FALSE)</f>
        <v>1807</v>
      </c>
      <c r="AY137" s="589">
        <f>VLOOKUP(AY136,Check2,5,FALSE)</f>
        <v>1808</v>
      </c>
      <c r="AZ137" s="590"/>
      <c r="BA137" s="584"/>
      <c r="BB137" s="589">
        <f>VLOOKUP(BB136,Check2,5,FALSE)</f>
        <v>1801</v>
      </c>
      <c r="BC137" s="725"/>
      <c r="BD137" s="745"/>
      <c r="BE137" s="563"/>
      <c r="BF137" s="563"/>
      <c r="BG137" s="745"/>
      <c r="BH137" s="1078"/>
      <c r="BI137" s="1078"/>
      <c r="BJ137" s="1078"/>
      <c r="BK137" s="564"/>
      <c r="BL137" s="495" t="s">
        <v>65</v>
      </c>
      <c r="BM137" s="789"/>
      <c r="BN137" s="1116"/>
      <c r="BO137" s="434"/>
      <c r="BP137" s="496" t="s">
        <v>1078</v>
      </c>
    </row>
    <row r="138" spans="1:68" ht="19.5" customHeight="1" thickBot="1" x14ac:dyDescent="0.45">
      <c r="A138" s="1014"/>
      <c r="B138" s="593">
        <f t="shared" ref="B138" si="808">B142+3.48</f>
        <v>69.159999999999982</v>
      </c>
      <c r="C138" s="594" t="s">
        <v>1</v>
      </c>
      <c r="D138" s="567"/>
      <c r="E138" s="1079"/>
      <c r="F138" s="1079"/>
      <c r="G138" s="1079"/>
      <c r="H138" s="568"/>
      <c r="I138" s="568"/>
      <c r="J138" s="568"/>
      <c r="K138" s="568"/>
      <c r="L138" s="595" t="str">
        <f>VLOOKUP(L136,Check2,6,FALSE)</f>
        <v>3B</v>
      </c>
      <c r="M138" s="548"/>
      <c r="N138" s="548" t="str">
        <f>VLOOKUP(N136,Check2,6,FALSE)</f>
        <v>3C</v>
      </c>
      <c r="O138" s="548"/>
      <c r="P138" s="727" t="str">
        <f>VLOOKUP(P136,Check2,6,FALSE)</f>
        <v>3A</v>
      </c>
      <c r="Q138" s="548" t="str">
        <f>VLOOKUP(Q136,Check2,6,FALSE)</f>
        <v>3D</v>
      </c>
      <c r="R138" s="548"/>
      <c r="S138" s="549"/>
      <c r="T138" s="548" t="str">
        <f>VLOOKUP(T136,Check2,6,FALSE)</f>
        <v>3E</v>
      </c>
      <c r="U138" s="548"/>
      <c r="V138" s="548" t="str">
        <f>VLOOKUP(V136,Check2,6,FALSE)</f>
        <v>4A</v>
      </c>
      <c r="W138" s="548"/>
      <c r="X138" s="548" t="str">
        <f>VLOOKUP(X136,Check2,6,FALSE)</f>
        <v>2G</v>
      </c>
      <c r="Y138" s="548"/>
      <c r="Z138" s="548" t="str">
        <f>VLOOKUP(Z136,Check2,6,FALSE)</f>
        <v>4B</v>
      </c>
      <c r="AA138" s="615"/>
      <c r="AB138" s="503"/>
      <c r="AC138" s="503"/>
      <c r="AD138" s="1094"/>
      <c r="AE138" s="762" t="s">
        <v>56</v>
      </c>
      <c r="AF138" s="763">
        <f>COUNTIF(Check[סימון2],("S.S.4"&amp;"*"&amp;"."&amp;AK$5&amp;"*"))</f>
        <v>42</v>
      </c>
      <c r="AG138" s="764">
        <f>COUNTIF(Check[סימון2],("O.S.4"&amp;"*"&amp;"."&amp;AK$5&amp;"*"))</f>
        <v>8</v>
      </c>
      <c r="AH138" s="765">
        <f t="shared" si="754"/>
        <v>50</v>
      </c>
      <c r="AI138" s="766">
        <f>COUNTIF(Check[סימון2],("V.S.4"&amp;"*"&amp;"."&amp;AK$5&amp;"*"))+AJ138</f>
        <v>0</v>
      </c>
      <c r="AJ138" s="767">
        <f>COUNTIF(Check[סימון2],("H.S.4"&amp;"*"&amp;"."&amp;AK$5&amp;"*"))</f>
        <v>0</v>
      </c>
      <c r="AK138" s="768" t="s">
        <v>56</v>
      </c>
      <c r="AL138" s="1096"/>
      <c r="AM138" s="503"/>
      <c r="AN138" s="640"/>
      <c r="AO138" s="790" t="str">
        <f>VLOOKUP(AO136,Check2,6,FALSE)</f>
        <v>4B</v>
      </c>
      <c r="AP138" s="603" t="str">
        <f>VLOOKUP(AP136,Check2,6,FALSE)</f>
        <v>2G</v>
      </c>
      <c r="AQ138" s="553"/>
      <c r="AR138" s="727" t="str">
        <f>VLOOKUP(AR136,Check2,6,FALSE)</f>
        <v>4A</v>
      </c>
      <c r="AS138" s="603" t="str">
        <f>VLOOKUP(AS136,Check2,6,FALSE)</f>
        <v>3E</v>
      </c>
      <c r="AT138" s="553"/>
      <c r="AU138" s="603" t="str">
        <f>VLOOKUP(AU136,Check2,6,FALSE)</f>
        <v>3D</v>
      </c>
      <c r="AV138" s="604"/>
      <c r="AW138" s="597"/>
      <c r="AX138" s="727" t="str">
        <f>VLOOKUP(AX136,Check2,6,FALSE)</f>
        <v>3A</v>
      </c>
      <c r="AY138" s="603" t="str">
        <f>VLOOKUP(AY136,Check2,6,FALSE)</f>
        <v>3C</v>
      </c>
      <c r="AZ138" s="604"/>
      <c r="BA138" s="597"/>
      <c r="BB138" s="603" t="str">
        <f>VLOOKUP(BB136,Check2,6,FALSE)</f>
        <v>3B</v>
      </c>
      <c r="BC138" s="728"/>
      <c r="BD138" s="746"/>
      <c r="BE138" s="568"/>
      <c r="BF138" s="568"/>
      <c r="BG138" s="746"/>
      <c r="BH138" s="1079"/>
      <c r="BI138" s="1079"/>
      <c r="BJ138" s="1079"/>
      <c r="BK138" s="572"/>
      <c r="BL138" s="607" t="s">
        <v>1</v>
      </c>
      <c r="BM138" s="791">
        <f t="shared" ref="BM138" si="809">BM142+3.48</f>
        <v>69.159999999999982</v>
      </c>
      <c r="BN138" s="1117"/>
      <c r="BO138" s="509"/>
      <c r="BP138" s="510" t="s">
        <v>1</v>
      </c>
    </row>
    <row r="139" spans="1:68" ht="26.25" thickBot="1" x14ac:dyDescent="0.5">
      <c r="A139" s="937"/>
      <c r="B139" s="469" t="str">
        <f t="shared" ref="B139" si="810">_xlfn.CONCAT("קומה ",B140)</f>
        <v>קומה 17</v>
      </c>
      <c r="C139" s="473" t="s">
        <v>0</v>
      </c>
      <c r="D139" s="556"/>
      <c r="E139" s="1080"/>
      <c r="F139" s="1080"/>
      <c r="G139" s="1080"/>
      <c r="H139" s="557"/>
      <c r="I139" s="557"/>
      <c r="J139" s="557"/>
      <c r="K139" s="557"/>
      <c r="L139" s="460">
        <f t="shared" ref="L139" si="811">L143+8</f>
        <v>139</v>
      </c>
      <c r="M139" s="514"/>
      <c r="N139" s="514">
        <f t="shared" ref="N139" si="812">N143+8</f>
        <v>140</v>
      </c>
      <c r="O139" s="514"/>
      <c r="P139" s="540">
        <f t="shared" ref="P139:Q139" si="813">P143+8</f>
        <v>141</v>
      </c>
      <c r="Q139" s="514">
        <f t="shared" si="813"/>
        <v>142</v>
      </c>
      <c r="R139" s="514"/>
      <c r="S139" s="462"/>
      <c r="T139" s="514">
        <f t="shared" ref="T139" si="814">T143+8</f>
        <v>143</v>
      </c>
      <c r="U139" s="514"/>
      <c r="V139" s="514">
        <f t="shared" ref="V139" si="815">V143+8</f>
        <v>144</v>
      </c>
      <c r="W139" s="514"/>
      <c r="X139" s="514">
        <f t="shared" ref="X139" si="816">X143+8</f>
        <v>145</v>
      </c>
      <c r="Y139" s="514"/>
      <c r="Z139" s="514">
        <f t="shared" ref="Z139" si="817">Z143+8</f>
        <v>146</v>
      </c>
      <c r="AA139" s="463"/>
      <c r="AB139" s="464"/>
      <c r="AC139" s="464"/>
      <c r="AD139" s="1095"/>
      <c r="AE139" s="771" t="s">
        <v>64</v>
      </c>
      <c r="AF139" s="772">
        <f>COUNTIF(Check[סימון2],("S.S.4"&amp;"*"))</f>
        <v>58</v>
      </c>
      <c r="AG139" s="773">
        <f>COUNTIF(Check[סימון2],("O.S.4"&amp;"*"))</f>
        <v>23</v>
      </c>
      <c r="AH139" s="774">
        <f t="shared" si="754"/>
        <v>81</v>
      </c>
      <c r="AI139" s="775">
        <f>COUNTIF(Check[סימון2],("V.S.4"&amp;"*"))+AJ139</f>
        <v>0</v>
      </c>
      <c r="AJ139" s="776">
        <f>COUNTIF(Check[סימון2],("H.S.4"&amp;"*"))</f>
        <v>0</v>
      </c>
      <c r="AK139" s="777" t="s">
        <v>64</v>
      </c>
      <c r="AL139" s="1097"/>
      <c r="AM139" s="464"/>
      <c r="AN139" s="626"/>
      <c r="AO139" s="778">
        <f t="shared" ref="AO139:AP139" si="818">AO143+8</f>
        <v>138</v>
      </c>
      <c r="AP139" s="578">
        <f t="shared" si="818"/>
        <v>139</v>
      </c>
      <c r="AQ139" s="520"/>
      <c r="AR139" s="540">
        <f t="shared" ref="AR139:AS139" si="819">AR143+8</f>
        <v>140</v>
      </c>
      <c r="AS139" s="578">
        <f t="shared" si="819"/>
        <v>141</v>
      </c>
      <c r="AT139" s="520"/>
      <c r="AU139" s="578">
        <f t="shared" ref="AU139" si="820">AU143+8</f>
        <v>142</v>
      </c>
      <c r="AV139" s="461"/>
      <c r="AW139" s="520"/>
      <c r="AX139" s="540">
        <f t="shared" ref="AX139:AY139" si="821">AX143+8</f>
        <v>135</v>
      </c>
      <c r="AY139" s="578">
        <f t="shared" si="821"/>
        <v>136</v>
      </c>
      <c r="AZ139" s="461"/>
      <c r="BA139" s="520"/>
      <c r="BB139" s="578">
        <f t="shared" ref="BB139" si="822">BB143+8</f>
        <v>137</v>
      </c>
      <c r="BC139" s="719"/>
      <c r="BD139" s="733"/>
      <c r="BE139" s="557"/>
      <c r="BF139" s="557"/>
      <c r="BG139" s="733"/>
      <c r="BH139" s="1080"/>
      <c r="BI139" s="1080"/>
      <c r="BJ139" s="1080"/>
      <c r="BK139" s="559"/>
      <c r="BL139" s="483" t="s">
        <v>0</v>
      </c>
      <c r="BM139" s="779" t="str">
        <f t="shared" ref="BM139" si="823">_xlfn.CONCAT("קומה ",BM140)</f>
        <v>קומה 17</v>
      </c>
      <c r="BN139" s="1116"/>
      <c r="BO139" s="470"/>
      <c r="BP139" s="471" t="s">
        <v>0</v>
      </c>
    </row>
    <row r="140" spans="1:68" ht="20.25" hidden="1" customHeight="1" x14ac:dyDescent="0.3">
      <c r="A140" s="937"/>
      <c r="B140" s="472">
        <f t="shared" ref="B140" si="824">B144+1</f>
        <v>17</v>
      </c>
      <c r="C140" s="473" t="s">
        <v>89</v>
      </c>
      <c r="D140" s="560"/>
      <c r="E140" s="1078"/>
      <c r="F140" s="1078"/>
      <c r="G140" s="1078"/>
      <c r="H140" s="535"/>
      <c r="I140" s="535"/>
      <c r="J140" s="535"/>
      <c r="K140" s="535"/>
      <c r="L140" s="475" t="str">
        <f>VLOOKUP("*"&amp;L$5&amp;".Ap."&amp;L139,Check2,1,FALSE)</f>
        <v>O.S.3B.TS.Ap.139</v>
      </c>
      <c r="M140" s="525" t="str">
        <f t="shared" ref="M140" si="825">L140</f>
        <v>O.S.3B.TS.Ap.139</v>
      </c>
      <c r="N140" s="525" t="str">
        <f>VLOOKUP("*"&amp;N$5&amp;".Ap."&amp;N139,Check2,1,FALSE)</f>
        <v>S.S.3C.TS.Ap.140</v>
      </c>
      <c r="O140" s="525" t="str">
        <f t="shared" ref="O140" si="826">N140</f>
        <v>S.S.3C.TS.Ap.140</v>
      </c>
      <c r="P140" s="525" t="str">
        <f>VLOOKUP("*"&amp;P$5&amp;".Ap."&amp;P139,Check2,1,FALSE)</f>
        <v>S.S.3A.TS.Ap.141</v>
      </c>
      <c r="Q140" s="525" t="str">
        <f>VLOOKUP("*"&amp;Q$5&amp;".Ap."&amp;Q139,Check2,1,FALSE)</f>
        <v>S.S.3D.TS.Ap.142</v>
      </c>
      <c r="R140" s="525" t="str">
        <f t="shared" ref="R140:S140" si="827">Q140</f>
        <v>S.S.3D.TS.Ap.142</v>
      </c>
      <c r="S140" s="477" t="str">
        <f t="shared" si="827"/>
        <v>S.S.3D.TS.Ap.142</v>
      </c>
      <c r="T140" s="525" t="str">
        <f>VLOOKUP("*"&amp;T$5&amp;".Ap."&amp;T139,Check2,1,FALSE)</f>
        <v>S.S.3E.TS.Ap.143</v>
      </c>
      <c r="U140" s="525" t="str">
        <f t="shared" ref="U140" si="828">T140</f>
        <v>S.S.3E.TS.Ap.143</v>
      </c>
      <c r="V140" s="525" t="str">
        <f>VLOOKUP("*"&amp;V$5&amp;".Ap."&amp;V139,Check2,1,FALSE)</f>
        <v>S.S.4A.TS.Ap.144</v>
      </c>
      <c r="W140" s="525" t="str">
        <f t="shared" ref="W140" si="829">V140</f>
        <v>S.S.4A.TS.Ap.144</v>
      </c>
      <c r="X140" s="525" t="str">
        <f>VLOOKUP("*"&amp;X$5&amp;".Ap."&amp;X139,Check2,1,FALSE)</f>
        <v>V.GMC.S.2G.TS.Ap.145</v>
      </c>
      <c r="Y140" s="525" t="str">
        <f t="shared" ref="Y140" si="830">X140</f>
        <v>V.GMC.S.2G.TS.Ap.145</v>
      </c>
      <c r="Z140" s="525" t="str">
        <f>VLOOKUP("*"&amp;Z$5&amp;".Ap."&amp;Z139,Check2,1,FALSE)</f>
        <v>V.GMC.S.4B.TS.Ap.146</v>
      </c>
      <c r="AA140" s="478" t="str">
        <f t="shared" si="724"/>
        <v>V.GMC.S.4B.TS.Ap.146</v>
      </c>
      <c r="AB140" s="479"/>
      <c r="AC140" s="479"/>
      <c r="AD140" s="780"/>
      <c r="AE140" s="749"/>
      <c r="AF140" s="781"/>
      <c r="AG140" s="782"/>
      <c r="AH140" s="783">
        <f t="shared" si="754"/>
        <v>0</v>
      </c>
      <c r="AI140" s="784"/>
      <c r="AJ140" s="785"/>
      <c r="AK140" s="753"/>
      <c r="AL140" s="786"/>
      <c r="AM140" s="479"/>
      <c r="AN140" s="636"/>
      <c r="AO140" s="475" t="str">
        <f>VLOOKUP("*"&amp;AO$5&amp;".Ap."&amp;AO139,Check2,1,FALSE)</f>
        <v>S.S.4B.TN.Ap.138</v>
      </c>
      <c r="AP140" s="533" t="str">
        <f>VLOOKUP("*"&amp;AP$5&amp;".Ap."&amp;AP139,Check2,1,FALSE)</f>
        <v>S.S.2G.TN.Ap.139</v>
      </c>
      <c r="AQ140" s="477" t="str">
        <f t="shared" ref="AQ140" si="831">AP140</f>
        <v>S.S.2G.TN.Ap.139</v>
      </c>
      <c r="AR140" s="525" t="str">
        <f>VLOOKUP("*"&amp;AR$5&amp;".Ap."&amp;AR139,Check2,1,FALSE)</f>
        <v>O.S.4A.TN.Ap.140</v>
      </c>
      <c r="AS140" s="533" t="str">
        <f>VLOOKUP("*"&amp;AS$5&amp;".Ap."&amp;AS139,Check2,1,FALSE)</f>
        <v>S.S.3E.TN.Ap.141</v>
      </c>
      <c r="AT140" s="477" t="str">
        <f t="shared" ref="AT140" si="832">AS140</f>
        <v>S.S.3E.TN.Ap.141</v>
      </c>
      <c r="AU140" s="533" t="str">
        <f>VLOOKUP("*"&amp;AU$5&amp;".Ap."&amp;AU139,Check2,1,FALSE)</f>
        <v>S.S.3D.TN.Ap.142</v>
      </c>
      <c r="AV140" s="476" t="str">
        <f t="shared" ref="AV140:AW140" si="833">AU140</f>
        <v>S.S.3D.TN.Ap.142</v>
      </c>
      <c r="AW140" s="477" t="str">
        <f t="shared" si="833"/>
        <v>S.S.3D.TN.Ap.142</v>
      </c>
      <c r="AX140" s="525" t="str">
        <f>VLOOKUP("*"&amp;AX$5&amp;".Ap."&amp;AX139,Check2,1,FALSE)</f>
        <v>S.S.3A.TN.Ap.135</v>
      </c>
      <c r="AY140" s="533" t="str">
        <f>VLOOKUP("*"&amp;AY$5&amp;".Ap."&amp;AY139,Check2,1,FALSE)</f>
        <v>S.S.3C.TN.Ap.136</v>
      </c>
      <c r="AZ140" s="476" t="str">
        <f t="shared" ref="AZ140:BA140" si="834">AY140</f>
        <v>S.S.3C.TN.Ap.136</v>
      </c>
      <c r="BA140" s="477" t="str">
        <f t="shared" si="834"/>
        <v>S.S.3C.TN.Ap.136</v>
      </c>
      <c r="BB140" s="533" t="str">
        <f>VLOOKUP("*"&amp;BB$5&amp;".Ap."&amp;BB139,Check2,1,FALSE)</f>
        <v>S.S.3B.TN.Ap.137</v>
      </c>
      <c r="BC140" s="722" t="str">
        <f t="shared" ref="BC140" si="835">BB140</f>
        <v>S.S.3B.TN.Ap.137</v>
      </c>
      <c r="BD140" s="744"/>
      <c r="BE140" s="535"/>
      <c r="BF140" s="535"/>
      <c r="BG140" s="744"/>
      <c r="BH140" s="1078"/>
      <c r="BI140" s="1078"/>
      <c r="BJ140" s="1078"/>
      <c r="BK140" s="561"/>
      <c r="BL140" s="483" t="s">
        <v>89</v>
      </c>
      <c r="BM140" s="787">
        <f t="shared" ref="BM140" si="836">BM144+1</f>
        <v>17</v>
      </c>
      <c r="BN140" s="1116"/>
      <c r="BO140" s="484"/>
      <c r="BP140" s="485" t="s">
        <v>89</v>
      </c>
    </row>
    <row r="141" spans="1:68" ht="21.75" x14ac:dyDescent="0.3">
      <c r="A141" s="937"/>
      <c r="B141" s="486"/>
      <c r="C141" s="487" t="s">
        <v>65</v>
      </c>
      <c r="D141" s="562"/>
      <c r="E141" s="1078"/>
      <c r="F141" s="1078"/>
      <c r="G141" s="1078"/>
      <c r="H141" s="563"/>
      <c r="I141" s="563"/>
      <c r="J141" s="563"/>
      <c r="K141" s="563"/>
      <c r="L141" s="488">
        <f>VLOOKUP(L140,Check2,5,FALSE)</f>
        <v>1701</v>
      </c>
      <c r="M141" s="539"/>
      <c r="N141" s="539">
        <f>VLOOKUP(N140,Check2,5,FALSE)</f>
        <v>1702</v>
      </c>
      <c r="O141" s="539"/>
      <c r="P141" s="724">
        <f>VLOOKUP(P140,Check2,5,FALSE)</f>
        <v>1703</v>
      </c>
      <c r="Q141" s="539">
        <f>VLOOKUP(Q140,Check2,5,FALSE)</f>
        <v>1704</v>
      </c>
      <c r="R141" s="539"/>
      <c r="S141" s="490"/>
      <c r="T141" s="539">
        <f>VLOOKUP(T140,Check2,5,FALSE)</f>
        <v>1705</v>
      </c>
      <c r="U141" s="539"/>
      <c r="V141" s="539">
        <f>VLOOKUP(V140,Check2,5,FALSE)</f>
        <v>1706</v>
      </c>
      <c r="W141" s="539"/>
      <c r="X141" s="539">
        <f>VLOOKUP(X140,Check2,5,FALSE)</f>
        <v>1707</v>
      </c>
      <c r="Y141" s="539"/>
      <c r="Z141" s="539">
        <f>VLOOKUP(Z140,Check2,5,FALSE)</f>
        <v>1708</v>
      </c>
      <c r="AA141" s="491"/>
      <c r="AB141" s="449"/>
      <c r="AC141" s="449"/>
      <c r="AD141" s="1094" t="s">
        <v>1250</v>
      </c>
      <c r="AE141" s="755" t="s">
        <v>55</v>
      </c>
      <c r="AF141" s="756">
        <f>COUNTIF(Check[סימון2],("S.S.5"&amp;"*"&amp;"."&amp;AD$5&amp;"*"))</f>
        <v>5</v>
      </c>
      <c r="AG141" s="757">
        <f>COUNTIF(Check[סימון2],("O.S.5"&amp;"*"&amp;"."&amp;AD$5&amp;"*"))</f>
        <v>6</v>
      </c>
      <c r="AH141" s="758">
        <f t="shared" si="754"/>
        <v>11</v>
      </c>
      <c r="AI141" s="759">
        <f>COUNTIF(Check[סימון2],("V.S.5"&amp;"*"&amp;"."&amp;AD$5&amp;"*"))+AJ141</f>
        <v>0</v>
      </c>
      <c r="AJ141" s="760">
        <f>COUNTIF(Check[סימון2],("H.S.5"&amp;"*"&amp;"."&amp;AD$5&amp;"*"))</f>
        <v>0</v>
      </c>
      <c r="AK141" s="761" t="s">
        <v>55</v>
      </c>
      <c r="AL141" s="1096" t="s">
        <v>1250</v>
      </c>
      <c r="AM141" s="449"/>
      <c r="AN141" s="637"/>
      <c r="AO141" s="788">
        <f>VLOOKUP(AO140,Check2,5,FALSE)</f>
        <v>1702</v>
      </c>
      <c r="AP141" s="589">
        <f>VLOOKUP(AP140,Check2,5,FALSE)</f>
        <v>1703</v>
      </c>
      <c r="AQ141" s="543"/>
      <c r="AR141" s="724">
        <f>VLOOKUP(AR140,Check2,5,FALSE)</f>
        <v>1704</v>
      </c>
      <c r="AS141" s="589">
        <f>VLOOKUP(AS140,Check2,5,FALSE)</f>
        <v>1705</v>
      </c>
      <c r="AT141" s="543"/>
      <c r="AU141" s="589">
        <f>VLOOKUP(AU140,Check2,5,FALSE)</f>
        <v>1706</v>
      </c>
      <c r="AV141" s="590"/>
      <c r="AW141" s="584"/>
      <c r="AX141" s="724">
        <f>VLOOKUP(AX140,Check2,5,FALSE)</f>
        <v>1707</v>
      </c>
      <c r="AY141" s="589">
        <f>VLOOKUP(AY140,Check2,5,FALSE)</f>
        <v>1708</v>
      </c>
      <c r="AZ141" s="590"/>
      <c r="BA141" s="584"/>
      <c r="BB141" s="589">
        <f>VLOOKUP(BB140,Check2,5,FALSE)</f>
        <v>1701</v>
      </c>
      <c r="BC141" s="725"/>
      <c r="BD141" s="745"/>
      <c r="BE141" s="563"/>
      <c r="BF141" s="563"/>
      <c r="BG141" s="745"/>
      <c r="BH141" s="1078"/>
      <c r="BI141" s="1078"/>
      <c r="BJ141" s="1078"/>
      <c r="BK141" s="564"/>
      <c r="BL141" s="495" t="s">
        <v>65</v>
      </c>
      <c r="BM141" s="789"/>
      <c r="BN141" s="1116"/>
      <c r="BO141" s="434"/>
      <c r="BP141" s="496" t="s">
        <v>1078</v>
      </c>
    </row>
    <row r="142" spans="1:68" ht="19.5" customHeight="1" thickBot="1" x14ac:dyDescent="0.45">
      <c r="A142" s="1014"/>
      <c r="B142" s="593">
        <f t="shared" ref="B142" si="837">B146+3.48</f>
        <v>65.679999999999978</v>
      </c>
      <c r="C142" s="594" t="s">
        <v>1</v>
      </c>
      <c r="D142" s="567"/>
      <c r="E142" s="1079"/>
      <c r="F142" s="1079"/>
      <c r="G142" s="1079"/>
      <c r="H142" s="568"/>
      <c r="I142" s="568"/>
      <c r="J142" s="568"/>
      <c r="K142" s="568"/>
      <c r="L142" s="595" t="str">
        <f>VLOOKUP(L140,Check2,6,FALSE)</f>
        <v>3B</v>
      </c>
      <c r="M142" s="548"/>
      <c r="N142" s="548" t="str">
        <f>VLOOKUP(N140,Check2,6,FALSE)</f>
        <v>3C</v>
      </c>
      <c r="O142" s="548"/>
      <c r="P142" s="727" t="str">
        <f>VLOOKUP(P140,Check2,6,FALSE)</f>
        <v>3A</v>
      </c>
      <c r="Q142" s="548" t="str">
        <f>VLOOKUP(Q140,Check2,6,FALSE)</f>
        <v>3D</v>
      </c>
      <c r="R142" s="548"/>
      <c r="S142" s="549"/>
      <c r="T142" s="548" t="str">
        <f>VLOOKUP(T140,Check2,6,FALSE)</f>
        <v>3E</v>
      </c>
      <c r="U142" s="548"/>
      <c r="V142" s="548" t="str">
        <f>VLOOKUP(V140,Check2,6,FALSE)</f>
        <v>4A</v>
      </c>
      <c r="W142" s="548"/>
      <c r="X142" s="548" t="str">
        <f>VLOOKUP(X140,Check2,6,FALSE)</f>
        <v>2G</v>
      </c>
      <c r="Y142" s="548"/>
      <c r="Z142" s="548" t="str">
        <f>VLOOKUP(Z140,Check2,6,FALSE)</f>
        <v>4B</v>
      </c>
      <c r="AA142" s="615"/>
      <c r="AB142" s="503"/>
      <c r="AC142" s="503"/>
      <c r="AD142" s="1094"/>
      <c r="AE142" s="762" t="s">
        <v>56</v>
      </c>
      <c r="AF142" s="763">
        <f>COUNTIF(Check[סימון2],("S.S.5"&amp;"*"&amp;"."&amp;AK$5&amp;"*"))</f>
        <v>15</v>
      </c>
      <c r="AG142" s="764">
        <f>COUNTIF(Check[סימון2],("O.S.5"&amp;"*"&amp;"."&amp;AK$5&amp;"*"))</f>
        <v>6</v>
      </c>
      <c r="AH142" s="765">
        <f t="shared" si="754"/>
        <v>21</v>
      </c>
      <c r="AI142" s="766">
        <f>COUNTIF(Check[סימון2],("V.S.5"&amp;"*"&amp;"."&amp;AK$5&amp;"*"))+AJ142</f>
        <v>0</v>
      </c>
      <c r="AJ142" s="767">
        <f>COUNTIF(Check[סימון2],("H.S.5"&amp;"*"&amp;"."&amp;AK$5&amp;"*"))</f>
        <v>0</v>
      </c>
      <c r="AK142" s="768" t="s">
        <v>56</v>
      </c>
      <c r="AL142" s="1096"/>
      <c r="AM142" s="503"/>
      <c r="AN142" s="640"/>
      <c r="AO142" s="790" t="str">
        <f>VLOOKUP(AO140,Check2,6,FALSE)</f>
        <v>4B</v>
      </c>
      <c r="AP142" s="603" t="str">
        <f>VLOOKUP(AP140,Check2,6,FALSE)</f>
        <v>2G</v>
      </c>
      <c r="AQ142" s="553"/>
      <c r="AR142" s="727" t="str">
        <f>VLOOKUP(AR140,Check2,6,FALSE)</f>
        <v>4A</v>
      </c>
      <c r="AS142" s="603" t="str">
        <f>VLOOKUP(AS140,Check2,6,FALSE)</f>
        <v>3E</v>
      </c>
      <c r="AT142" s="553"/>
      <c r="AU142" s="603" t="str">
        <f>VLOOKUP(AU140,Check2,6,FALSE)</f>
        <v>3D</v>
      </c>
      <c r="AV142" s="604"/>
      <c r="AW142" s="597"/>
      <c r="AX142" s="727" t="str">
        <f>VLOOKUP(AX140,Check2,6,FALSE)</f>
        <v>3A</v>
      </c>
      <c r="AY142" s="603" t="str">
        <f>VLOOKUP(AY140,Check2,6,FALSE)</f>
        <v>3C</v>
      </c>
      <c r="AZ142" s="604"/>
      <c r="BA142" s="597"/>
      <c r="BB142" s="603" t="str">
        <f>VLOOKUP(BB140,Check2,6,FALSE)</f>
        <v>3B</v>
      </c>
      <c r="BC142" s="728"/>
      <c r="BD142" s="746"/>
      <c r="BE142" s="568"/>
      <c r="BF142" s="568"/>
      <c r="BG142" s="746"/>
      <c r="BH142" s="1079"/>
      <c r="BI142" s="1079"/>
      <c r="BJ142" s="1079"/>
      <c r="BK142" s="572"/>
      <c r="BL142" s="607" t="s">
        <v>1</v>
      </c>
      <c r="BM142" s="791">
        <f t="shared" ref="BM142" si="838">BM146+3.48</f>
        <v>65.679999999999978</v>
      </c>
      <c r="BN142" s="1117"/>
      <c r="BO142" s="509"/>
      <c r="BP142" s="510" t="s">
        <v>1</v>
      </c>
    </row>
    <row r="143" spans="1:68" ht="26.25" thickBot="1" x14ac:dyDescent="0.5">
      <c r="A143" s="937"/>
      <c r="B143" s="469" t="str">
        <f t="shared" ref="B143" si="839">_xlfn.CONCAT("קומה ",B144)</f>
        <v>קומה 16</v>
      </c>
      <c r="C143" s="473" t="s">
        <v>0</v>
      </c>
      <c r="D143" s="556"/>
      <c r="E143" s="1081" t="s">
        <v>1076</v>
      </c>
      <c r="F143" s="1081" t="s">
        <v>1076</v>
      </c>
      <c r="G143" s="1081" t="s">
        <v>1076</v>
      </c>
      <c r="H143" s="557"/>
      <c r="I143" s="557"/>
      <c r="J143" s="557"/>
      <c r="K143" s="557"/>
      <c r="L143" s="460">
        <f t="shared" ref="L143" si="840">L147+8</f>
        <v>131</v>
      </c>
      <c r="M143" s="514"/>
      <c r="N143" s="514">
        <f t="shared" ref="N143" si="841">N147+8</f>
        <v>132</v>
      </c>
      <c r="O143" s="514"/>
      <c r="P143" s="540">
        <f t="shared" ref="P143:Q143" si="842">P147+8</f>
        <v>133</v>
      </c>
      <c r="Q143" s="514">
        <f t="shared" si="842"/>
        <v>134</v>
      </c>
      <c r="R143" s="514"/>
      <c r="S143" s="462"/>
      <c r="T143" s="514">
        <f t="shared" ref="T143" si="843">T147+8</f>
        <v>135</v>
      </c>
      <c r="U143" s="514"/>
      <c r="V143" s="514">
        <f t="shared" ref="V143" si="844">V147+8</f>
        <v>136</v>
      </c>
      <c r="W143" s="514"/>
      <c r="X143" s="514">
        <f t="shared" ref="X143" si="845">X147+8</f>
        <v>137</v>
      </c>
      <c r="Y143" s="514"/>
      <c r="Z143" s="514">
        <f t="shared" ref="Z143" si="846">Z147+8</f>
        <v>138</v>
      </c>
      <c r="AA143" s="463"/>
      <c r="AB143" s="464"/>
      <c r="AC143" s="464"/>
      <c r="AD143" s="1444"/>
      <c r="AE143" s="792" t="s">
        <v>64</v>
      </c>
      <c r="AF143" s="793">
        <f>COUNTIF(Check[סימון2],("S.S.5"&amp;"*"))</f>
        <v>20</v>
      </c>
      <c r="AG143" s="794">
        <f>COUNTIF(Check[סימון2],("O.S.5"&amp;"*"))</f>
        <v>12</v>
      </c>
      <c r="AH143" s="795">
        <f t="shared" si="754"/>
        <v>32</v>
      </c>
      <c r="AI143" s="796">
        <f>COUNTIF(Check[סימון2],("V.S.5"&amp;"*"))+AJ143</f>
        <v>0</v>
      </c>
      <c r="AJ143" s="797">
        <f>COUNTIF(Check[סימון2],("H.S.5"&amp;"*"))</f>
        <v>0</v>
      </c>
      <c r="AK143" s="798" t="s">
        <v>64</v>
      </c>
      <c r="AL143" s="1445"/>
      <c r="AM143" s="464"/>
      <c r="AN143" s="626"/>
      <c r="AO143" s="778">
        <f t="shared" ref="AO143:AP143" si="847">AO147+8</f>
        <v>130</v>
      </c>
      <c r="AP143" s="578">
        <f t="shared" si="847"/>
        <v>131</v>
      </c>
      <c r="AQ143" s="520"/>
      <c r="AR143" s="540">
        <f t="shared" ref="AR143:AS143" si="848">AR147+8</f>
        <v>132</v>
      </c>
      <c r="AS143" s="578">
        <f t="shared" si="848"/>
        <v>133</v>
      </c>
      <c r="AT143" s="520"/>
      <c r="AU143" s="578">
        <f t="shared" ref="AU143" si="849">AU147+8</f>
        <v>134</v>
      </c>
      <c r="AV143" s="461"/>
      <c r="AW143" s="520"/>
      <c r="AX143" s="540">
        <f t="shared" ref="AX143:AY143" si="850">AX147+8</f>
        <v>127</v>
      </c>
      <c r="AY143" s="578">
        <f t="shared" si="850"/>
        <v>128</v>
      </c>
      <c r="AZ143" s="461"/>
      <c r="BA143" s="520"/>
      <c r="BB143" s="578">
        <f t="shared" ref="BB143" si="851">BB147+8</f>
        <v>129</v>
      </c>
      <c r="BC143" s="719"/>
      <c r="BD143" s="733"/>
      <c r="BE143" s="557"/>
      <c r="BF143" s="557"/>
      <c r="BG143" s="733"/>
      <c r="BH143" s="1081" t="s">
        <v>1076</v>
      </c>
      <c r="BI143" s="1081" t="s">
        <v>1076</v>
      </c>
      <c r="BJ143" s="1081" t="s">
        <v>1076</v>
      </c>
      <c r="BK143" s="559"/>
      <c r="BL143" s="483" t="s">
        <v>0</v>
      </c>
      <c r="BM143" s="779" t="str">
        <f t="shared" ref="BM143" si="852">_xlfn.CONCAT("קומה ",BM144)</f>
        <v>קומה 16</v>
      </c>
      <c r="BN143" s="1116"/>
      <c r="BO143" s="470"/>
      <c r="BP143" s="471" t="s">
        <v>0</v>
      </c>
    </row>
    <row r="144" spans="1:68" ht="18.75" hidden="1" customHeight="1" thickTop="1" x14ac:dyDescent="0.3">
      <c r="A144" s="937"/>
      <c r="B144" s="472">
        <f t="shared" ref="B144" si="853">B148+1</f>
        <v>16</v>
      </c>
      <c r="C144" s="473" t="s">
        <v>89</v>
      </c>
      <c r="D144" s="560"/>
      <c r="E144" s="1082"/>
      <c r="F144" s="1082"/>
      <c r="G144" s="1082"/>
      <c r="H144" s="535"/>
      <c r="I144" s="535"/>
      <c r="J144" s="535"/>
      <c r="K144" s="535"/>
      <c r="L144" s="475" t="str">
        <f>VLOOKUP("*"&amp;L$5&amp;".Ap."&amp;L143,Check2,1,FALSE)</f>
        <v>V.GMS.S.3B.TS.Ap.131</v>
      </c>
      <c r="M144" s="525" t="str">
        <f t="shared" ref="M144" si="854">L144</f>
        <v>V.GMS.S.3B.TS.Ap.131</v>
      </c>
      <c r="N144" s="525" t="str">
        <f>VLOOKUP("*"&amp;N$5&amp;".Ap."&amp;N143,Check2,1,FALSE)</f>
        <v>S.S.3C.TS.Ap.132</v>
      </c>
      <c r="O144" s="525" t="str">
        <f t="shared" ref="O144" si="855">N144</f>
        <v>S.S.3C.TS.Ap.132</v>
      </c>
      <c r="P144" s="525" t="str">
        <f>VLOOKUP("*"&amp;P$5&amp;".Ap."&amp;P143,Check2,1,FALSE)</f>
        <v>S.S.3A.TS.Ap.133</v>
      </c>
      <c r="Q144" s="525" t="str">
        <f>VLOOKUP("*"&amp;Q$5&amp;".Ap."&amp;Q143,Check2,1,FALSE)</f>
        <v>O.S.3D.TS.Ap.134</v>
      </c>
      <c r="R144" s="525" t="str">
        <f t="shared" ref="R144:S144" si="856">Q144</f>
        <v>O.S.3D.TS.Ap.134</v>
      </c>
      <c r="S144" s="477" t="str">
        <f t="shared" si="856"/>
        <v>O.S.3D.TS.Ap.134</v>
      </c>
      <c r="T144" s="525" t="str">
        <f>VLOOKUP("*"&amp;T$5&amp;".Ap."&amp;T143,Check2,1,FALSE)</f>
        <v>S.S.3E.TS.Ap.135</v>
      </c>
      <c r="U144" s="525" t="str">
        <f t="shared" ref="U144" si="857">T144</f>
        <v>S.S.3E.TS.Ap.135</v>
      </c>
      <c r="V144" s="525" t="str">
        <f>VLOOKUP("*"&amp;V$5&amp;".Ap."&amp;V143,Check2,1,FALSE)</f>
        <v>S.S.4A.TS.Ap.136</v>
      </c>
      <c r="W144" s="525" t="str">
        <f t="shared" ref="W144" si="858">V144</f>
        <v>S.S.4A.TS.Ap.136</v>
      </c>
      <c r="X144" s="525" t="str">
        <f>VLOOKUP("*"&amp;X$5&amp;".Ap."&amp;X143,Check2,1,FALSE)</f>
        <v>S.S.2G.TS.Ap.137</v>
      </c>
      <c r="Y144" s="525" t="str">
        <f t="shared" ref="Y144" si="859">X144</f>
        <v>S.S.2G.TS.Ap.137</v>
      </c>
      <c r="Z144" s="525" t="str">
        <f>VLOOKUP("*"&amp;Z$5&amp;".Ap."&amp;Z143,Check2,1,FALSE)</f>
        <v>S.S.4B.TS.Ap.138</v>
      </c>
      <c r="AA144" s="478" t="str">
        <f t="shared" si="724"/>
        <v>S.S.4B.TS.Ap.138</v>
      </c>
      <c r="AB144" s="479"/>
      <c r="AC144" s="479"/>
      <c r="AD144" s="799"/>
      <c r="AE144" s="749"/>
      <c r="AF144" s="781"/>
      <c r="AG144" s="782"/>
      <c r="AH144" s="783">
        <f t="shared" si="754"/>
        <v>0</v>
      </c>
      <c r="AI144" s="784"/>
      <c r="AJ144" s="785"/>
      <c r="AK144" s="753"/>
      <c r="AL144" s="800"/>
      <c r="AM144" s="479"/>
      <c r="AN144" s="636"/>
      <c r="AO144" s="475" t="str">
        <f>VLOOKUP("*"&amp;AO$5&amp;".Ap."&amp;AO143,Check2,1,FALSE)</f>
        <v>S.S.4B.TN.Ap.130</v>
      </c>
      <c r="AP144" s="533" t="str">
        <f>VLOOKUP("*"&amp;AP$5&amp;".Ap."&amp;AP143,Check2,1,FALSE)</f>
        <v>S.S.2G.TN.Ap.131</v>
      </c>
      <c r="AQ144" s="477" t="str">
        <f t="shared" ref="AQ144" si="860">AP144</f>
        <v>S.S.2G.TN.Ap.131</v>
      </c>
      <c r="AR144" s="525" t="str">
        <f>VLOOKUP("*"&amp;AR$5&amp;".Ap."&amp;AR143,Check2,1,FALSE)</f>
        <v>S.S.4A.TN.Ap.132</v>
      </c>
      <c r="AS144" s="533" t="str">
        <f>VLOOKUP("*"&amp;AS$5&amp;".Ap."&amp;AS143,Check2,1,FALSE)</f>
        <v>S.S.3E.TN.Ap.133</v>
      </c>
      <c r="AT144" s="477" t="str">
        <f t="shared" ref="AT144" si="861">AS144</f>
        <v>S.S.3E.TN.Ap.133</v>
      </c>
      <c r="AU144" s="533" t="str">
        <f>VLOOKUP("*"&amp;AU$5&amp;".Ap."&amp;AU143,Check2,1,FALSE)</f>
        <v>S.S.3D.TN.Ap.134</v>
      </c>
      <c r="AV144" s="476" t="str">
        <f t="shared" ref="AV144:AW144" si="862">AU144</f>
        <v>S.S.3D.TN.Ap.134</v>
      </c>
      <c r="AW144" s="477" t="str">
        <f t="shared" si="862"/>
        <v>S.S.3D.TN.Ap.134</v>
      </c>
      <c r="AX144" s="525" t="str">
        <f>VLOOKUP("*"&amp;AX$5&amp;".Ap."&amp;AX143,Check2,1,FALSE)</f>
        <v>V.GMS.S.3A.TN.Ap.127</v>
      </c>
      <c r="AY144" s="533" t="str">
        <f>VLOOKUP("*"&amp;AY$5&amp;".Ap."&amp;AY143,Check2,1,FALSE)</f>
        <v>S.S.3C.TN.Ap.128</v>
      </c>
      <c r="AZ144" s="476" t="str">
        <f t="shared" ref="AZ144:BA144" si="863">AY144</f>
        <v>S.S.3C.TN.Ap.128</v>
      </c>
      <c r="BA144" s="477" t="str">
        <f t="shared" si="863"/>
        <v>S.S.3C.TN.Ap.128</v>
      </c>
      <c r="BB144" s="533" t="str">
        <f>VLOOKUP("*"&amp;BB$5&amp;".Ap."&amp;BB143,Check2,1,FALSE)</f>
        <v>S.S.3B.TN.Ap.129</v>
      </c>
      <c r="BC144" s="722" t="str">
        <f t="shared" ref="BC144" si="864">BB144</f>
        <v>S.S.3B.TN.Ap.129</v>
      </c>
      <c r="BD144" s="744"/>
      <c r="BE144" s="535"/>
      <c r="BF144" s="535"/>
      <c r="BG144" s="744"/>
      <c r="BH144" s="1082"/>
      <c r="BI144" s="1082"/>
      <c r="BJ144" s="1082"/>
      <c r="BK144" s="561"/>
      <c r="BL144" s="483" t="s">
        <v>89</v>
      </c>
      <c r="BM144" s="787">
        <f t="shared" ref="BM144" si="865">BM148+1</f>
        <v>16</v>
      </c>
      <c r="BN144" s="1116"/>
      <c r="BO144" s="484"/>
      <c r="BP144" s="485" t="s">
        <v>89</v>
      </c>
    </row>
    <row r="145" spans="1:68" ht="22.5" thickTop="1" x14ac:dyDescent="0.3">
      <c r="A145" s="937"/>
      <c r="B145" s="486"/>
      <c r="C145" s="487" t="s">
        <v>65</v>
      </c>
      <c r="D145" s="562"/>
      <c r="E145" s="1082"/>
      <c r="F145" s="1082"/>
      <c r="G145" s="1082"/>
      <c r="H145" s="563"/>
      <c r="I145" s="563"/>
      <c r="J145" s="563"/>
      <c r="K145" s="563"/>
      <c r="L145" s="488">
        <f>VLOOKUP(L144,Check2,5,FALSE)</f>
        <v>1601</v>
      </c>
      <c r="M145" s="539"/>
      <c r="N145" s="539">
        <f>VLOOKUP(N144,Check2,5,FALSE)</f>
        <v>1602</v>
      </c>
      <c r="O145" s="539"/>
      <c r="P145" s="724">
        <f>VLOOKUP(P144,Check2,5,FALSE)</f>
        <v>1603</v>
      </c>
      <c r="Q145" s="539">
        <f>VLOOKUP(Q144,Check2,5,FALSE)</f>
        <v>1604</v>
      </c>
      <c r="R145" s="539"/>
      <c r="S145" s="490"/>
      <c r="T145" s="539">
        <f>VLOOKUP(T144,Check2,5,FALSE)</f>
        <v>1605</v>
      </c>
      <c r="U145" s="539"/>
      <c r="V145" s="539">
        <f>VLOOKUP(V144,Check2,5,FALSE)</f>
        <v>1606</v>
      </c>
      <c r="W145" s="539"/>
      <c r="X145" s="539">
        <f>VLOOKUP(X144,Check2,5,FALSE)</f>
        <v>1607</v>
      </c>
      <c r="Y145" s="539"/>
      <c r="Z145" s="539">
        <f>VLOOKUP(Z144,Check2,5,FALSE)</f>
        <v>1608</v>
      </c>
      <c r="AA145" s="491"/>
      <c r="AB145" s="449"/>
      <c r="AC145" s="449"/>
      <c r="AD145" s="1119" t="s">
        <v>1253</v>
      </c>
      <c r="AE145" s="755" t="s">
        <v>55</v>
      </c>
      <c r="AF145" s="756">
        <f>COUNTIF(Check[סימון2],("S.S"&amp;"*"&amp;"."&amp;AD$5&amp;"*"))</f>
        <v>93</v>
      </c>
      <c r="AG145" s="757">
        <f>COUNTIF(Check[סימון2],("O.S"&amp;"*"&amp;"."&amp;AD$5&amp;"*"))</f>
        <v>55</v>
      </c>
      <c r="AH145" s="758">
        <f t="shared" si="754"/>
        <v>148</v>
      </c>
      <c r="AI145" s="759">
        <f>COUNTIF(Check[סימון2],("V.S"&amp;"*"&amp;"."&amp;AD$5&amp;"*"))+AJ145</f>
        <v>0</v>
      </c>
      <c r="AJ145" s="760">
        <f>COUNTIF(Check[סימון2],("H.S"&amp;"*"&amp;"."&amp;AD$5&amp;"*"))</f>
        <v>0</v>
      </c>
      <c r="AK145" s="761" t="s">
        <v>55</v>
      </c>
      <c r="AL145" s="1121" t="s">
        <v>1253</v>
      </c>
      <c r="AM145" s="449"/>
      <c r="AN145" s="637"/>
      <c r="AO145" s="788">
        <f>VLOOKUP(AO144,Check2,5,FALSE)</f>
        <v>1602</v>
      </c>
      <c r="AP145" s="589">
        <f>VLOOKUP(AP144,Check2,5,FALSE)</f>
        <v>1603</v>
      </c>
      <c r="AQ145" s="543"/>
      <c r="AR145" s="724">
        <f>VLOOKUP(AR144,Check2,5,FALSE)</f>
        <v>1604</v>
      </c>
      <c r="AS145" s="589">
        <f>VLOOKUP(AS144,Check2,5,FALSE)</f>
        <v>1605</v>
      </c>
      <c r="AT145" s="543"/>
      <c r="AU145" s="589">
        <f>VLOOKUP(AU144,Check2,5,FALSE)</f>
        <v>1606</v>
      </c>
      <c r="AV145" s="590"/>
      <c r="AW145" s="584"/>
      <c r="AX145" s="724">
        <f>VLOOKUP(AX144,Check2,5,FALSE)</f>
        <v>1607</v>
      </c>
      <c r="AY145" s="589">
        <f>VLOOKUP(AY144,Check2,5,FALSE)</f>
        <v>1608</v>
      </c>
      <c r="AZ145" s="590"/>
      <c r="BA145" s="584"/>
      <c r="BB145" s="589">
        <f>VLOOKUP(BB144,Check2,5,FALSE)</f>
        <v>1601</v>
      </c>
      <c r="BC145" s="725"/>
      <c r="BD145" s="745"/>
      <c r="BE145" s="563"/>
      <c r="BF145" s="563"/>
      <c r="BG145" s="745"/>
      <c r="BH145" s="1082"/>
      <c r="BI145" s="1082"/>
      <c r="BJ145" s="1082"/>
      <c r="BK145" s="564"/>
      <c r="BL145" s="495" t="s">
        <v>65</v>
      </c>
      <c r="BM145" s="789"/>
      <c r="BN145" s="1116"/>
      <c r="BO145" s="434"/>
      <c r="BP145" s="496" t="s">
        <v>1078</v>
      </c>
    </row>
    <row r="146" spans="1:68" ht="19.5" customHeight="1" thickBot="1" x14ac:dyDescent="0.45">
      <c r="A146" s="1014"/>
      <c r="B146" s="593">
        <f t="shared" ref="B146" si="866">B150+3.48</f>
        <v>62.199999999999974</v>
      </c>
      <c r="C146" s="594" t="s">
        <v>1</v>
      </c>
      <c r="D146" s="567"/>
      <c r="E146" s="1083"/>
      <c r="F146" s="1083"/>
      <c r="G146" s="1083"/>
      <c r="H146" s="568"/>
      <c r="I146" s="568"/>
      <c r="J146" s="568"/>
      <c r="K146" s="568"/>
      <c r="L146" s="595" t="str">
        <f>VLOOKUP(L144,Check2,6,FALSE)</f>
        <v>3B</v>
      </c>
      <c r="M146" s="548"/>
      <c r="N146" s="548" t="str">
        <f>VLOOKUP(N144,Check2,6,FALSE)</f>
        <v>3C</v>
      </c>
      <c r="O146" s="548"/>
      <c r="P146" s="727" t="str">
        <f>VLOOKUP(P144,Check2,6,FALSE)</f>
        <v>3A</v>
      </c>
      <c r="Q146" s="548" t="str">
        <f>VLOOKUP(Q144,Check2,6,FALSE)</f>
        <v>3D</v>
      </c>
      <c r="R146" s="548"/>
      <c r="S146" s="549"/>
      <c r="T146" s="548" t="str">
        <f>VLOOKUP(T144,Check2,6,FALSE)</f>
        <v>3E</v>
      </c>
      <c r="U146" s="548"/>
      <c r="V146" s="548" t="str">
        <f>VLOOKUP(V144,Check2,6,FALSE)</f>
        <v>4A</v>
      </c>
      <c r="W146" s="548"/>
      <c r="X146" s="548" t="str">
        <f>VLOOKUP(X144,Check2,6,FALSE)</f>
        <v>2G</v>
      </c>
      <c r="Y146" s="548"/>
      <c r="Z146" s="548" t="str">
        <f>VLOOKUP(Z144,Check2,6,FALSE)</f>
        <v>4B</v>
      </c>
      <c r="AA146" s="615"/>
      <c r="AB146" s="503"/>
      <c r="AC146" s="503"/>
      <c r="AD146" s="1119"/>
      <c r="AE146" s="762" t="s">
        <v>56</v>
      </c>
      <c r="AF146" s="763">
        <f>COUNTIF(Check[סימון2],("S.S"&amp;"*"&amp;"."&amp;AK$5&amp;"*"))</f>
        <v>193</v>
      </c>
      <c r="AG146" s="764">
        <f>COUNTIF(Check[סימון2],("O.S"&amp;"*"&amp;"."&amp;AK$5&amp;"*"))</f>
        <v>28</v>
      </c>
      <c r="AH146" s="765">
        <f t="shared" si="754"/>
        <v>221</v>
      </c>
      <c r="AI146" s="766">
        <f>COUNTIF(Check[סימון2],("V.S"&amp;"*"&amp;"."&amp;AK$5&amp;"*"))+AJ146</f>
        <v>0</v>
      </c>
      <c r="AJ146" s="767">
        <f>COUNTIF(Check[סימון2],("H.S"&amp;"*"&amp;"."&amp;AK$5&amp;"*"))</f>
        <v>0</v>
      </c>
      <c r="AK146" s="768" t="s">
        <v>56</v>
      </c>
      <c r="AL146" s="1121"/>
      <c r="AM146" s="503"/>
      <c r="AN146" s="640"/>
      <c r="AO146" s="790" t="str">
        <f>VLOOKUP(AO144,Check2,6,FALSE)</f>
        <v>4B</v>
      </c>
      <c r="AP146" s="603" t="str">
        <f>VLOOKUP(AP144,Check2,6,FALSE)</f>
        <v>2G</v>
      </c>
      <c r="AQ146" s="553"/>
      <c r="AR146" s="727" t="str">
        <f>VLOOKUP(AR144,Check2,6,FALSE)</f>
        <v>4A</v>
      </c>
      <c r="AS146" s="603" t="str">
        <f>VLOOKUP(AS144,Check2,6,FALSE)</f>
        <v>3E</v>
      </c>
      <c r="AT146" s="553"/>
      <c r="AU146" s="603" t="str">
        <f>VLOOKUP(AU144,Check2,6,FALSE)</f>
        <v>3D</v>
      </c>
      <c r="AV146" s="604"/>
      <c r="AW146" s="597"/>
      <c r="AX146" s="727" t="str">
        <f>VLOOKUP(AX144,Check2,6,FALSE)</f>
        <v>3A</v>
      </c>
      <c r="AY146" s="603" t="str">
        <f>VLOOKUP(AY144,Check2,6,FALSE)</f>
        <v>3C</v>
      </c>
      <c r="AZ146" s="604"/>
      <c r="BA146" s="597"/>
      <c r="BB146" s="603" t="str">
        <f>VLOOKUP(BB144,Check2,6,FALSE)</f>
        <v>3B</v>
      </c>
      <c r="BC146" s="728"/>
      <c r="BD146" s="746"/>
      <c r="BE146" s="568"/>
      <c r="BF146" s="568"/>
      <c r="BG146" s="746"/>
      <c r="BH146" s="1083"/>
      <c r="BI146" s="1083"/>
      <c r="BJ146" s="1083"/>
      <c r="BK146" s="572"/>
      <c r="BL146" s="607" t="s">
        <v>1</v>
      </c>
      <c r="BM146" s="791">
        <f t="shared" ref="BM146" si="867">BM150+3.48</f>
        <v>62.199999999999974</v>
      </c>
      <c r="BN146" s="1117"/>
      <c r="BO146" s="509"/>
      <c r="BP146" s="510" t="s">
        <v>1</v>
      </c>
    </row>
    <row r="147" spans="1:68" ht="26.25" thickBot="1" x14ac:dyDescent="0.5">
      <c r="A147" s="937"/>
      <c r="B147" s="469" t="str">
        <f t="shared" ref="B147" si="868">_xlfn.CONCAT("קומה ",B148)</f>
        <v>קומה 15</v>
      </c>
      <c r="C147" s="473" t="s">
        <v>0</v>
      </c>
      <c r="D147" s="556"/>
      <c r="E147" s="1080"/>
      <c r="F147" s="1080"/>
      <c r="G147" s="1080"/>
      <c r="H147" s="557"/>
      <c r="I147" s="557"/>
      <c r="J147" s="557"/>
      <c r="K147" s="557"/>
      <c r="L147" s="460">
        <f t="shared" ref="L147" si="869">L151+8</f>
        <v>123</v>
      </c>
      <c r="M147" s="514"/>
      <c r="N147" s="514">
        <f t="shared" ref="N147" si="870">N151+8</f>
        <v>124</v>
      </c>
      <c r="O147" s="514"/>
      <c r="P147" s="540">
        <f t="shared" ref="P147:Q147" si="871">P151+8</f>
        <v>125</v>
      </c>
      <c r="Q147" s="514">
        <f t="shared" si="871"/>
        <v>126</v>
      </c>
      <c r="R147" s="514"/>
      <c r="S147" s="462"/>
      <c r="T147" s="514">
        <f t="shared" ref="T147" si="872">T151+8</f>
        <v>127</v>
      </c>
      <c r="U147" s="514"/>
      <c r="V147" s="514">
        <f t="shared" ref="V147" si="873">V151+8</f>
        <v>128</v>
      </c>
      <c r="W147" s="514"/>
      <c r="X147" s="514">
        <f t="shared" ref="X147" si="874">X151+8</f>
        <v>129</v>
      </c>
      <c r="Y147" s="514"/>
      <c r="Z147" s="514">
        <f t="shared" ref="Z147" si="875">Z151+8</f>
        <v>130</v>
      </c>
      <c r="AA147" s="463"/>
      <c r="AB147" s="464"/>
      <c r="AC147" s="464"/>
      <c r="AD147" s="1120"/>
      <c r="AE147" s="792" t="s">
        <v>64</v>
      </c>
      <c r="AF147" s="793">
        <f>COUNTIF(Check[סימון2],("S.S"&amp;"*"))</f>
        <v>286</v>
      </c>
      <c r="AG147" s="794">
        <f>COUNTIF(Check[סימון2],("O.S"&amp;"*"))</f>
        <v>83</v>
      </c>
      <c r="AH147" s="795">
        <f t="shared" si="754"/>
        <v>369</v>
      </c>
      <c r="AI147" s="796">
        <f>COUNTIF(Check[סימון2],("V.S"&amp;"*"))+AJ147</f>
        <v>0</v>
      </c>
      <c r="AJ147" s="797">
        <f>COUNTIF(Check[סימון2],("H.S"&amp;"*"))</f>
        <v>0</v>
      </c>
      <c r="AK147" s="798" t="s">
        <v>64</v>
      </c>
      <c r="AL147" s="1122"/>
      <c r="AM147" s="464"/>
      <c r="AN147" s="626"/>
      <c r="AO147" s="778">
        <f t="shared" ref="AO147:AP147" si="876">AO151+8</f>
        <v>122</v>
      </c>
      <c r="AP147" s="578">
        <f t="shared" si="876"/>
        <v>123</v>
      </c>
      <c r="AQ147" s="520"/>
      <c r="AR147" s="540">
        <f t="shared" ref="AR147:AS147" si="877">AR151+8</f>
        <v>124</v>
      </c>
      <c r="AS147" s="578">
        <f t="shared" si="877"/>
        <v>125</v>
      </c>
      <c r="AT147" s="520"/>
      <c r="AU147" s="578">
        <f t="shared" ref="AU147" si="878">AU151+8</f>
        <v>126</v>
      </c>
      <c r="AV147" s="461"/>
      <c r="AW147" s="520"/>
      <c r="AX147" s="540">
        <f t="shared" ref="AX147:AY147" si="879">AX151+8</f>
        <v>119</v>
      </c>
      <c r="AY147" s="578">
        <f t="shared" si="879"/>
        <v>120</v>
      </c>
      <c r="AZ147" s="461"/>
      <c r="BA147" s="520"/>
      <c r="BB147" s="578">
        <f t="shared" ref="BB147" si="880">BB151+8</f>
        <v>121</v>
      </c>
      <c r="BC147" s="719"/>
      <c r="BD147" s="733"/>
      <c r="BE147" s="557"/>
      <c r="BF147" s="557"/>
      <c r="BG147" s="733"/>
      <c r="BH147" s="1080"/>
      <c r="BI147" s="1080"/>
      <c r="BJ147" s="1080"/>
      <c r="BK147" s="559"/>
      <c r="BL147" s="483" t="s">
        <v>0</v>
      </c>
      <c r="BM147" s="779" t="str">
        <f t="shared" ref="BM147" si="881">_xlfn.CONCAT("קומה ",BM148)</f>
        <v>קומה 15</v>
      </c>
      <c r="BN147" s="1116"/>
      <c r="BO147" s="470"/>
      <c r="BP147" s="471" t="s">
        <v>0</v>
      </c>
    </row>
    <row r="148" spans="1:68" ht="20.25" hidden="1" customHeight="1" thickTop="1" x14ac:dyDescent="0.3">
      <c r="A148" s="937"/>
      <c r="B148" s="472">
        <f t="shared" ref="B148" si="882">B152+1</f>
        <v>15</v>
      </c>
      <c r="C148" s="473" t="s">
        <v>89</v>
      </c>
      <c r="D148" s="560"/>
      <c r="E148" s="1078"/>
      <c r="F148" s="1078"/>
      <c r="G148" s="1078"/>
      <c r="H148" s="535"/>
      <c r="I148" s="535"/>
      <c r="J148" s="535"/>
      <c r="K148" s="535"/>
      <c r="L148" s="475" t="str">
        <f>VLOOKUP("*"&amp;L$5&amp;".Ap."&amp;L147,Check2,1,FALSE)</f>
        <v>V.GMS.S.3B.TS.Ap.123</v>
      </c>
      <c r="M148" s="525" t="str">
        <f t="shared" ref="M148" si="883">L148</f>
        <v>V.GMS.S.3B.TS.Ap.123</v>
      </c>
      <c r="N148" s="525" t="str">
        <f>VLOOKUP("*"&amp;N$5&amp;".Ap."&amp;N147,Check2,1,FALSE)</f>
        <v>S.S.3C.TS.Ap.124</v>
      </c>
      <c r="O148" s="525" t="str">
        <f t="shared" ref="O148" si="884">N148</f>
        <v>S.S.3C.TS.Ap.124</v>
      </c>
      <c r="P148" s="525" t="str">
        <f>VLOOKUP("*"&amp;P$5&amp;".Ap."&amp;P147,Check2,1,FALSE)</f>
        <v>S.S.3A.TS.Ap.125</v>
      </c>
      <c r="Q148" s="525" t="str">
        <f>VLOOKUP("*"&amp;Q$5&amp;".Ap."&amp;Q147,Check2,1,FALSE)</f>
        <v>S.S.3D.TS.Ap.126</v>
      </c>
      <c r="R148" s="525" t="str">
        <f t="shared" ref="R148:S148" si="885">Q148</f>
        <v>S.S.3D.TS.Ap.126</v>
      </c>
      <c r="S148" s="477" t="str">
        <f t="shared" si="885"/>
        <v>S.S.3D.TS.Ap.126</v>
      </c>
      <c r="T148" s="525" t="str">
        <f>VLOOKUP("*"&amp;T$5&amp;".Ap."&amp;T147,Check2,1,FALSE)</f>
        <v>S.S.3E.TS.Ap.127</v>
      </c>
      <c r="U148" s="525" t="str">
        <f t="shared" ref="U148" si="886">T148</f>
        <v>S.S.3E.TS.Ap.127</v>
      </c>
      <c r="V148" s="525" t="str">
        <f>VLOOKUP("*"&amp;V$5&amp;".Ap."&amp;V147,Check2,1,FALSE)</f>
        <v>S.S.4A.TS.Ap.128</v>
      </c>
      <c r="W148" s="525" t="str">
        <f t="shared" ref="W148" si="887">V148</f>
        <v>S.S.4A.TS.Ap.128</v>
      </c>
      <c r="X148" s="525" t="str">
        <f>VLOOKUP("*"&amp;X$5&amp;".Ap."&amp;X147,Check2,1,FALSE)</f>
        <v>O.S.2G.TS.Ap.129</v>
      </c>
      <c r="Y148" s="525" t="str">
        <f t="shared" ref="Y148" si="888">X148</f>
        <v>O.S.2G.TS.Ap.129</v>
      </c>
      <c r="Z148" s="525" t="str">
        <f>VLOOKUP("*"&amp;Z$5&amp;".Ap."&amp;Z147,Check2,1,FALSE)</f>
        <v>O.S.4B.TS.Ap.130</v>
      </c>
      <c r="AA148" s="478" t="str">
        <f t="shared" si="724"/>
        <v>O.S.4B.TS.Ap.130</v>
      </c>
      <c r="AB148" s="479"/>
      <c r="AC148" s="479"/>
      <c r="AD148" s="799"/>
      <c r="AE148" s="749"/>
      <c r="AF148" s="781"/>
      <c r="AG148" s="782"/>
      <c r="AH148" s="783">
        <f t="shared" si="754"/>
        <v>0</v>
      </c>
      <c r="AI148" s="784"/>
      <c r="AJ148" s="785"/>
      <c r="AK148" s="753"/>
      <c r="AL148" s="800"/>
      <c r="AM148" s="479"/>
      <c r="AN148" s="636"/>
      <c r="AO148" s="475" t="str">
        <f>VLOOKUP("*"&amp;AO$5&amp;".Ap."&amp;AO147,Check2,1,FALSE)</f>
        <v>S.S.4B.TN.Ap.122</v>
      </c>
      <c r="AP148" s="533" t="str">
        <f>VLOOKUP("*"&amp;AP$5&amp;".Ap."&amp;AP147,Check2,1,FALSE)</f>
        <v>S.S.2G.TN.Ap.123</v>
      </c>
      <c r="AQ148" s="477" t="str">
        <f t="shared" ref="AQ148" si="889">AP148</f>
        <v>S.S.2G.TN.Ap.123</v>
      </c>
      <c r="AR148" s="525" t="str">
        <f>VLOOKUP("*"&amp;AR$5&amp;".Ap."&amp;AR147,Check2,1,FALSE)</f>
        <v>S.S.4A.TN.Ap.124</v>
      </c>
      <c r="AS148" s="533" t="str">
        <f>VLOOKUP("*"&amp;AS$5&amp;".Ap."&amp;AS147,Check2,1,FALSE)</f>
        <v>S.S.3E.TN.Ap.125</v>
      </c>
      <c r="AT148" s="477" t="str">
        <f t="shared" ref="AT148" si="890">AS148</f>
        <v>S.S.3E.TN.Ap.125</v>
      </c>
      <c r="AU148" s="533" t="str">
        <f>VLOOKUP("*"&amp;AU$5&amp;".Ap."&amp;AU147,Check2,1,FALSE)</f>
        <v>S.S.3D.TN.Ap.126</v>
      </c>
      <c r="AV148" s="476" t="str">
        <f t="shared" ref="AV148:AW148" si="891">AU148</f>
        <v>S.S.3D.TN.Ap.126</v>
      </c>
      <c r="AW148" s="477" t="str">
        <f t="shared" si="891"/>
        <v>S.S.3D.TN.Ap.126</v>
      </c>
      <c r="AX148" s="525" t="str">
        <f>VLOOKUP("*"&amp;AX$5&amp;".Ap."&amp;AX147,Check2,1,FALSE)</f>
        <v>S.S.3A.TN.Ap.119</v>
      </c>
      <c r="AY148" s="533" t="str">
        <f>VLOOKUP("*"&amp;AY$5&amp;".Ap."&amp;AY147,Check2,1,FALSE)</f>
        <v>S.S.3C.TN.Ap.120</v>
      </c>
      <c r="AZ148" s="476" t="str">
        <f t="shared" ref="AZ148:BA148" si="892">AY148</f>
        <v>S.S.3C.TN.Ap.120</v>
      </c>
      <c r="BA148" s="477" t="str">
        <f t="shared" si="892"/>
        <v>S.S.3C.TN.Ap.120</v>
      </c>
      <c r="BB148" s="533" t="str">
        <f>VLOOKUP("*"&amp;BB$5&amp;".Ap."&amp;BB147,Check2,1,FALSE)</f>
        <v>S.S.3B.TN.Ap.121</v>
      </c>
      <c r="BC148" s="722" t="str">
        <f t="shared" ref="BC148" si="893">BB148</f>
        <v>S.S.3B.TN.Ap.121</v>
      </c>
      <c r="BD148" s="744"/>
      <c r="BE148" s="535"/>
      <c r="BF148" s="535"/>
      <c r="BG148" s="744"/>
      <c r="BH148" s="1078"/>
      <c r="BI148" s="1078"/>
      <c r="BJ148" s="1078"/>
      <c r="BK148" s="561"/>
      <c r="BL148" s="483" t="s">
        <v>89</v>
      </c>
      <c r="BM148" s="787">
        <f t="shared" ref="BM148" si="894">BM152+1</f>
        <v>15</v>
      </c>
      <c r="BN148" s="1116"/>
      <c r="BO148" s="484"/>
      <c r="BP148" s="485" t="s">
        <v>89</v>
      </c>
    </row>
    <row r="149" spans="1:68" ht="22.5" thickTop="1" x14ac:dyDescent="0.3">
      <c r="A149" s="937"/>
      <c r="B149" s="486"/>
      <c r="C149" s="487" t="s">
        <v>65</v>
      </c>
      <c r="D149" s="562"/>
      <c r="E149" s="1078"/>
      <c r="F149" s="1078"/>
      <c r="G149" s="1078"/>
      <c r="H149" s="563"/>
      <c r="I149" s="563"/>
      <c r="J149" s="563"/>
      <c r="K149" s="563"/>
      <c r="L149" s="488">
        <f>VLOOKUP(L148,Check2,5,FALSE)</f>
        <v>1501</v>
      </c>
      <c r="M149" s="539"/>
      <c r="N149" s="539">
        <f>VLOOKUP(N148,Check2,5,FALSE)</f>
        <v>1502</v>
      </c>
      <c r="O149" s="539"/>
      <c r="P149" s="724">
        <f>VLOOKUP(P148,Check2,5,FALSE)</f>
        <v>1503</v>
      </c>
      <c r="Q149" s="539">
        <f>VLOOKUP(Q148,Check2,5,FALSE)</f>
        <v>1504</v>
      </c>
      <c r="R149" s="539"/>
      <c r="S149" s="490"/>
      <c r="T149" s="539">
        <f>VLOOKUP(T148,Check2,5,FALSE)</f>
        <v>1505</v>
      </c>
      <c r="U149" s="539"/>
      <c r="V149" s="539">
        <f>VLOOKUP(V148,Check2,5,FALSE)</f>
        <v>1506</v>
      </c>
      <c r="W149" s="539"/>
      <c r="X149" s="539">
        <f>VLOOKUP(X148,Check2,5,FALSE)</f>
        <v>1507</v>
      </c>
      <c r="Y149" s="539"/>
      <c r="Z149" s="539">
        <f>VLOOKUP(Z148,Check2,5,FALSE)</f>
        <v>1508</v>
      </c>
      <c r="AA149" s="491"/>
      <c r="AB149" s="449"/>
      <c r="AC149" s="449"/>
      <c r="AD149" s="1094" t="s">
        <v>1251</v>
      </c>
      <c r="AE149" s="755" t="s">
        <v>55</v>
      </c>
      <c r="AF149" s="756">
        <f>COUNTIF(Check[סימון2],("S.P.4"&amp;"*"&amp;"."&amp;AD$5&amp;"*"))</f>
        <v>21</v>
      </c>
      <c r="AG149" s="757">
        <f>COUNTIF(Check[סימון2],("O.P.4"&amp;"*"&amp;"."&amp;AD$5&amp;"*"))</f>
        <v>17</v>
      </c>
      <c r="AH149" s="758">
        <f t="shared" si="754"/>
        <v>38</v>
      </c>
      <c r="AI149" s="759">
        <f>COUNTIF(Check[סימון2],("V.P.4"&amp;"*"&amp;"."&amp;AD$5&amp;"*"))+AJ149</f>
        <v>0</v>
      </c>
      <c r="AJ149" s="760">
        <f>COUNTIF(Check[סימון2],("H.P.4"&amp;"*"&amp;"."&amp;AD$5&amp;"*"))</f>
        <v>0</v>
      </c>
      <c r="AK149" s="761" t="s">
        <v>55</v>
      </c>
      <c r="AL149" s="1096" t="s">
        <v>1251</v>
      </c>
      <c r="AM149" s="449"/>
      <c r="AN149" s="637"/>
      <c r="AO149" s="788">
        <f>VLOOKUP(AO148,Check2,5,FALSE)</f>
        <v>1502</v>
      </c>
      <c r="AP149" s="589">
        <f>VLOOKUP(AP148,Check2,5,FALSE)</f>
        <v>1503</v>
      </c>
      <c r="AQ149" s="543"/>
      <c r="AR149" s="724">
        <f>VLOOKUP(AR148,Check2,5,FALSE)</f>
        <v>1504</v>
      </c>
      <c r="AS149" s="589">
        <f>VLOOKUP(AS148,Check2,5,FALSE)</f>
        <v>1505</v>
      </c>
      <c r="AT149" s="543"/>
      <c r="AU149" s="589">
        <f>VLOOKUP(AU148,Check2,5,FALSE)</f>
        <v>1506</v>
      </c>
      <c r="AV149" s="590"/>
      <c r="AW149" s="584"/>
      <c r="AX149" s="724">
        <f>VLOOKUP(AX148,Check2,5,FALSE)</f>
        <v>1507</v>
      </c>
      <c r="AY149" s="589">
        <f>VLOOKUP(AY148,Check2,5,FALSE)</f>
        <v>1508</v>
      </c>
      <c r="AZ149" s="590"/>
      <c r="BA149" s="584"/>
      <c r="BB149" s="589">
        <f>VLOOKUP(BB148,Check2,5,FALSE)</f>
        <v>1501</v>
      </c>
      <c r="BC149" s="725"/>
      <c r="BD149" s="745"/>
      <c r="BE149" s="563"/>
      <c r="BF149" s="563"/>
      <c r="BG149" s="745"/>
      <c r="BH149" s="1078"/>
      <c r="BI149" s="1078"/>
      <c r="BJ149" s="1078"/>
      <c r="BK149" s="564"/>
      <c r="BL149" s="495" t="s">
        <v>65</v>
      </c>
      <c r="BM149" s="789"/>
      <c r="BN149" s="1116"/>
      <c r="BO149" s="434"/>
      <c r="BP149" s="496" t="s">
        <v>1078</v>
      </c>
    </row>
    <row r="150" spans="1:68" ht="19.5" customHeight="1" thickBot="1" x14ac:dyDescent="0.45">
      <c r="A150" s="1014"/>
      <c r="B150" s="593">
        <f t="shared" ref="B150" si="895">B154+3.48</f>
        <v>58.719999999999978</v>
      </c>
      <c r="C150" s="594" t="s">
        <v>1</v>
      </c>
      <c r="D150" s="567"/>
      <c r="E150" s="1079"/>
      <c r="F150" s="1079"/>
      <c r="G150" s="1079"/>
      <c r="H150" s="568"/>
      <c r="I150" s="568"/>
      <c r="J150" s="568"/>
      <c r="K150" s="568"/>
      <c r="L150" s="595" t="str">
        <f>VLOOKUP(L148,Check2,6,FALSE)</f>
        <v>3B</v>
      </c>
      <c r="M150" s="548"/>
      <c r="N150" s="548" t="str">
        <f>VLOOKUP(N148,Check2,6,FALSE)</f>
        <v>3C</v>
      </c>
      <c r="O150" s="548"/>
      <c r="P150" s="727" t="str">
        <f>VLOOKUP(P148,Check2,6,FALSE)</f>
        <v>3A</v>
      </c>
      <c r="Q150" s="548" t="str">
        <f>VLOOKUP(Q148,Check2,6,FALSE)</f>
        <v>3D</v>
      </c>
      <c r="R150" s="548"/>
      <c r="S150" s="549"/>
      <c r="T150" s="548" t="str">
        <f>VLOOKUP(T148,Check2,6,FALSE)</f>
        <v>3E</v>
      </c>
      <c r="U150" s="548"/>
      <c r="V150" s="548" t="str">
        <f>VLOOKUP(V148,Check2,6,FALSE)</f>
        <v>4A</v>
      </c>
      <c r="W150" s="548"/>
      <c r="X150" s="548" t="str">
        <f>VLOOKUP(X148,Check2,6,FALSE)</f>
        <v>2G</v>
      </c>
      <c r="Y150" s="548"/>
      <c r="Z150" s="548" t="str">
        <f>VLOOKUP(Z148,Check2,6,FALSE)</f>
        <v>4B</v>
      </c>
      <c r="AA150" s="615"/>
      <c r="AB150" s="503"/>
      <c r="AC150" s="503"/>
      <c r="AD150" s="1094"/>
      <c r="AE150" s="762" t="s">
        <v>56</v>
      </c>
      <c r="AF150" s="763">
        <f>COUNTIF(Check[סימון2],("S.P.4"&amp;"*"&amp;"."&amp;AK$5&amp;"*"))</f>
        <v>16</v>
      </c>
      <c r="AG150" s="764">
        <f>COUNTIF(Check[סימון2],("O.P.4"&amp;"*"&amp;"."&amp;AK$5&amp;"*"))</f>
        <v>16</v>
      </c>
      <c r="AH150" s="765">
        <f t="shared" si="754"/>
        <v>32</v>
      </c>
      <c r="AI150" s="766">
        <f>COUNTIF(Check[סימון2],("V.P.4"&amp;"*"&amp;"."&amp;AK$5&amp;"*"))+AJ150</f>
        <v>0</v>
      </c>
      <c r="AJ150" s="767">
        <f>COUNTIF(Check[סימון2],("H.P.4"&amp;"*"&amp;"."&amp;AK$5&amp;"*"))</f>
        <v>0</v>
      </c>
      <c r="AK150" s="768" t="s">
        <v>56</v>
      </c>
      <c r="AL150" s="1096"/>
      <c r="AM150" s="503"/>
      <c r="AN150" s="640"/>
      <c r="AO150" s="790" t="str">
        <f>VLOOKUP(AO148,Check2,6,FALSE)</f>
        <v>4B</v>
      </c>
      <c r="AP150" s="603" t="str">
        <f>VLOOKUP(AP148,Check2,6,FALSE)</f>
        <v>2G</v>
      </c>
      <c r="AQ150" s="553"/>
      <c r="AR150" s="727" t="str">
        <f>VLOOKUP(AR148,Check2,6,FALSE)</f>
        <v>4A</v>
      </c>
      <c r="AS150" s="603" t="str">
        <f>VLOOKUP(AS148,Check2,6,FALSE)</f>
        <v>3E</v>
      </c>
      <c r="AT150" s="553"/>
      <c r="AU150" s="603" t="str">
        <f>VLOOKUP(AU148,Check2,6,FALSE)</f>
        <v>3D</v>
      </c>
      <c r="AV150" s="604"/>
      <c r="AW150" s="597"/>
      <c r="AX150" s="727" t="str">
        <f>VLOOKUP(AX148,Check2,6,FALSE)</f>
        <v>3A</v>
      </c>
      <c r="AY150" s="603" t="str">
        <f>VLOOKUP(AY148,Check2,6,FALSE)</f>
        <v>3C</v>
      </c>
      <c r="AZ150" s="604"/>
      <c r="BA150" s="597"/>
      <c r="BB150" s="603" t="str">
        <f>VLOOKUP(BB148,Check2,6,FALSE)</f>
        <v>3B</v>
      </c>
      <c r="BC150" s="728"/>
      <c r="BD150" s="746"/>
      <c r="BE150" s="568"/>
      <c r="BF150" s="568"/>
      <c r="BG150" s="746"/>
      <c r="BH150" s="1079"/>
      <c r="BI150" s="1079"/>
      <c r="BJ150" s="1079"/>
      <c r="BK150" s="572"/>
      <c r="BL150" s="607" t="s">
        <v>1</v>
      </c>
      <c r="BM150" s="791">
        <f t="shared" ref="BM150" si="896">BM154+3.48</f>
        <v>58.719999999999978</v>
      </c>
      <c r="BN150" s="1117"/>
      <c r="BO150" s="509"/>
      <c r="BP150" s="510" t="s">
        <v>1</v>
      </c>
    </row>
    <row r="151" spans="1:68" ht="26.25" thickBot="1" x14ac:dyDescent="0.5">
      <c r="A151" s="937"/>
      <c r="B151" s="469" t="str">
        <f t="shared" ref="B151" si="897">_xlfn.CONCAT("קומה ",B152)</f>
        <v>קומה 14</v>
      </c>
      <c r="C151" s="473" t="s">
        <v>0</v>
      </c>
      <c r="D151" s="556"/>
      <c r="E151" s="1080"/>
      <c r="F151" s="1080"/>
      <c r="G151" s="1080"/>
      <c r="H151" s="557"/>
      <c r="I151" s="557"/>
      <c r="J151" s="557"/>
      <c r="K151" s="557"/>
      <c r="L151" s="460">
        <f t="shared" ref="L151" si="898">L155+8</f>
        <v>115</v>
      </c>
      <c r="M151" s="514"/>
      <c r="N151" s="514">
        <f t="shared" ref="N151" si="899">N155+8</f>
        <v>116</v>
      </c>
      <c r="O151" s="514"/>
      <c r="P151" s="540">
        <f t="shared" ref="P151:Q151" si="900">P155+8</f>
        <v>117</v>
      </c>
      <c r="Q151" s="514">
        <f t="shared" si="900"/>
        <v>118</v>
      </c>
      <c r="R151" s="514"/>
      <c r="S151" s="462"/>
      <c r="T151" s="514">
        <f t="shared" ref="T151" si="901">T155+8</f>
        <v>119</v>
      </c>
      <c r="U151" s="514"/>
      <c r="V151" s="514">
        <f t="shared" ref="V151" si="902">V155+8</f>
        <v>120</v>
      </c>
      <c r="W151" s="514"/>
      <c r="X151" s="514">
        <f t="shared" ref="X151" si="903">X155+8</f>
        <v>121</v>
      </c>
      <c r="Y151" s="514"/>
      <c r="Z151" s="514">
        <f t="shared" ref="Z151" si="904">Z155+8</f>
        <v>122</v>
      </c>
      <c r="AA151" s="463"/>
      <c r="AB151" s="464"/>
      <c r="AC151" s="464"/>
      <c r="AD151" s="1095"/>
      <c r="AE151" s="771" t="s">
        <v>64</v>
      </c>
      <c r="AF151" s="772">
        <f>COUNTIF(Check[סימון2],("S.P.4"&amp;"*"))</f>
        <v>37</v>
      </c>
      <c r="AG151" s="773">
        <f>COUNTIF(Check[סימון2],("O.P.4"&amp;"*"))</f>
        <v>33</v>
      </c>
      <c r="AH151" s="774">
        <f t="shared" si="754"/>
        <v>70</v>
      </c>
      <c r="AI151" s="775">
        <f>COUNTIF(Check[סימון2],("V.P.4"&amp;"*"))+AJ151</f>
        <v>0</v>
      </c>
      <c r="AJ151" s="776">
        <f>COUNTIF(Check[סימון2],("H.P.4"&amp;"*"))</f>
        <v>0</v>
      </c>
      <c r="AK151" s="777" t="s">
        <v>64</v>
      </c>
      <c r="AL151" s="1097"/>
      <c r="AM151" s="464"/>
      <c r="AN151" s="626"/>
      <c r="AO151" s="778">
        <f t="shared" ref="AO151:AP151" si="905">AO155+8</f>
        <v>114</v>
      </c>
      <c r="AP151" s="578">
        <f t="shared" si="905"/>
        <v>115</v>
      </c>
      <c r="AQ151" s="520"/>
      <c r="AR151" s="540">
        <f t="shared" ref="AR151:AS151" si="906">AR155+8</f>
        <v>116</v>
      </c>
      <c r="AS151" s="578">
        <f t="shared" si="906"/>
        <v>117</v>
      </c>
      <c r="AT151" s="520"/>
      <c r="AU151" s="578">
        <f t="shared" ref="AU151" si="907">AU155+8</f>
        <v>118</v>
      </c>
      <c r="AV151" s="461"/>
      <c r="AW151" s="520"/>
      <c r="AX151" s="540">
        <f t="shared" ref="AX151:AY151" si="908">AX155+8</f>
        <v>111</v>
      </c>
      <c r="AY151" s="578">
        <f t="shared" si="908"/>
        <v>112</v>
      </c>
      <c r="AZ151" s="461"/>
      <c r="BA151" s="520"/>
      <c r="BB151" s="578">
        <f t="shared" ref="BB151" si="909">BB155+8</f>
        <v>113</v>
      </c>
      <c r="BC151" s="719"/>
      <c r="BD151" s="733"/>
      <c r="BE151" s="557"/>
      <c r="BF151" s="557"/>
      <c r="BG151" s="733"/>
      <c r="BH151" s="1080"/>
      <c r="BI151" s="1080"/>
      <c r="BJ151" s="1080"/>
      <c r="BK151" s="559"/>
      <c r="BL151" s="483" t="s">
        <v>0</v>
      </c>
      <c r="BM151" s="779" t="str">
        <f t="shared" ref="BM151" si="910">_xlfn.CONCAT("קומה ",BM152)</f>
        <v>קומה 14</v>
      </c>
      <c r="BN151" s="1116"/>
      <c r="BO151" s="470"/>
      <c r="BP151" s="471" t="s">
        <v>0</v>
      </c>
    </row>
    <row r="152" spans="1:68" ht="20.25" hidden="1" customHeight="1" x14ac:dyDescent="0.3">
      <c r="A152" s="937"/>
      <c r="B152" s="472">
        <f t="shared" ref="B152" si="911">B156+1</f>
        <v>14</v>
      </c>
      <c r="C152" s="473" t="s">
        <v>89</v>
      </c>
      <c r="D152" s="560"/>
      <c r="E152" s="1078"/>
      <c r="F152" s="1078"/>
      <c r="G152" s="1078"/>
      <c r="H152" s="535"/>
      <c r="I152" s="535"/>
      <c r="J152" s="535"/>
      <c r="K152" s="535"/>
      <c r="L152" s="475" t="str">
        <f>VLOOKUP("*"&amp;L$5&amp;".Ap."&amp;L151,Check2,1,FALSE)</f>
        <v>V.GMS.S.3B.TS.Ap.115</v>
      </c>
      <c r="M152" s="525" t="str">
        <f t="shared" ref="M152" si="912">L152</f>
        <v>V.GMS.S.3B.TS.Ap.115</v>
      </c>
      <c r="N152" s="525" t="str">
        <f>VLOOKUP("*"&amp;N$5&amp;".Ap."&amp;N151,Check2,1,FALSE)</f>
        <v>S.S.3C.TS.Ap.116</v>
      </c>
      <c r="O152" s="525" t="str">
        <f t="shared" ref="O152" si="913">N152</f>
        <v>S.S.3C.TS.Ap.116</v>
      </c>
      <c r="P152" s="525" t="str">
        <f>VLOOKUP("*"&amp;P$5&amp;".Ap."&amp;P151,Check2,1,FALSE)</f>
        <v>O.S.3A.TS.Ap.117</v>
      </c>
      <c r="Q152" s="525" t="str">
        <f>VLOOKUP("*"&amp;Q$5&amp;".Ap."&amp;Q151,Check2,1,FALSE)</f>
        <v>S.S.3D.TS.Ap.118</v>
      </c>
      <c r="R152" s="525" t="str">
        <f t="shared" ref="R152:S152" si="914">Q152</f>
        <v>S.S.3D.TS.Ap.118</v>
      </c>
      <c r="S152" s="477" t="str">
        <f t="shared" si="914"/>
        <v>S.S.3D.TS.Ap.118</v>
      </c>
      <c r="T152" s="525" t="str">
        <f>VLOOKUP("*"&amp;T$5&amp;".Ap."&amp;T151,Check2,1,FALSE)</f>
        <v>S.S.3E.TS.Ap.119</v>
      </c>
      <c r="U152" s="525" t="str">
        <f t="shared" ref="U152" si="915">T152</f>
        <v>S.S.3E.TS.Ap.119</v>
      </c>
      <c r="V152" s="525" t="str">
        <f>VLOOKUP("*"&amp;V$5&amp;".Ap."&amp;V151,Check2,1,FALSE)</f>
        <v>S.S.4A.TS.Ap.120</v>
      </c>
      <c r="W152" s="525" t="str">
        <f t="shared" ref="W152" si="916">V152</f>
        <v>S.S.4A.TS.Ap.120</v>
      </c>
      <c r="X152" s="525" t="str">
        <f>VLOOKUP("*"&amp;X$5&amp;".Ap."&amp;X151,Check2,1,FALSE)</f>
        <v>V.GMS.S.2G.TS.Ap.121</v>
      </c>
      <c r="Y152" s="525" t="str">
        <f t="shared" ref="Y152" si="917">X152</f>
        <v>V.GMS.S.2G.TS.Ap.121</v>
      </c>
      <c r="Z152" s="525" t="str">
        <f>VLOOKUP("*"&amp;Z$5&amp;".Ap."&amp;Z151,Check2,1,FALSE)</f>
        <v>O.S.4B.TS.Ap.122</v>
      </c>
      <c r="AA152" s="478" t="str">
        <f t="shared" si="724"/>
        <v>O.S.4B.TS.Ap.122</v>
      </c>
      <c r="AB152" s="479"/>
      <c r="AC152" s="479"/>
      <c r="AD152" s="780"/>
      <c r="AE152" s="749"/>
      <c r="AF152" s="781"/>
      <c r="AG152" s="782"/>
      <c r="AH152" s="783">
        <f t="shared" si="754"/>
        <v>0</v>
      </c>
      <c r="AI152" s="784"/>
      <c r="AJ152" s="785"/>
      <c r="AK152" s="753"/>
      <c r="AL152" s="786"/>
      <c r="AM152" s="479"/>
      <c r="AN152" s="636"/>
      <c r="AO152" s="475" t="str">
        <f>VLOOKUP("*"&amp;AO$5&amp;".Ap."&amp;AO151,Check2,1,FALSE)</f>
        <v>S.S.4B.TN.Ap.114</v>
      </c>
      <c r="AP152" s="533" t="str">
        <f>VLOOKUP("*"&amp;AP$5&amp;".Ap."&amp;AP151,Check2,1,FALSE)</f>
        <v>S.S.2G.TN.Ap.115</v>
      </c>
      <c r="AQ152" s="477" t="str">
        <f t="shared" ref="AQ152" si="918">AP152</f>
        <v>S.S.2G.TN.Ap.115</v>
      </c>
      <c r="AR152" s="525" t="str">
        <f>VLOOKUP("*"&amp;AR$5&amp;".Ap."&amp;AR151,Check2,1,FALSE)</f>
        <v>S.S.4A.TN.Ap.116</v>
      </c>
      <c r="AS152" s="533" t="str">
        <f>VLOOKUP("*"&amp;AS$5&amp;".Ap."&amp;AS151,Check2,1,FALSE)</f>
        <v>S.S.3E.TN.Ap.117</v>
      </c>
      <c r="AT152" s="477" t="str">
        <f t="shared" ref="AT152" si="919">AS152</f>
        <v>S.S.3E.TN.Ap.117</v>
      </c>
      <c r="AU152" s="533" t="str">
        <f>VLOOKUP("*"&amp;AU$5&amp;".Ap."&amp;AU151,Check2,1,FALSE)</f>
        <v>S.S.3D.TN.Ap.118</v>
      </c>
      <c r="AV152" s="476" t="str">
        <f t="shared" ref="AV152:AW152" si="920">AU152</f>
        <v>S.S.3D.TN.Ap.118</v>
      </c>
      <c r="AW152" s="477" t="str">
        <f t="shared" si="920"/>
        <v>S.S.3D.TN.Ap.118</v>
      </c>
      <c r="AX152" s="525" t="str">
        <f>VLOOKUP("*"&amp;AX$5&amp;".Ap."&amp;AX151,Check2,1,FALSE)</f>
        <v>S.S.3A.TN.Ap.111</v>
      </c>
      <c r="AY152" s="533" t="str">
        <f>VLOOKUP("*"&amp;AY$5&amp;".Ap."&amp;AY151,Check2,1,FALSE)</f>
        <v>S.S.3C.TN.Ap.112</v>
      </c>
      <c r="AZ152" s="476" t="str">
        <f t="shared" ref="AZ152:BA152" si="921">AY152</f>
        <v>S.S.3C.TN.Ap.112</v>
      </c>
      <c r="BA152" s="477" t="str">
        <f t="shared" si="921"/>
        <v>S.S.3C.TN.Ap.112</v>
      </c>
      <c r="BB152" s="533" t="str">
        <f>VLOOKUP("*"&amp;BB$5&amp;".Ap."&amp;BB151,Check2,1,FALSE)</f>
        <v>S.S.3B.TN.Ap.113</v>
      </c>
      <c r="BC152" s="722" t="str">
        <f t="shared" ref="BC152" si="922">BB152</f>
        <v>S.S.3B.TN.Ap.113</v>
      </c>
      <c r="BD152" s="744"/>
      <c r="BE152" s="535"/>
      <c r="BF152" s="535"/>
      <c r="BG152" s="744"/>
      <c r="BH152" s="1078"/>
      <c r="BI152" s="1078"/>
      <c r="BJ152" s="1078"/>
      <c r="BK152" s="561"/>
      <c r="BL152" s="483" t="s">
        <v>89</v>
      </c>
      <c r="BM152" s="787">
        <f t="shared" ref="BM152" si="923">BM156+1</f>
        <v>14</v>
      </c>
      <c r="BN152" s="1116"/>
      <c r="BO152" s="484"/>
      <c r="BP152" s="485" t="s">
        <v>89</v>
      </c>
    </row>
    <row r="153" spans="1:68" ht="21.75" x14ac:dyDescent="0.3">
      <c r="A153" s="937"/>
      <c r="B153" s="486"/>
      <c r="C153" s="487" t="s">
        <v>65</v>
      </c>
      <c r="D153" s="562"/>
      <c r="E153" s="1078"/>
      <c r="F153" s="1078"/>
      <c r="G153" s="1078"/>
      <c r="H153" s="563"/>
      <c r="I153" s="563"/>
      <c r="J153" s="563"/>
      <c r="K153" s="563"/>
      <c r="L153" s="488">
        <f>VLOOKUP(L152,Check2,5,FALSE)</f>
        <v>1401</v>
      </c>
      <c r="M153" s="539"/>
      <c r="N153" s="539">
        <f>VLOOKUP(N152,Check2,5,FALSE)</f>
        <v>1402</v>
      </c>
      <c r="O153" s="539"/>
      <c r="P153" s="724">
        <f>VLOOKUP(P152,Check2,5,FALSE)</f>
        <v>1403</v>
      </c>
      <c r="Q153" s="539">
        <f>VLOOKUP(Q152,Check2,5,FALSE)</f>
        <v>1404</v>
      </c>
      <c r="R153" s="539"/>
      <c r="S153" s="490"/>
      <c r="T153" s="539">
        <f>VLOOKUP(T152,Check2,5,FALSE)</f>
        <v>1405</v>
      </c>
      <c r="U153" s="539"/>
      <c r="V153" s="539">
        <f>VLOOKUP(V152,Check2,5,FALSE)</f>
        <v>1406</v>
      </c>
      <c r="W153" s="539"/>
      <c r="X153" s="539">
        <f>VLOOKUP(X152,Check2,5,FALSE)</f>
        <v>1407</v>
      </c>
      <c r="Y153" s="539"/>
      <c r="Z153" s="539">
        <f>VLOOKUP(Z152,Check2,5,FALSE)</f>
        <v>1408</v>
      </c>
      <c r="AA153" s="491"/>
      <c r="AB153" s="449"/>
      <c r="AC153" s="449"/>
      <c r="AD153" s="1094" t="s">
        <v>1252</v>
      </c>
      <c r="AE153" s="755" t="s">
        <v>55</v>
      </c>
      <c r="AF153" s="756">
        <f>COUNTIF(Check[סימון2],("S.P.5"&amp;"*"&amp;"."&amp;AD$5&amp;"*"))</f>
        <v>10</v>
      </c>
      <c r="AG153" s="757">
        <f>COUNTIF(Check[סימון2],("O.P.5"&amp;"*"&amp;"."&amp;AD$5&amp;"*"))</f>
        <v>11</v>
      </c>
      <c r="AH153" s="758">
        <f t="shared" si="754"/>
        <v>21</v>
      </c>
      <c r="AI153" s="759">
        <f>COUNTIF(Check[סימון2],("V.P.5"&amp;"*"&amp;"."&amp;AD$5&amp;"*"))+AJ153</f>
        <v>0</v>
      </c>
      <c r="AJ153" s="760">
        <f>COUNTIF(Check[סימון2],("H.P.5"&amp;"*"&amp;"."&amp;AD$5&amp;"*"))</f>
        <v>0</v>
      </c>
      <c r="AK153" s="761" t="s">
        <v>55</v>
      </c>
      <c r="AL153" s="1096" t="s">
        <v>1252</v>
      </c>
      <c r="AM153" s="449"/>
      <c r="AN153" s="637"/>
      <c r="AO153" s="788">
        <f>VLOOKUP(AO152,Check2,5,FALSE)</f>
        <v>1402</v>
      </c>
      <c r="AP153" s="589">
        <f>VLOOKUP(AP152,Check2,5,FALSE)</f>
        <v>1403</v>
      </c>
      <c r="AQ153" s="543"/>
      <c r="AR153" s="724">
        <f>VLOOKUP(AR152,Check2,5,FALSE)</f>
        <v>1404</v>
      </c>
      <c r="AS153" s="589">
        <f>VLOOKUP(AS152,Check2,5,FALSE)</f>
        <v>1405</v>
      </c>
      <c r="AT153" s="543"/>
      <c r="AU153" s="589">
        <f>VLOOKUP(AU152,Check2,5,FALSE)</f>
        <v>1406</v>
      </c>
      <c r="AV153" s="590"/>
      <c r="AW153" s="584"/>
      <c r="AX153" s="724">
        <f>VLOOKUP(AX152,Check2,5,FALSE)</f>
        <v>1407</v>
      </c>
      <c r="AY153" s="589">
        <f>VLOOKUP(AY152,Check2,5,FALSE)</f>
        <v>1408</v>
      </c>
      <c r="AZ153" s="590"/>
      <c r="BA153" s="584"/>
      <c r="BB153" s="589">
        <f>VLOOKUP(BB152,Check2,5,FALSE)</f>
        <v>1401</v>
      </c>
      <c r="BC153" s="725"/>
      <c r="BD153" s="745"/>
      <c r="BE153" s="563"/>
      <c r="BF153" s="563"/>
      <c r="BG153" s="745"/>
      <c r="BH153" s="1078"/>
      <c r="BI153" s="1078"/>
      <c r="BJ153" s="1078"/>
      <c r="BK153" s="564"/>
      <c r="BL153" s="495" t="s">
        <v>65</v>
      </c>
      <c r="BM153" s="789"/>
      <c r="BN153" s="1116"/>
      <c r="BO153" s="434"/>
      <c r="BP153" s="496" t="s">
        <v>1078</v>
      </c>
    </row>
    <row r="154" spans="1:68" ht="19.5" customHeight="1" thickBot="1" x14ac:dyDescent="0.45">
      <c r="A154" s="1014"/>
      <c r="B154" s="593">
        <f t="shared" ref="B154" si="924">B158+3.48</f>
        <v>55.239999999999981</v>
      </c>
      <c r="C154" s="594" t="s">
        <v>1</v>
      </c>
      <c r="D154" s="567"/>
      <c r="E154" s="1079"/>
      <c r="F154" s="1079"/>
      <c r="G154" s="1079"/>
      <c r="H154" s="568"/>
      <c r="I154" s="568"/>
      <c r="J154" s="568"/>
      <c r="K154" s="568"/>
      <c r="L154" s="595" t="str">
        <f>VLOOKUP(L152,Check2,6,FALSE)</f>
        <v>3B</v>
      </c>
      <c r="M154" s="548"/>
      <c r="N154" s="548" t="str">
        <f>VLOOKUP(N152,Check2,6,FALSE)</f>
        <v>3C</v>
      </c>
      <c r="O154" s="548"/>
      <c r="P154" s="727" t="str">
        <f>VLOOKUP(P152,Check2,6,FALSE)</f>
        <v>3A</v>
      </c>
      <c r="Q154" s="548" t="str">
        <f>VLOOKUP(Q152,Check2,6,FALSE)</f>
        <v>3D</v>
      </c>
      <c r="R154" s="548"/>
      <c r="S154" s="549"/>
      <c r="T154" s="548" t="str">
        <f>VLOOKUP(T152,Check2,6,FALSE)</f>
        <v>3E</v>
      </c>
      <c r="U154" s="548"/>
      <c r="V154" s="548" t="str">
        <f>VLOOKUP(V152,Check2,6,FALSE)</f>
        <v>4A</v>
      </c>
      <c r="W154" s="548"/>
      <c r="X154" s="548" t="str">
        <f>VLOOKUP(X152,Check2,6,FALSE)</f>
        <v>2G</v>
      </c>
      <c r="Y154" s="548"/>
      <c r="Z154" s="548" t="str">
        <f>VLOOKUP(Z152,Check2,6,FALSE)</f>
        <v>4B</v>
      </c>
      <c r="AA154" s="615"/>
      <c r="AB154" s="503"/>
      <c r="AC154" s="503"/>
      <c r="AD154" s="1094"/>
      <c r="AE154" s="762" t="s">
        <v>56</v>
      </c>
      <c r="AF154" s="763">
        <f>COUNTIF(Check[סימון2],("S.P.5"&amp;"*"&amp;"."&amp;AK$5&amp;"*"))</f>
        <v>14</v>
      </c>
      <c r="AG154" s="764">
        <f>COUNTIF(Check[סימון2],("O.P.5"&amp;"*"&amp;"."&amp;AK$5&amp;"*"))</f>
        <v>9</v>
      </c>
      <c r="AH154" s="765">
        <f t="shared" si="754"/>
        <v>23</v>
      </c>
      <c r="AI154" s="766">
        <f>COUNTIF(Check[סימון2],("V.P.5"&amp;"*"&amp;"."&amp;AK$5&amp;"*"))+AJ154</f>
        <v>0</v>
      </c>
      <c r="AJ154" s="767">
        <f>COUNTIF(Check[סימון2],("H.P.5"&amp;"*"&amp;"."&amp;AK$5&amp;"*"))</f>
        <v>0</v>
      </c>
      <c r="AK154" s="768" t="s">
        <v>56</v>
      </c>
      <c r="AL154" s="1096"/>
      <c r="AM154" s="503"/>
      <c r="AN154" s="640"/>
      <c r="AO154" s="790" t="str">
        <f>VLOOKUP(AO152,Check2,6,FALSE)</f>
        <v>4B</v>
      </c>
      <c r="AP154" s="603" t="str">
        <f>VLOOKUP(AP152,Check2,6,FALSE)</f>
        <v>2G</v>
      </c>
      <c r="AQ154" s="553"/>
      <c r="AR154" s="727" t="str">
        <f>VLOOKUP(AR152,Check2,6,FALSE)</f>
        <v>4A</v>
      </c>
      <c r="AS154" s="603" t="str">
        <f>VLOOKUP(AS152,Check2,6,FALSE)</f>
        <v>3E</v>
      </c>
      <c r="AT154" s="553"/>
      <c r="AU154" s="603" t="str">
        <f>VLOOKUP(AU152,Check2,6,FALSE)</f>
        <v>3D</v>
      </c>
      <c r="AV154" s="604"/>
      <c r="AW154" s="597"/>
      <c r="AX154" s="727" t="str">
        <f>VLOOKUP(AX152,Check2,6,FALSE)</f>
        <v>3A</v>
      </c>
      <c r="AY154" s="603" t="str">
        <f>VLOOKUP(AY152,Check2,6,FALSE)</f>
        <v>3C</v>
      </c>
      <c r="AZ154" s="604"/>
      <c r="BA154" s="597"/>
      <c r="BB154" s="603" t="str">
        <f>VLOOKUP(BB152,Check2,6,FALSE)</f>
        <v>3B</v>
      </c>
      <c r="BC154" s="728"/>
      <c r="BD154" s="746"/>
      <c r="BE154" s="568"/>
      <c r="BF154" s="568"/>
      <c r="BG154" s="746"/>
      <c r="BH154" s="1079"/>
      <c r="BI154" s="1079"/>
      <c r="BJ154" s="1079"/>
      <c r="BK154" s="572"/>
      <c r="BL154" s="607" t="s">
        <v>1</v>
      </c>
      <c r="BM154" s="791">
        <f t="shared" ref="BM154" si="925">BM158+3.48</f>
        <v>55.239999999999981</v>
      </c>
      <c r="BN154" s="1117"/>
      <c r="BO154" s="509"/>
      <c r="BP154" s="510" t="s">
        <v>1</v>
      </c>
    </row>
    <row r="155" spans="1:68" ht="26.25" thickBot="1" x14ac:dyDescent="0.5">
      <c r="A155" s="937"/>
      <c r="B155" s="469" t="str">
        <f t="shared" ref="B155" si="926">_xlfn.CONCAT("קומה ",B156)</f>
        <v>קומה 13</v>
      </c>
      <c r="C155" s="473" t="s">
        <v>0</v>
      </c>
      <c r="D155" s="556"/>
      <c r="E155" s="1081" t="s">
        <v>1076</v>
      </c>
      <c r="F155" s="1081" t="s">
        <v>1076</v>
      </c>
      <c r="G155" s="1081" t="s">
        <v>1076</v>
      </c>
      <c r="H155" s="557"/>
      <c r="I155" s="557"/>
      <c r="J155" s="557"/>
      <c r="K155" s="557"/>
      <c r="L155" s="460">
        <f t="shared" ref="L155" si="927">L159+8</f>
        <v>107</v>
      </c>
      <c r="M155" s="514"/>
      <c r="N155" s="514">
        <f t="shared" ref="N155" si="928">N159+8</f>
        <v>108</v>
      </c>
      <c r="O155" s="514"/>
      <c r="P155" s="540">
        <f t="shared" ref="P155:Q155" si="929">P159+8</f>
        <v>109</v>
      </c>
      <c r="Q155" s="514">
        <f t="shared" si="929"/>
        <v>110</v>
      </c>
      <c r="R155" s="514"/>
      <c r="S155" s="462"/>
      <c r="T155" s="514">
        <f t="shared" ref="T155" si="930">T159+8</f>
        <v>111</v>
      </c>
      <c r="U155" s="514"/>
      <c r="V155" s="514">
        <f t="shared" ref="V155" si="931">V159+8</f>
        <v>112</v>
      </c>
      <c r="W155" s="514"/>
      <c r="X155" s="514">
        <f t="shared" ref="X155" si="932">X159+8</f>
        <v>113</v>
      </c>
      <c r="Y155" s="514"/>
      <c r="Z155" s="514">
        <f t="shared" ref="Z155" si="933">Z159+8</f>
        <v>114</v>
      </c>
      <c r="AA155" s="463"/>
      <c r="AB155" s="464"/>
      <c r="AC155" s="464"/>
      <c r="AD155" s="1095"/>
      <c r="AE155" s="771" t="s">
        <v>64</v>
      </c>
      <c r="AF155" s="772">
        <f>COUNTIF(Check[סימון2],("S.P.5"&amp;"*"))</f>
        <v>24</v>
      </c>
      <c r="AG155" s="773">
        <f>COUNTIF(Check[סימון2],("O.P.5"&amp;"*"))</f>
        <v>20</v>
      </c>
      <c r="AH155" s="774">
        <f t="shared" si="754"/>
        <v>44</v>
      </c>
      <c r="AI155" s="775">
        <f>COUNTIF(Check[סימון2],("V.P.5"&amp;"*"))+AJ155</f>
        <v>0</v>
      </c>
      <c r="AJ155" s="776">
        <f>COUNTIF(Check[סימון2],("H.P.5"&amp;"*"))</f>
        <v>0</v>
      </c>
      <c r="AK155" s="777" t="s">
        <v>64</v>
      </c>
      <c r="AL155" s="1097"/>
      <c r="AM155" s="464"/>
      <c r="AN155" s="626"/>
      <c r="AO155" s="778">
        <f t="shared" ref="AO155:AP155" si="934">AO159+8</f>
        <v>106</v>
      </c>
      <c r="AP155" s="578">
        <f t="shared" si="934"/>
        <v>107</v>
      </c>
      <c r="AQ155" s="520"/>
      <c r="AR155" s="540">
        <f t="shared" ref="AR155:AS155" si="935">AR159+8</f>
        <v>108</v>
      </c>
      <c r="AS155" s="578">
        <f t="shared" si="935"/>
        <v>109</v>
      </c>
      <c r="AT155" s="520"/>
      <c r="AU155" s="578">
        <f t="shared" ref="AU155" si="936">AU159+8</f>
        <v>110</v>
      </c>
      <c r="AV155" s="461"/>
      <c r="AW155" s="520"/>
      <c r="AX155" s="540">
        <f t="shared" ref="AX155:AY155" si="937">AX159+8</f>
        <v>103</v>
      </c>
      <c r="AY155" s="578">
        <f t="shared" si="937"/>
        <v>104</v>
      </c>
      <c r="AZ155" s="461"/>
      <c r="BA155" s="520"/>
      <c r="BB155" s="578">
        <f t="shared" ref="BB155" si="938">BB159+8</f>
        <v>105</v>
      </c>
      <c r="BC155" s="719"/>
      <c r="BD155" s="733"/>
      <c r="BE155" s="557"/>
      <c r="BF155" s="557"/>
      <c r="BG155" s="733"/>
      <c r="BH155" s="1081" t="s">
        <v>1076</v>
      </c>
      <c r="BI155" s="1081" t="s">
        <v>1076</v>
      </c>
      <c r="BJ155" s="1081" t="s">
        <v>1076</v>
      </c>
      <c r="BK155" s="559"/>
      <c r="BL155" s="483" t="s">
        <v>0</v>
      </c>
      <c r="BM155" s="779" t="str">
        <f t="shared" ref="BM155" si="939">_xlfn.CONCAT("קומה ",BM156)</f>
        <v>קומה 13</v>
      </c>
      <c r="BN155" s="1116"/>
      <c r="BO155" s="470"/>
      <c r="BP155" s="471" t="s">
        <v>0</v>
      </c>
    </row>
    <row r="156" spans="1:68" ht="18.75" hidden="1" customHeight="1" x14ac:dyDescent="0.3">
      <c r="A156" s="937"/>
      <c r="B156" s="472">
        <f t="shared" ref="B156" si="940">B160+1</f>
        <v>13</v>
      </c>
      <c r="C156" s="473" t="s">
        <v>89</v>
      </c>
      <c r="D156" s="560"/>
      <c r="E156" s="1082"/>
      <c r="F156" s="1082"/>
      <c r="G156" s="1082"/>
      <c r="H156" s="535"/>
      <c r="I156" s="535"/>
      <c r="J156" s="535"/>
      <c r="K156" s="535"/>
      <c r="L156" s="475" t="str">
        <f>VLOOKUP("*"&amp;L$5&amp;".Ap."&amp;L155,Check2,1,FALSE)</f>
        <v>V.GMS.S.3B.TS.Ap.107</v>
      </c>
      <c r="M156" s="525" t="str">
        <f t="shared" ref="M156" si="941">L156</f>
        <v>V.GMS.S.3B.TS.Ap.107</v>
      </c>
      <c r="N156" s="525" t="str">
        <f>VLOOKUP("*"&amp;N$5&amp;".Ap."&amp;N155,Check2,1,FALSE)</f>
        <v>S.S.3C.TS.Ap.108</v>
      </c>
      <c r="O156" s="525" t="str">
        <f t="shared" ref="O156" si="942">N156</f>
        <v>S.S.3C.TS.Ap.108</v>
      </c>
      <c r="P156" s="525" t="str">
        <f>VLOOKUP("*"&amp;P$5&amp;".Ap."&amp;P155,Check2,1,FALSE)</f>
        <v>O.S.3A.TS.Ap.109</v>
      </c>
      <c r="Q156" s="525" t="str">
        <f>VLOOKUP("*"&amp;Q$5&amp;".Ap."&amp;Q155,Check2,1,FALSE)</f>
        <v>S.S.3D.TS.Ap.110</v>
      </c>
      <c r="R156" s="525" t="str">
        <f t="shared" ref="R156:S156" si="943">Q156</f>
        <v>S.S.3D.TS.Ap.110</v>
      </c>
      <c r="S156" s="477" t="str">
        <f t="shared" si="943"/>
        <v>S.S.3D.TS.Ap.110</v>
      </c>
      <c r="T156" s="525" t="str">
        <f>VLOOKUP("*"&amp;T$5&amp;".Ap."&amp;T155,Check2,1,FALSE)</f>
        <v>S.S.3E.TS.Ap.111</v>
      </c>
      <c r="U156" s="525" t="str">
        <f t="shared" ref="U156" si="944">T156</f>
        <v>S.S.3E.TS.Ap.111</v>
      </c>
      <c r="V156" s="525" t="str">
        <f>VLOOKUP("*"&amp;V$5&amp;".Ap."&amp;V155,Check2,1,FALSE)</f>
        <v>S.S.4A.TS.Ap.112</v>
      </c>
      <c r="W156" s="525" t="str">
        <f t="shared" ref="W156" si="945">V156</f>
        <v>S.S.4A.TS.Ap.112</v>
      </c>
      <c r="X156" s="525" t="str">
        <f>VLOOKUP("*"&amp;X$5&amp;".Ap."&amp;X155,Check2,1,FALSE)</f>
        <v>S.S.2G.TS.Ap.113</v>
      </c>
      <c r="Y156" s="525" t="str">
        <f t="shared" ref="Y156" si="946">X156</f>
        <v>S.S.2G.TS.Ap.113</v>
      </c>
      <c r="Z156" s="525" t="str">
        <f>VLOOKUP("*"&amp;Z$5&amp;".Ap."&amp;Z155,Check2,1,FALSE)</f>
        <v>O.S.4B.TS.Ap.114</v>
      </c>
      <c r="AA156" s="478" t="str">
        <f t="shared" si="724"/>
        <v>O.S.4B.TS.Ap.114</v>
      </c>
      <c r="AB156" s="479"/>
      <c r="AC156" s="479"/>
      <c r="AD156" s="799"/>
      <c r="AE156" s="749"/>
      <c r="AF156" s="781"/>
      <c r="AG156" s="782"/>
      <c r="AH156" s="783">
        <f t="shared" si="754"/>
        <v>0</v>
      </c>
      <c r="AI156" s="784"/>
      <c r="AJ156" s="785"/>
      <c r="AK156" s="753"/>
      <c r="AL156" s="800"/>
      <c r="AM156" s="479"/>
      <c r="AN156" s="636"/>
      <c r="AO156" s="475" t="str">
        <f>VLOOKUP("*"&amp;AO$5&amp;".Ap."&amp;AO155,Check2,1,FALSE)</f>
        <v>S.S.4B.TN.Ap.106</v>
      </c>
      <c r="AP156" s="533" t="str">
        <f>VLOOKUP("*"&amp;AP$5&amp;".Ap."&amp;AP155,Check2,1,FALSE)</f>
        <v>S.S.2G.TN.Ap.107</v>
      </c>
      <c r="AQ156" s="477" t="str">
        <f t="shared" ref="AQ156" si="947">AP156</f>
        <v>S.S.2G.TN.Ap.107</v>
      </c>
      <c r="AR156" s="525" t="str">
        <f>VLOOKUP("*"&amp;AR$5&amp;".Ap."&amp;AR155,Check2,1,FALSE)</f>
        <v>S.S.4A.TN.Ap.108</v>
      </c>
      <c r="AS156" s="533" t="str">
        <f>VLOOKUP("*"&amp;AS$5&amp;".Ap."&amp;AS155,Check2,1,FALSE)</f>
        <v>S.S.3E.TN.Ap.109</v>
      </c>
      <c r="AT156" s="477" t="str">
        <f t="shared" ref="AT156" si="948">AS156</f>
        <v>S.S.3E.TN.Ap.109</v>
      </c>
      <c r="AU156" s="533" t="str">
        <f>VLOOKUP("*"&amp;AU$5&amp;".Ap."&amp;AU155,Check2,1,FALSE)</f>
        <v>S.S.3D.TN.Ap.110</v>
      </c>
      <c r="AV156" s="476" t="str">
        <f t="shared" ref="AV156:AW156" si="949">AU156</f>
        <v>S.S.3D.TN.Ap.110</v>
      </c>
      <c r="AW156" s="477" t="str">
        <f t="shared" si="949"/>
        <v>S.S.3D.TN.Ap.110</v>
      </c>
      <c r="AX156" s="525" t="str">
        <f>VLOOKUP("*"&amp;AX$5&amp;".Ap."&amp;AX155,Check2,1,FALSE)</f>
        <v>S.S.3A.TN.Ap.103</v>
      </c>
      <c r="AY156" s="533" t="str">
        <f>VLOOKUP("*"&amp;AY$5&amp;".Ap."&amp;AY155,Check2,1,FALSE)</f>
        <v>S.S.3C.TN.Ap.104</v>
      </c>
      <c r="AZ156" s="476" t="str">
        <f t="shared" ref="AZ156:BA156" si="950">AY156</f>
        <v>S.S.3C.TN.Ap.104</v>
      </c>
      <c r="BA156" s="477" t="str">
        <f t="shared" si="950"/>
        <v>S.S.3C.TN.Ap.104</v>
      </c>
      <c r="BB156" s="533" t="str">
        <f>VLOOKUP("*"&amp;BB$5&amp;".Ap."&amp;BB155,Check2,1,FALSE)</f>
        <v>S.S.3B.TN.Ap.105</v>
      </c>
      <c r="BC156" s="722" t="str">
        <f t="shared" ref="BC156" si="951">BB156</f>
        <v>S.S.3B.TN.Ap.105</v>
      </c>
      <c r="BD156" s="744"/>
      <c r="BE156" s="535"/>
      <c r="BF156" s="535"/>
      <c r="BG156" s="744"/>
      <c r="BH156" s="1082"/>
      <c r="BI156" s="1082"/>
      <c r="BJ156" s="1082"/>
      <c r="BK156" s="561"/>
      <c r="BL156" s="483" t="s">
        <v>89</v>
      </c>
      <c r="BM156" s="787">
        <f t="shared" ref="BM156" si="952">BM160+1</f>
        <v>13</v>
      </c>
      <c r="BN156" s="1116"/>
      <c r="BO156" s="484"/>
      <c r="BP156" s="485" t="s">
        <v>89</v>
      </c>
    </row>
    <row r="157" spans="1:68" ht="21.75" x14ac:dyDescent="0.3">
      <c r="A157" s="937"/>
      <c r="B157" s="486"/>
      <c r="C157" s="487" t="s">
        <v>65</v>
      </c>
      <c r="D157" s="562"/>
      <c r="E157" s="1082"/>
      <c r="F157" s="1082"/>
      <c r="G157" s="1082"/>
      <c r="H157" s="563"/>
      <c r="I157" s="563"/>
      <c r="J157" s="563"/>
      <c r="K157" s="563"/>
      <c r="L157" s="488">
        <f>VLOOKUP(L156,Check2,5,FALSE)</f>
        <v>1301</v>
      </c>
      <c r="M157" s="539"/>
      <c r="N157" s="539">
        <f>VLOOKUP(N156,Check2,5,FALSE)</f>
        <v>1302</v>
      </c>
      <c r="O157" s="539"/>
      <c r="P157" s="724">
        <f>VLOOKUP(P156,Check2,5,FALSE)</f>
        <v>1303</v>
      </c>
      <c r="Q157" s="539">
        <f>VLOOKUP(Q156,Check2,5,FALSE)</f>
        <v>1304</v>
      </c>
      <c r="R157" s="539"/>
      <c r="S157" s="490"/>
      <c r="T157" s="539">
        <f>VLOOKUP(T156,Check2,5,FALSE)</f>
        <v>1305</v>
      </c>
      <c r="U157" s="539"/>
      <c r="V157" s="539">
        <f>VLOOKUP(V156,Check2,5,FALSE)</f>
        <v>1306</v>
      </c>
      <c r="W157" s="539"/>
      <c r="X157" s="539">
        <f>VLOOKUP(X156,Check2,5,FALSE)</f>
        <v>1307</v>
      </c>
      <c r="Y157" s="539"/>
      <c r="Z157" s="539">
        <f>VLOOKUP(Z156,Check2,5,FALSE)</f>
        <v>1308</v>
      </c>
      <c r="AA157" s="491"/>
      <c r="AB157" s="449"/>
      <c r="AC157" s="449"/>
      <c r="AD157" s="1119" t="s">
        <v>1254</v>
      </c>
      <c r="AE157" s="755" t="s">
        <v>55</v>
      </c>
      <c r="AF157" s="756">
        <f>COUNTIF(Check[סימון2],("S.P"&amp;"*"&amp;"."&amp;AD$5&amp;"*"))</f>
        <v>31</v>
      </c>
      <c r="AG157" s="757">
        <f>COUNTIF(Check[סימון2],("O.P"&amp;"*"&amp;"."&amp;AD$5&amp;"*"))</f>
        <v>31</v>
      </c>
      <c r="AH157" s="758">
        <f t="shared" si="754"/>
        <v>62</v>
      </c>
      <c r="AI157" s="759">
        <f>COUNTIF(Check[סימון2],("V.P"&amp;"*"&amp;"."&amp;AD$5&amp;"*"))+AJ157</f>
        <v>0</v>
      </c>
      <c r="AJ157" s="760">
        <f>COUNTIF(Check[סימון2],("H.P"&amp;"*"&amp;"."&amp;AD$5&amp;"*"))</f>
        <v>0</v>
      </c>
      <c r="AK157" s="761" t="s">
        <v>55</v>
      </c>
      <c r="AL157" s="1121" t="s">
        <v>1254</v>
      </c>
      <c r="AM157" s="449"/>
      <c r="AN157" s="637"/>
      <c r="AO157" s="788">
        <f>VLOOKUP(AO156,Check2,5,FALSE)</f>
        <v>1302</v>
      </c>
      <c r="AP157" s="589">
        <f>VLOOKUP(AP156,Check2,5,FALSE)</f>
        <v>1303</v>
      </c>
      <c r="AQ157" s="543"/>
      <c r="AR157" s="724">
        <f>VLOOKUP(AR156,Check2,5,FALSE)</f>
        <v>1304</v>
      </c>
      <c r="AS157" s="589">
        <f>VLOOKUP(AS156,Check2,5,FALSE)</f>
        <v>1305</v>
      </c>
      <c r="AT157" s="543"/>
      <c r="AU157" s="589">
        <f>VLOOKUP(AU156,Check2,5,FALSE)</f>
        <v>1306</v>
      </c>
      <c r="AV157" s="590"/>
      <c r="AW157" s="584"/>
      <c r="AX157" s="724">
        <f>VLOOKUP(AX156,Check2,5,FALSE)</f>
        <v>1307</v>
      </c>
      <c r="AY157" s="589">
        <f>VLOOKUP(AY156,Check2,5,FALSE)</f>
        <v>1308</v>
      </c>
      <c r="AZ157" s="590"/>
      <c r="BA157" s="584"/>
      <c r="BB157" s="589">
        <f>VLOOKUP(BB156,Check2,5,FALSE)</f>
        <v>1301</v>
      </c>
      <c r="BC157" s="725"/>
      <c r="BD157" s="745"/>
      <c r="BE157" s="563"/>
      <c r="BF157" s="563"/>
      <c r="BG157" s="745"/>
      <c r="BH157" s="1082"/>
      <c r="BI157" s="1082"/>
      <c r="BJ157" s="1082"/>
      <c r="BK157" s="564"/>
      <c r="BL157" s="495" t="s">
        <v>65</v>
      </c>
      <c r="BM157" s="789"/>
      <c r="BN157" s="1116"/>
      <c r="BO157" s="434"/>
      <c r="BP157" s="496" t="s">
        <v>1078</v>
      </c>
    </row>
    <row r="158" spans="1:68" ht="19.5" customHeight="1" thickBot="1" x14ac:dyDescent="0.45">
      <c r="A158" s="1014"/>
      <c r="B158" s="593">
        <f t="shared" ref="B158" si="953">B162+3.48</f>
        <v>51.759999999999984</v>
      </c>
      <c r="C158" s="594" t="s">
        <v>1</v>
      </c>
      <c r="D158" s="567"/>
      <c r="E158" s="1083"/>
      <c r="F158" s="1083"/>
      <c r="G158" s="1083"/>
      <c r="H158" s="568"/>
      <c r="I158" s="568"/>
      <c r="J158" s="568"/>
      <c r="K158" s="568"/>
      <c r="L158" s="595" t="str">
        <f>VLOOKUP(L156,Check2,6,FALSE)</f>
        <v>3B</v>
      </c>
      <c r="M158" s="548"/>
      <c r="N158" s="548" t="str">
        <f>VLOOKUP(N156,Check2,6,FALSE)</f>
        <v>3C</v>
      </c>
      <c r="O158" s="548"/>
      <c r="P158" s="727" t="str">
        <f>VLOOKUP(P156,Check2,6,FALSE)</f>
        <v>3A</v>
      </c>
      <c r="Q158" s="548" t="str">
        <f>VLOOKUP(Q156,Check2,6,FALSE)</f>
        <v>3D</v>
      </c>
      <c r="R158" s="548"/>
      <c r="S158" s="549"/>
      <c r="T158" s="548" t="str">
        <f>VLOOKUP(T156,Check2,6,FALSE)</f>
        <v>3E</v>
      </c>
      <c r="U158" s="548"/>
      <c r="V158" s="548" t="str">
        <f>VLOOKUP(V156,Check2,6,FALSE)</f>
        <v>4A</v>
      </c>
      <c r="W158" s="548"/>
      <c r="X158" s="548" t="str">
        <f>VLOOKUP(X156,Check2,6,FALSE)</f>
        <v>2G</v>
      </c>
      <c r="Y158" s="548"/>
      <c r="Z158" s="548" t="str">
        <f>VLOOKUP(Z156,Check2,6,FALSE)</f>
        <v>4B</v>
      </c>
      <c r="AA158" s="615"/>
      <c r="AB158" s="503"/>
      <c r="AC158" s="503"/>
      <c r="AD158" s="1119"/>
      <c r="AE158" s="762" t="s">
        <v>56</v>
      </c>
      <c r="AF158" s="763">
        <f>COUNTIF(Check[סימון2],("S.P"&amp;"*"&amp;"."&amp;AK$5&amp;"*"))</f>
        <v>31</v>
      </c>
      <c r="AG158" s="764">
        <f>COUNTIF(Check[סימון2],("O.P"&amp;"*"&amp;"."&amp;AK$5&amp;"*"))</f>
        <v>25</v>
      </c>
      <c r="AH158" s="765">
        <f t="shared" si="754"/>
        <v>56</v>
      </c>
      <c r="AI158" s="766">
        <f>COUNTIF(Check[סימון2],("V.P"&amp;"*"&amp;"."&amp;AK$5&amp;"*"))+AJ158</f>
        <v>0</v>
      </c>
      <c r="AJ158" s="767">
        <f>COUNTIF(Check[סימון2],("H.P"&amp;"*"&amp;"."&amp;AK$5&amp;"*"))</f>
        <v>0</v>
      </c>
      <c r="AK158" s="768" t="s">
        <v>56</v>
      </c>
      <c r="AL158" s="1121"/>
      <c r="AM158" s="503"/>
      <c r="AN158" s="640"/>
      <c r="AO158" s="790" t="str">
        <f>VLOOKUP(AO156,Check2,6,FALSE)</f>
        <v>4B</v>
      </c>
      <c r="AP158" s="603" t="str">
        <f>VLOOKUP(AP156,Check2,6,FALSE)</f>
        <v>2G</v>
      </c>
      <c r="AQ158" s="553"/>
      <c r="AR158" s="727" t="str">
        <f>VLOOKUP(AR156,Check2,6,FALSE)</f>
        <v>4A</v>
      </c>
      <c r="AS158" s="603" t="str">
        <f>VLOOKUP(AS156,Check2,6,FALSE)</f>
        <v>3E</v>
      </c>
      <c r="AT158" s="553"/>
      <c r="AU158" s="603" t="str">
        <f>VLOOKUP(AU156,Check2,6,FALSE)</f>
        <v>3D</v>
      </c>
      <c r="AV158" s="604"/>
      <c r="AW158" s="597"/>
      <c r="AX158" s="727" t="str">
        <f>VLOOKUP(AX156,Check2,6,FALSE)</f>
        <v>3A</v>
      </c>
      <c r="AY158" s="603" t="str">
        <f>VLOOKUP(AY156,Check2,6,FALSE)</f>
        <v>3C</v>
      </c>
      <c r="AZ158" s="604"/>
      <c r="BA158" s="597"/>
      <c r="BB158" s="603" t="str">
        <f>VLOOKUP(BB156,Check2,6,FALSE)</f>
        <v>3B</v>
      </c>
      <c r="BC158" s="728"/>
      <c r="BD158" s="746"/>
      <c r="BE158" s="568"/>
      <c r="BF158" s="568"/>
      <c r="BG158" s="746"/>
      <c r="BH158" s="1083"/>
      <c r="BI158" s="1083"/>
      <c r="BJ158" s="1083"/>
      <c r="BK158" s="572"/>
      <c r="BL158" s="607" t="s">
        <v>1</v>
      </c>
      <c r="BM158" s="791">
        <f t="shared" ref="BM158" si="954">BM162+3.48</f>
        <v>51.759999999999984</v>
      </c>
      <c r="BN158" s="1117"/>
      <c r="BO158" s="509"/>
      <c r="BP158" s="510" t="s">
        <v>1</v>
      </c>
    </row>
    <row r="159" spans="1:68" ht="26.25" thickBot="1" x14ac:dyDescent="0.5">
      <c r="A159" s="937"/>
      <c r="B159" s="469" t="str">
        <f t="shared" ref="B159" si="955">_xlfn.CONCAT("קומה ",B160)</f>
        <v>קומה 12</v>
      </c>
      <c r="C159" s="473" t="s">
        <v>0</v>
      </c>
      <c r="D159" s="556"/>
      <c r="E159" s="1080"/>
      <c r="F159" s="1080"/>
      <c r="G159" s="1080"/>
      <c r="H159" s="557"/>
      <c r="I159" s="557"/>
      <c r="J159" s="557"/>
      <c r="K159" s="557"/>
      <c r="L159" s="460">
        <f>L163+8</f>
        <v>99</v>
      </c>
      <c r="M159" s="514"/>
      <c r="N159" s="514">
        <f>N163+8</f>
        <v>100</v>
      </c>
      <c r="O159" s="514"/>
      <c r="P159" s="540">
        <f>P163+8</f>
        <v>101</v>
      </c>
      <c r="Q159" s="514">
        <f>Q163+8</f>
        <v>102</v>
      </c>
      <c r="R159" s="514"/>
      <c r="S159" s="462"/>
      <c r="T159" s="514">
        <f>T163+8</f>
        <v>103</v>
      </c>
      <c r="U159" s="514"/>
      <c r="V159" s="514">
        <f>V163+8</f>
        <v>104</v>
      </c>
      <c r="W159" s="514"/>
      <c r="X159" s="514">
        <f>X163+8</f>
        <v>105</v>
      </c>
      <c r="Y159" s="514"/>
      <c r="Z159" s="514">
        <f>Z163+8</f>
        <v>106</v>
      </c>
      <c r="AA159" s="463"/>
      <c r="AB159" s="464"/>
      <c r="AC159" s="464"/>
      <c r="AD159" s="1120"/>
      <c r="AE159" s="792" t="s">
        <v>64</v>
      </c>
      <c r="AF159" s="793">
        <f>COUNTIF(Check[סימון2],("S.P."&amp;"*"))</f>
        <v>61</v>
      </c>
      <c r="AG159" s="794">
        <f>COUNTIF(Check[סימון2],("O.P."&amp;"*"))</f>
        <v>53</v>
      </c>
      <c r="AH159" s="795">
        <f t="shared" si="754"/>
        <v>114</v>
      </c>
      <c r="AI159" s="796">
        <f>COUNTIF(Check[סימון2],("V.P."&amp;"*"))+AJ159</f>
        <v>0</v>
      </c>
      <c r="AJ159" s="797">
        <f>COUNTIF(Check[סימון2],("H.P."&amp;"*"))</f>
        <v>0</v>
      </c>
      <c r="AK159" s="798" t="s">
        <v>64</v>
      </c>
      <c r="AL159" s="1122"/>
      <c r="AM159" s="464"/>
      <c r="AN159" s="626"/>
      <c r="AO159" s="778">
        <f t="shared" ref="AO159:AP159" si="956">AO163+8</f>
        <v>98</v>
      </c>
      <c r="AP159" s="578">
        <f t="shared" si="956"/>
        <v>99</v>
      </c>
      <c r="AQ159" s="520"/>
      <c r="AR159" s="540">
        <f t="shared" ref="AR159:AS159" si="957">AR163+8</f>
        <v>100</v>
      </c>
      <c r="AS159" s="578">
        <f t="shared" si="957"/>
        <v>101</v>
      </c>
      <c r="AT159" s="520"/>
      <c r="AU159" s="578">
        <f t="shared" ref="AU159" si="958">AU163+8</f>
        <v>102</v>
      </c>
      <c r="AV159" s="461"/>
      <c r="AW159" s="520"/>
      <c r="AX159" s="540">
        <f t="shared" ref="AX159:AY159" si="959">AX163+8</f>
        <v>95</v>
      </c>
      <c r="AY159" s="578">
        <f t="shared" si="959"/>
        <v>96</v>
      </c>
      <c r="AZ159" s="461"/>
      <c r="BA159" s="520"/>
      <c r="BB159" s="578">
        <f t="shared" ref="BB159" si="960">BB163+8</f>
        <v>97</v>
      </c>
      <c r="BC159" s="719"/>
      <c r="BD159" s="733"/>
      <c r="BE159" s="557"/>
      <c r="BF159" s="557"/>
      <c r="BG159" s="733"/>
      <c r="BH159" s="1080"/>
      <c r="BI159" s="1080"/>
      <c r="BJ159" s="1080"/>
      <c r="BK159" s="559"/>
      <c r="BL159" s="483" t="s">
        <v>0</v>
      </c>
      <c r="BM159" s="779" t="str">
        <f t="shared" ref="BM159" si="961">_xlfn.CONCAT("קומה ",BM160)</f>
        <v>קומה 12</v>
      </c>
      <c r="BN159" s="1116"/>
      <c r="BO159" s="470"/>
      <c r="BP159" s="471" t="s">
        <v>0</v>
      </c>
    </row>
    <row r="160" spans="1:68" ht="18.75" hidden="1" customHeight="1" thickTop="1" x14ac:dyDescent="0.3">
      <c r="A160" s="937"/>
      <c r="B160" s="472">
        <f t="shared" ref="B160" si="962">B164+1</f>
        <v>12</v>
      </c>
      <c r="C160" s="473" t="s">
        <v>89</v>
      </c>
      <c r="D160" s="560"/>
      <c r="E160" s="1078"/>
      <c r="F160" s="1078"/>
      <c r="G160" s="1078"/>
      <c r="H160" s="535"/>
      <c r="I160" s="535"/>
      <c r="J160" s="535"/>
      <c r="K160" s="535"/>
      <c r="L160" s="475" t="str">
        <f>VLOOKUP("*"&amp;L$5&amp;".Ap."&amp;L159,Check2,1,FALSE)</f>
        <v>V.GMS.S.3B.TS.Ap.99</v>
      </c>
      <c r="M160" s="525" t="str">
        <f t="shared" ref="M160" si="963">L160</f>
        <v>V.GMS.S.3B.TS.Ap.99</v>
      </c>
      <c r="N160" s="525" t="str">
        <f>VLOOKUP("*"&amp;N$5&amp;".Ap."&amp;N159,Check2,1,FALSE)</f>
        <v>S.S.3C.TS.Ap.100</v>
      </c>
      <c r="O160" s="525" t="str">
        <f t="shared" ref="O160" si="964">N160</f>
        <v>S.S.3C.TS.Ap.100</v>
      </c>
      <c r="P160" s="525" t="str">
        <f>VLOOKUP("*"&amp;P$5&amp;".Ap."&amp;P159,Check2,1,FALSE)</f>
        <v>O.S.3A.TS.Ap.101</v>
      </c>
      <c r="Q160" s="525" t="str">
        <f>VLOOKUP("*"&amp;Q$5&amp;".Ap."&amp;Q159,Check2,1,FALSE)</f>
        <v>S.S.3D.TS.Ap.102</v>
      </c>
      <c r="R160" s="525" t="str">
        <f t="shared" ref="R160:S160" si="965">Q160</f>
        <v>S.S.3D.TS.Ap.102</v>
      </c>
      <c r="S160" s="477" t="str">
        <f t="shared" si="965"/>
        <v>S.S.3D.TS.Ap.102</v>
      </c>
      <c r="T160" s="525" t="str">
        <f>VLOOKUP("*"&amp;T$5&amp;".Ap."&amp;T159,Check2,1,FALSE)</f>
        <v>S.S.3E.TS.Ap.103</v>
      </c>
      <c r="U160" s="525" t="str">
        <f t="shared" ref="U160" si="966">T160</f>
        <v>S.S.3E.TS.Ap.103</v>
      </c>
      <c r="V160" s="525" t="str">
        <f>VLOOKUP("*"&amp;V$5&amp;".Ap."&amp;V159,Check2,1,FALSE)</f>
        <v>V.GMS.S.4A.TS.Ap.104</v>
      </c>
      <c r="W160" s="525" t="str">
        <f t="shared" ref="W160" si="967">V160</f>
        <v>V.GMS.S.4A.TS.Ap.104</v>
      </c>
      <c r="X160" s="525" t="str">
        <f>VLOOKUP("*"&amp;X$5&amp;".Ap."&amp;X159,Check2,1,FALSE)</f>
        <v>V.GMS.S.2G.TS.Ap.105</v>
      </c>
      <c r="Y160" s="525" t="str">
        <f t="shared" ref="Y160" si="968">X160</f>
        <v>V.GMS.S.2G.TS.Ap.105</v>
      </c>
      <c r="Z160" s="525" t="str">
        <f>VLOOKUP("*"&amp;Z$5&amp;".Ap."&amp;Z159,Check2,1,FALSE)</f>
        <v>S.S.4B.TS.Ap.106</v>
      </c>
      <c r="AA160" s="478" t="str">
        <f t="shared" si="724"/>
        <v>S.S.4B.TS.Ap.106</v>
      </c>
      <c r="AB160" s="479"/>
      <c r="AC160" s="479"/>
      <c r="AD160" s="801"/>
      <c r="AE160" s="749"/>
      <c r="AF160" s="781"/>
      <c r="AG160" s="782"/>
      <c r="AH160" s="783">
        <f t="shared" si="754"/>
        <v>0</v>
      </c>
      <c r="AI160" s="784"/>
      <c r="AJ160" s="785"/>
      <c r="AK160" s="753"/>
      <c r="AL160" s="802"/>
      <c r="AM160" s="479"/>
      <c r="AN160" s="636"/>
      <c r="AO160" s="475" t="str">
        <f>VLOOKUP("*"&amp;AO$5&amp;".Ap."&amp;AO159,Check2,1,FALSE)</f>
        <v>S.S.4B.TN.Ap.98</v>
      </c>
      <c r="AP160" s="533" t="str">
        <f>VLOOKUP("*"&amp;AP$5&amp;".Ap."&amp;AP159,Check2,1,FALSE)</f>
        <v>S.S.2G.TN.Ap.99</v>
      </c>
      <c r="AQ160" s="477" t="str">
        <f t="shared" ref="AQ160" si="969">AP160</f>
        <v>S.S.2G.TN.Ap.99</v>
      </c>
      <c r="AR160" s="525" t="str">
        <f>VLOOKUP("*"&amp;AR$5&amp;".Ap."&amp;AR159,Check2,1,FALSE)</f>
        <v>S.S.4A.TN.Ap.100</v>
      </c>
      <c r="AS160" s="533" t="str">
        <f>VLOOKUP("*"&amp;AS$5&amp;".Ap."&amp;AS159,Check2,1,FALSE)</f>
        <v>S.S.3E.TN.Ap.101</v>
      </c>
      <c r="AT160" s="477" t="str">
        <f t="shared" ref="AT160" si="970">AS160</f>
        <v>S.S.3E.TN.Ap.101</v>
      </c>
      <c r="AU160" s="533" t="str">
        <f>VLOOKUP("*"&amp;AU$5&amp;".Ap."&amp;AU159,Check2,1,FALSE)</f>
        <v>S.S.3D.TN.Ap.102</v>
      </c>
      <c r="AV160" s="476" t="str">
        <f t="shared" ref="AV160:AW160" si="971">AU160</f>
        <v>S.S.3D.TN.Ap.102</v>
      </c>
      <c r="AW160" s="477" t="str">
        <f t="shared" si="971"/>
        <v>S.S.3D.TN.Ap.102</v>
      </c>
      <c r="AX160" s="525" t="str">
        <f>VLOOKUP("*"&amp;AX$5&amp;".Ap."&amp;AX159,Check2,1,FALSE)</f>
        <v>S.S.3A.TN.Ap.95</v>
      </c>
      <c r="AY160" s="533" t="str">
        <f>VLOOKUP("*"&amp;AY$5&amp;".Ap."&amp;AY159,Check2,1,FALSE)</f>
        <v>S.S.3C.TN.Ap.96</v>
      </c>
      <c r="AZ160" s="476" t="str">
        <f t="shared" ref="AZ160:BA160" si="972">AY160</f>
        <v>S.S.3C.TN.Ap.96</v>
      </c>
      <c r="BA160" s="477" t="str">
        <f t="shared" si="972"/>
        <v>S.S.3C.TN.Ap.96</v>
      </c>
      <c r="BB160" s="533" t="str">
        <f>VLOOKUP("*"&amp;BB$5&amp;".Ap."&amp;BB159,Check2,1,FALSE)</f>
        <v>S.S.3B.TN.Ap.97</v>
      </c>
      <c r="BC160" s="722" t="str">
        <f t="shared" ref="BC160" si="973">BB160</f>
        <v>S.S.3B.TN.Ap.97</v>
      </c>
      <c r="BD160" s="744"/>
      <c r="BE160" s="535"/>
      <c r="BF160" s="535"/>
      <c r="BG160" s="744"/>
      <c r="BH160" s="1078"/>
      <c r="BI160" s="1078"/>
      <c r="BJ160" s="1078"/>
      <c r="BK160" s="561"/>
      <c r="BL160" s="483" t="s">
        <v>89</v>
      </c>
      <c r="BM160" s="787">
        <f t="shared" ref="BM160" si="974">BM164+1</f>
        <v>12</v>
      </c>
      <c r="BN160" s="1116"/>
      <c r="BO160" s="484"/>
      <c r="BP160" s="485" t="s">
        <v>89</v>
      </c>
    </row>
    <row r="161" spans="1:68" ht="22.5" thickTop="1" x14ac:dyDescent="0.3">
      <c r="A161" s="937"/>
      <c r="B161" s="486"/>
      <c r="C161" s="487" t="s">
        <v>65</v>
      </c>
      <c r="D161" s="562"/>
      <c r="E161" s="1078"/>
      <c r="F161" s="1078"/>
      <c r="G161" s="1078"/>
      <c r="H161" s="563"/>
      <c r="I161" s="563"/>
      <c r="J161" s="563"/>
      <c r="K161" s="563"/>
      <c r="L161" s="488">
        <f>VLOOKUP(L160,Check2,5,FALSE)</f>
        <v>1201</v>
      </c>
      <c r="M161" s="539"/>
      <c r="N161" s="539">
        <f>VLOOKUP(N160,Check2,5,FALSE)</f>
        <v>1202</v>
      </c>
      <c r="O161" s="539"/>
      <c r="P161" s="724">
        <f>VLOOKUP(P160,Check2,5,FALSE)</f>
        <v>1203</v>
      </c>
      <c r="Q161" s="539">
        <f>VLOOKUP(Q160,Check2,5,FALSE)</f>
        <v>1204</v>
      </c>
      <c r="R161" s="539"/>
      <c r="S161" s="490"/>
      <c r="T161" s="539">
        <f>VLOOKUP(T160,Check2,5,FALSE)</f>
        <v>1205</v>
      </c>
      <c r="U161" s="539"/>
      <c r="V161" s="539">
        <f>VLOOKUP(V160,Check2,5,FALSE)</f>
        <v>1206</v>
      </c>
      <c r="W161" s="539"/>
      <c r="X161" s="539">
        <f>VLOOKUP(X160,Check2,5,FALSE)</f>
        <v>1207</v>
      </c>
      <c r="Y161" s="539"/>
      <c r="Z161" s="539">
        <f>VLOOKUP(Z160,Check2,5,FALSE)</f>
        <v>1208</v>
      </c>
      <c r="AA161" s="491"/>
      <c r="AB161" s="449"/>
      <c r="AC161" s="449"/>
      <c r="AD161" s="1119" t="s">
        <v>1245</v>
      </c>
      <c r="AE161" s="755" t="s">
        <v>55</v>
      </c>
      <c r="AF161" s="756">
        <f>COUNTIF(Check[סימון2],("S.PH"&amp;"*"&amp;"."&amp;AD$5&amp;"*"))</f>
        <v>0</v>
      </c>
      <c r="AG161" s="757">
        <f>COUNTIF(Check[סימון2],("O.PH"&amp;"*"&amp;"."&amp;AD$5&amp;"*"))</f>
        <v>3</v>
      </c>
      <c r="AH161" s="758">
        <f t="shared" si="754"/>
        <v>3</v>
      </c>
      <c r="AI161" s="759">
        <f>COUNTIF(Check[סימון2],("V.PH"&amp;"*"&amp;"."&amp;AD$5&amp;"*"))+AJ161</f>
        <v>0</v>
      </c>
      <c r="AJ161" s="760">
        <f>COUNTIF(Check[סימון2],("H.PH"&amp;"*"&amp;"."&amp;AD$5&amp;"*"))</f>
        <v>0</v>
      </c>
      <c r="AK161" s="761" t="s">
        <v>55</v>
      </c>
      <c r="AL161" s="1121" t="s">
        <v>1245</v>
      </c>
      <c r="AM161" s="449"/>
      <c r="AN161" s="637"/>
      <c r="AO161" s="788">
        <f>VLOOKUP(AO160,Check2,5,FALSE)</f>
        <v>1202</v>
      </c>
      <c r="AP161" s="589">
        <f>VLOOKUP(AP160,Check2,5,FALSE)</f>
        <v>1203</v>
      </c>
      <c r="AQ161" s="543"/>
      <c r="AR161" s="724">
        <f>VLOOKUP(AR160,Check2,5,FALSE)</f>
        <v>1204</v>
      </c>
      <c r="AS161" s="589">
        <f>VLOOKUP(AS160,Check2,5,FALSE)</f>
        <v>1205</v>
      </c>
      <c r="AT161" s="543"/>
      <c r="AU161" s="589">
        <f>VLOOKUP(AU160,Check2,5,FALSE)</f>
        <v>1206</v>
      </c>
      <c r="AV161" s="590"/>
      <c r="AW161" s="584"/>
      <c r="AX161" s="724">
        <f>VLOOKUP(AX160,Check2,5,FALSE)</f>
        <v>1207</v>
      </c>
      <c r="AY161" s="589">
        <f>VLOOKUP(AY160,Check2,5,FALSE)</f>
        <v>1208</v>
      </c>
      <c r="AZ161" s="590"/>
      <c r="BA161" s="584"/>
      <c r="BB161" s="589">
        <f>VLOOKUP(BB160,Check2,5,FALSE)</f>
        <v>1201</v>
      </c>
      <c r="BC161" s="725"/>
      <c r="BD161" s="745"/>
      <c r="BE161" s="563"/>
      <c r="BF161" s="563"/>
      <c r="BG161" s="745"/>
      <c r="BH161" s="1078"/>
      <c r="BI161" s="1078"/>
      <c r="BJ161" s="1078"/>
      <c r="BK161" s="564"/>
      <c r="BL161" s="495" t="s">
        <v>65</v>
      </c>
      <c r="BM161" s="789"/>
      <c r="BN161" s="1116"/>
      <c r="BO161" s="434"/>
      <c r="BP161" s="496" t="s">
        <v>1078</v>
      </c>
    </row>
    <row r="162" spans="1:68" ht="19.5" customHeight="1" thickBot="1" x14ac:dyDescent="0.45">
      <c r="A162" s="1014"/>
      <c r="B162" s="593">
        <f t="shared" ref="B162" si="975">B166+3.48</f>
        <v>48.279999999999987</v>
      </c>
      <c r="C162" s="594" t="s">
        <v>1</v>
      </c>
      <c r="D162" s="567"/>
      <c r="E162" s="1079"/>
      <c r="F162" s="1079"/>
      <c r="G162" s="1079"/>
      <c r="H162" s="568"/>
      <c r="I162" s="568"/>
      <c r="J162" s="568"/>
      <c r="K162" s="568"/>
      <c r="L162" s="595" t="str">
        <f>VLOOKUP(L160,Check2,6,FALSE)</f>
        <v>3B</v>
      </c>
      <c r="M162" s="548"/>
      <c r="N162" s="548" t="str">
        <f>VLOOKUP(N160,Check2,6,FALSE)</f>
        <v>3C</v>
      </c>
      <c r="O162" s="548"/>
      <c r="P162" s="727" t="str">
        <f>VLOOKUP(P160,Check2,6,FALSE)</f>
        <v>3A</v>
      </c>
      <c r="Q162" s="548" t="str">
        <f>VLOOKUP(Q160,Check2,6,FALSE)</f>
        <v>3D</v>
      </c>
      <c r="R162" s="548"/>
      <c r="S162" s="549"/>
      <c r="T162" s="548" t="str">
        <f>VLOOKUP(T160,Check2,6,FALSE)</f>
        <v>3E</v>
      </c>
      <c r="U162" s="548"/>
      <c r="V162" s="548" t="str">
        <f>VLOOKUP(V160,Check2,6,FALSE)</f>
        <v>4A</v>
      </c>
      <c r="W162" s="548"/>
      <c r="X162" s="548" t="str">
        <f>VLOOKUP(X160,Check2,6,FALSE)</f>
        <v>2G</v>
      </c>
      <c r="Y162" s="548"/>
      <c r="Z162" s="548" t="str">
        <f>VLOOKUP(Z160,Check2,6,FALSE)</f>
        <v>4B</v>
      </c>
      <c r="AA162" s="615"/>
      <c r="AB162" s="503"/>
      <c r="AC162" s="503"/>
      <c r="AD162" s="1119"/>
      <c r="AE162" s="762" t="s">
        <v>56</v>
      </c>
      <c r="AF162" s="763">
        <f>COUNTIF(Check[סימון2],("S.PH"&amp;"*"&amp;"."&amp;AK$5&amp;"*"))</f>
        <v>1</v>
      </c>
      <c r="AG162" s="764">
        <f>COUNTIF(Check[סימון2],("O.PH"&amp;"*"&amp;"."&amp;AK$5&amp;"*"))</f>
        <v>0</v>
      </c>
      <c r="AH162" s="765">
        <f t="shared" si="754"/>
        <v>1</v>
      </c>
      <c r="AI162" s="766">
        <f>COUNTIF(Check[סימון2],("V.PH"&amp;"*"&amp;"."&amp;AK$5&amp;"*"))+AJ162</f>
        <v>0</v>
      </c>
      <c r="AJ162" s="767">
        <f>COUNTIF(Check[סימון2],("H.PH"&amp;"*"&amp;"."&amp;AK$5&amp;"*"))</f>
        <v>0</v>
      </c>
      <c r="AK162" s="768" t="s">
        <v>56</v>
      </c>
      <c r="AL162" s="1121"/>
      <c r="AM162" s="503"/>
      <c r="AN162" s="640"/>
      <c r="AO162" s="790" t="str">
        <f>VLOOKUP(AO160,Check2,6,FALSE)</f>
        <v>4B</v>
      </c>
      <c r="AP162" s="603" t="str">
        <f>VLOOKUP(AP160,Check2,6,FALSE)</f>
        <v>2G</v>
      </c>
      <c r="AQ162" s="553"/>
      <c r="AR162" s="727" t="str">
        <f>VLOOKUP(AR160,Check2,6,FALSE)</f>
        <v>4A</v>
      </c>
      <c r="AS162" s="603" t="str">
        <f>VLOOKUP(AS160,Check2,6,FALSE)</f>
        <v>3E</v>
      </c>
      <c r="AT162" s="553"/>
      <c r="AU162" s="603" t="str">
        <f>VLOOKUP(AU160,Check2,6,FALSE)</f>
        <v>3D</v>
      </c>
      <c r="AV162" s="604"/>
      <c r="AW162" s="597"/>
      <c r="AX162" s="727" t="str">
        <f>VLOOKUP(AX160,Check2,6,FALSE)</f>
        <v>3A</v>
      </c>
      <c r="AY162" s="603" t="str">
        <f>VLOOKUP(AY160,Check2,6,FALSE)</f>
        <v>3C</v>
      </c>
      <c r="AZ162" s="604"/>
      <c r="BA162" s="597"/>
      <c r="BB162" s="603" t="str">
        <f>VLOOKUP(BB160,Check2,6,FALSE)</f>
        <v>3B</v>
      </c>
      <c r="BC162" s="728"/>
      <c r="BD162" s="746"/>
      <c r="BE162" s="568"/>
      <c r="BF162" s="568"/>
      <c r="BG162" s="746"/>
      <c r="BH162" s="1079"/>
      <c r="BI162" s="1079"/>
      <c r="BJ162" s="1079"/>
      <c r="BK162" s="572"/>
      <c r="BL162" s="607" t="s">
        <v>1</v>
      </c>
      <c r="BM162" s="791">
        <f t="shared" ref="BM162" si="976">BM166+3.48</f>
        <v>48.279999999999987</v>
      </c>
      <c r="BN162" s="1117"/>
      <c r="BO162" s="509"/>
      <c r="BP162" s="510" t="s">
        <v>1</v>
      </c>
    </row>
    <row r="163" spans="1:68" ht="26.25" thickBot="1" x14ac:dyDescent="0.5">
      <c r="A163" s="937"/>
      <c r="B163" s="469" t="str">
        <f t="shared" ref="B163" si="977">_xlfn.CONCAT("קומה ",B164)</f>
        <v>קומה 11</v>
      </c>
      <c r="C163" s="473" t="s">
        <v>0</v>
      </c>
      <c r="D163" s="556"/>
      <c r="E163" s="1080"/>
      <c r="F163" s="1080"/>
      <c r="G163" s="1080"/>
      <c r="H163" s="557"/>
      <c r="I163" s="557"/>
      <c r="J163" s="557"/>
      <c r="K163" s="557"/>
      <c r="L163" s="460">
        <v>91</v>
      </c>
      <c r="M163" s="514"/>
      <c r="N163" s="514">
        <v>92</v>
      </c>
      <c r="O163" s="514"/>
      <c r="P163" s="540">
        <v>93</v>
      </c>
      <c r="Q163" s="514">
        <v>94</v>
      </c>
      <c r="R163" s="514"/>
      <c r="S163" s="462"/>
      <c r="T163" s="514">
        <v>95</v>
      </c>
      <c r="U163" s="514"/>
      <c r="V163" s="514">
        <v>96</v>
      </c>
      <c r="W163" s="514"/>
      <c r="X163" s="514">
        <v>97</v>
      </c>
      <c r="Y163" s="514"/>
      <c r="Z163" s="514">
        <v>98</v>
      </c>
      <c r="AA163" s="463"/>
      <c r="AB163" s="464"/>
      <c r="AC163" s="464"/>
      <c r="AD163" s="1120"/>
      <c r="AE163" s="792" t="s">
        <v>64</v>
      </c>
      <c r="AF163" s="793">
        <f>COUNTIF(Check[סימון2],("S.PH"&amp;"*"))</f>
        <v>1</v>
      </c>
      <c r="AG163" s="794">
        <f>COUNTIF(Check[סימון2],("O.PH"&amp;"*"))</f>
        <v>3</v>
      </c>
      <c r="AH163" s="795">
        <f t="shared" si="754"/>
        <v>4</v>
      </c>
      <c r="AI163" s="796">
        <f>COUNTIF(Check[סימון2],("V.PH"&amp;"*"))+AJ163</f>
        <v>0</v>
      </c>
      <c r="AJ163" s="797">
        <f>COUNTIF(Check[סימון2],("H.PH"&amp;"*"))</f>
        <v>0</v>
      </c>
      <c r="AK163" s="798" t="s">
        <v>64</v>
      </c>
      <c r="AL163" s="1122"/>
      <c r="AM163" s="464"/>
      <c r="AN163" s="626"/>
      <c r="AO163" s="778">
        <f>AO167+8</f>
        <v>90</v>
      </c>
      <c r="AP163" s="578">
        <f>AP167+8</f>
        <v>91</v>
      </c>
      <c r="AQ163" s="520"/>
      <c r="AR163" s="540">
        <f>AR167+8</f>
        <v>92</v>
      </c>
      <c r="AS163" s="578">
        <f>AS167+8</f>
        <v>93</v>
      </c>
      <c r="AT163" s="520"/>
      <c r="AU163" s="578">
        <f>AU167+8</f>
        <v>94</v>
      </c>
      <c r="AV163" s="461"/>
      <c r="AW163" s="520"/>
      <c r="AX163" s="540">
        <f>AX167+8</f>
        <v>87</v>
      </c>
      <c r="AY163" s="578">
        <f>AY167+8</f>
        <v>88</v>
      </c>
      <c r="AZ163" s="461"/>
      <c r="BA163" s="520"/>
      <c r="BB163" s="578">
        <f>BB167+8</f>
        <v>89</v>
      </c>
      <c r="BC163" s="719"/>
      <c r="BD163" s="733"/>
      <c r="BE163" s="557"/>
      <c r="BF163" s="557"/>
      <c r="BG163" s="733"/>
      <c r="BH163" s="1080"/>
      <c r="BI163" s="1080"/>
      <c r="BJ163" s="1080"/>
      <c r="BK163" s="559"/>
      <c r="BL163" s="483" t="s">
        <v>0</v>
      </c>
      <c r="BM163" s="779" t="str">
        <f t="shared" ref="BM163" si="978">_xlfn.CONCAT("קומה ",BM164)</f>
        <v>קומה 11</v>
      </c>
      <c r="BN163" s="1116"/>
      <c r="BO163" s="470"/>
      <c r="BP163" s="471" t="s">
        <v>0</v>
      </c>
    </row>
    <row r="164" spans="1:68" ht="18.75" hidden="1" customHeight="1" thickTop="1" x14ac:dyDescent="0.3">
      <c r="A164" s="937"/>
      <c r="B164" s="472">
        <f t="shared" ref="B164" si="979">B168+1</f>
        <v>11</v>
      </c>
      <c r="C164" s="473" t="s">
        <v>89</v>
      </c>
      <c r="D164" s="560"/>
      <c r="E164" s="1078"/>
      <c r="F164" s="1078"/>
      <c r="G164" s="1078"/>
      <c r="H164" s="535"/>
      <c r="I164" s="535"/>
      <c r="J164" s="535"/>
      <c r="K164" s="535"/>
      <c r="L164" s="475" t="str">
        <f>VLOOKUP("*"&amp;L$5&amp;".Ap."&amp;L163,Check2,1,FALSE)</f>
        <v>O.S.3B.TS.Ap.91</v>
      </c>
      <c r="M164" s="525" t="str">
        <f t="shared" ref="M164" si="980">L164</f>
        <v>O.S.3B.TS.Ap.91</v>
      </c>
      <c r="N164" s="525" t="str">
        <f>VLOOKUP("*"&amp;N$5&amp;".Ap."&amp;N163,Check2,1,FALSE)</f>
        <v>O.S.3C.TS.Ap.92</v>
      </c>
      <c r="O164" s="525" t="str">
        <f t="shared" ref="O164" si="981">N164</f>
        <v>O.S.3C.TS.Ap.92</v>
      </c>
      <c r="P164" s="525" t="str">
        <f>VLOOKUP("*"&amp;P$5&amp;".Ap."&amp;P163,Check2,1,FALSE)</f>
        <v>O.S.3A.TS.Ap.93</v>
      </c>
      <c r="Q164" s="525" t="str">
        <f>VLOOKUP("*"&amp;Q$5&amp;".Ap."&amp;Q163,Check2,1,FALSE)</f>
        <v>S.S.3D.TS.Ap.94</v>
      </c>
      <c r="R164" s="525" t="str">
        <f t="shared" ref="R164:S164" si="982">Q164</f>
        <v>S.S.3D.TS.Ap.94</v>
      </c>
      <c r="S164" s="477" t="str">
        <f t="shared" si="982"/>
        <v>S.S.3D.TS.Ap.94</v>
      </c>
      <c r="T164" s="525" t="str">
        <f>VLOOKUP("*"&amp;T$5&amp;".Ap."&amp;T163,Check2,1,FALSE)</f>
        <v>O.S.3E.TS.Ap.95</v>
      </c>
      <c r="U164" s="525" t="str">
        <f t="shared" ref="U164" si="983">T164</f>
        <v>O.S.3E.TS.Ap.95</v>
      </c>
      <c r="V164" s="525" t="str">
        <f>VLOOKUP("*"&amp;V$5&amp;".Ap."&amp;V163,Check2,1,FALSE)</f>
        <v>V.GMS.S.4A.TS.Ap.96</v>
      </c>
      <c r="W164" s="525" t="str">
        <f t="shared" ref="W164" si="984">V164</f>
        <v>V.GMS.S.4A.TS.Ap.96</v>
      </c>
      <c r="X164" s="525" t="str">
        <f>VLOOKUP("*"&amp;X$5&amp;".Ap."&amp;X163,Check2,1,FALSE)</f>
        <v>V.GMS.S.2G.TS.Ap.97</v>
      </c>
      <c r="Y164" s="525" t="str">
        <f t="shared" ref="Y164" si="985">X164</f>
        <v>V.GMS.S.2G.TS.Ap.97</v>
      </c>
      <c r="Z164" s="525" t="str">
        <f>VLOOKUP("*"&amp;Z$5&amp;".Ap."&amp;Z163,Check2,1,FALSE)</f>
        <v>V.GMS.S.4B.TS.Ap.98</v>
      </c>
      <c r="AA164" s="478" t="str">
        <f t="shared" si="724"/>
        <v>V.GMS.S.4B.TS.Ap.98</v>
      </c>
      <c r="AB164" s="479"/>
      <c r="AC164" s="479"/>
      <c r="AD164" s="799"/>
      <c r="AE164" s="749"/>
      <c r="AF164" s="803"/>
      <c r="AG164" s="804"/>
      <c r="AH164" s="805">
        <f t="shared" si="754"/>
        <v>0</v>
      </c>
      <c r="AI164" s="803"/>
      <c r="AJ164" s="804"/>
      <c r="AK164" s="753"/>
      <c r="AL164" s="800"/>
      <c r="AM164" s="479"/>
      <c r="AN164" s="636"/>
      <c r="AO164" s="475" t="str">
        <f>VLOOKUP("*"&amp;AO$5&amp;".Ap."&amp;AO163,Check2,1,FALSE)</f>
        <v>S.S.4B.TN.Ap.90</v>
      </c>
      <c r="AP164" s="533" t="str">
        <f>VLOOKUP("*"&amp;AP$5&amp;".Ap."&amp;AP163,Check2,1,FALSE)</f>
        <v>S.S.2G.TN.Ap.91</v>
      </c>
      <c r="AQ164" s="477" t="str">
        <f>AP164</f>
        <v>S.S.2G.TN.Ap.91</v>
      </c>
      <c r="AR164" s="525" t="str">
        <f>VLOOKUP("*"&amp;AR$5&amp;".Ap."&amp;AR163,Check2,1,FALSE)</f>
        <v>S.S.4A.TN.Ap.92</v>
      </c>
      <c r="AS164" s="533" t="str">
        <f>VLOOKUP("*"&amp;AS$5&amp;".Ap."&amp;AS163,Check2,1,FALSE)</f>
        <v>S.S.3E.TN.Ap.93</v>
      </c>
      <c r="AT164" s="477" t="str">
        <f>AS164</f>
        <v>S.S.3E.TN.Ap.93</v>
      </c>
      <c r="AU164" s="533" t="str">
        <f>VLOOKUP("*"&amp;AU$5&amp;".Ap."&amp;AU163,Check2,1,FALSE)</f>
        <v>S.S.3D.TN.Ap.94</v>
      </c>
      <c r="AV164" s="476" t="str">
        <f>AU164</f>
        <v>S.S.3D.TN.Ap.94</v>
      </c>
      <c r="AW164" s="477" t="str">
        <f>AV164</f>
        <v>S.S.3D.TN.Ap.94</v>
      </c>
      <c r="AX164" s="525" t="str">
        <f>VLOOKUP("*"&amp;AX$5&amp;".Ap."&amp;AX163,Check2,1,FALSE)</f>
        <v>S.S.3A.TN.Ap.87</v>
      </c>
      <c r="AY164" s="533" t="str">
        <f>VLOOKUP("*"&amp;AY$5&amp;".Ap."&amp;AY163,Check2,1,FALSE)</f>
        <v>O.S.3C.TN.Ap.88</v>
      </c>
      <c r="AZ164" s="476" t="str">
        <f>AY164</f>
        <v>O.S.3C.TN.Ap.88</v>
      </c>
      <c r="BA164" s="477" t="str">
        <f>AZ164</f>
        <v>O.S.3C.TN.Ap.88</v>
      </c>
      <c r="BB164" s="533" t="str">
        <f>VLOOKUP("*"&amp;BB$5&amp;".Ap."&amp;BB163,Check2,1,FALSE)</f>
        <v>S.S.3B.TN.Ap.89</v>
      </c>
      <c r="BC164" s="722" t="str">
        <f>BB164</f>
        <v>S.S.3B.TN.Ap.89</v>
      </c>
      <c r="BD164" s="744"/>
      <c r="BE164" s="535"/>
      <c r="BF164" s="535"/>
      <c r="BG164" s="744"/>
      <c r="BH164" s="1078"/>
      <c r="BI164" s="1078"/>
      <c r="BJ164" s="1078"/>
      <c r="BK164" s="561"/>
      <c r="BL164" s="483" t="s">
        <v>89</v>
      </c>
      <c r="BM164" s="787">
        <f t="shared" ref="BM164" si="986">BM168+1</f>
        <v>11</v>
      </c>
      <c r="BN164" s="1116"/>
      <c r="BO164" s="484"/>
      <c r="BP164" s="485" t="s">
        <v>89</v>
      </c>
    </row>
    <row r="165" spans="1:68" ht="22.5" thickTop="1" x14ac:dyDescent="0.3">
      <c r="A165" s="937"/>
      <c r="B165" s="486"/>
      <c r="C165" s="487" t="s">
        <v>65</v>
      </c>
      <c r="D165" s="562"/>
      <c r="E165" s="1078"/>
      <c r="F165" s="1078"/>
      <c r="G165" s="1078"/>
      <c r="H165" s="563"/>
      <c r="I165" s="563"/>
      <c r="J165" s="563"/>
      <c r="K165" s="563"/>
      <c r="L165" s="488">
        <f>VLOOKUP(L164,Check2,5,FALSE)</f>
        <v>1101</v>
      </c>
      <c r="M165" s="539"/>
      <c r="N165" s="539">
        <f>VLOOKUP(N164,Check2,5,FALSE)</f>
        <v>1102</v>
      </c>
      <c r="O165" s="539"/>
      <c r="P165" s="724">
        <f>VLOOKUP(P164,Check2,5,FALSE)</f>
        <v>1103</v>
      </c>
      <c r="Q165" s="539">
        <f>VLOOKUP(Q164,Check2,5,FALSE)</f>
        <v>1104</v>
      </c>
      <c r="R165" s="539"/>
      <c r="S165" s="490"/>
      <c r="T165" s="539">
        <f>VLOOKUP(T164,Check2,5,FALSE)</f>
        <v>1105</v>
      </c>
      <c r="U165" s="539"/>
      <c r="V165" s="539">
        <f>VLOOKUP(V164,Check2,5,FALSE)</f>
        <v>1106</v>
      </c>
      <c r="W165" s="539"/>
      <c r="X165" s="539">
        <f>VLOOKUP(X164,Check2,5,FALSE)</f>
        <v>1107</v>
      </c>
      <c r="Y165" s="539"/>
      <c r="Z165" s="539">
        <f>VLOOKUP(Z164,Check2,5,FALSE)</f>
        <v>1108</v>
      </c>
      <c r="AA165" s="491"/>
      <c r="AB165" s="449"/>
      <c r="AC165" s="449"/>
      <c r="AD165" s="1446" t="s">
        <v>64</v>
      </c>
      <c r="AE165" s="755" t="s">
        <v>55</v>
      </c>
      <c r="AF165" s="806">
        <f>COUNTIF(Check[סימון2],("S."&amp;"*"&amp;"."&amp;"*"&amp;"."&amp;AD$5&amp;"*"))</f>
        <v>147</v>
      </c>
      <c r="AG165" s="807">
        <f>COUNTIF(Check[סימון2],("O."&amp;"*"&amp;"."&amp;"*"&amp;"."&amp;AD$5&amp;"*"))</f>
        <v>101</v>
      </c>
      <c r="AH165" s="808">
        <f t="shared" si="754"/>
        <v>334</v>
      </c>
      <c r="AI165" s="809">
        <f>COUNTIF(Check[סימון2],("V."&amp;"*"&amp;"."&amp;"*"&amp;"."&amp;AD$5&amp;"*"))+AJ165</f>
        <v>86</v>
      </c>
      <c r="AJ165" s="810">
        <f>COUNTIF(Check[סימון2],("H."&amp;"*"&amp;"."&amp;"*"&amp;"."&amp;AD$5&amp;"*"))</f>
        <v>0</v>
      </c>
      <c r="AK165" s="761" t="s">
        <v>55</v>
      </c>
      <c r="AL165" s="1448" t="s">
        <v>64</v>
      </c>
      <c r="AM165" s="449"/>
      <c r="AN165" s="637"/>
      <c r="AO165" s="788">
        <f>VLOOKUP(AO164,Check2,5,FALSE)</f>
        <v>1102</v>
      </c>
      <c r="AP165" s="589">
        <f>VLOOKUP(AP164,Check2,5,FALSE)</f>
        <v>1103</v>
      </c>
      <c r="AQ165" s="543"/>
      <c r="AR165" s="724">
        <f>VLOOKUP(AR164,Check2,5,FALSE)</f>
        <v>1104</v>
      </c>
      <c r="AS165" s="589">
        <f>VLOOKUP(AS164,Check2,5,FALSE)</f>
        <v>1105</v>
      </c>
      <c r="AT165" s="543"/>
      <c r="AU165" s="589">
        <f>VLOOKUP(AU164,Check2,5,FALSE)</f>
        <v>1106</v>
      </c>
      <c r="AV165" s="590"/>
      <c r="AW165" s="584"/>
      <c r="AX165" s="724">
        <f>VLOOKUP(AX164,Check2,5,FALSE)</f>
        <v>1107</v>
      </c>
      <c r="AY165" s="589">
        <f>VLOOKUP(AY164,Check2,5,FALSE)</f>
        <v>1108</v>
      </c>
      <c r="AZ165" s="590"/>
      <c r="BA165" s="584"/>
      <c r="BB165" s="589">
        <f>VLOOKUP(BB164,Check2,5,FALSE)</f>
        <v>1101</v>
      </c>
      <c r="BC165" s="725"/>
      <c r="BD165" s="745"/>
      <c r="BE165" s="563"/>
      <c r="BF165" s="563"/>
      <c r="BG165" s="745"/>
      <c r="BH165" s="1078"/>
      <c r="BI165" s="1078"/>
      <c r="BJ165" s="1078"/>
      <c r="BK165" s="564"/>
      <c r="BL165" s="495" t="s">
        <v>65</v>
      </c>
      <c r="BM165" s="789"/>
      <c r="BN165" s="1116"/>
      <c r="BO165" s="434"/>
      <c r="BP165" s="496" t="s">
        <v>1078</v>
      </c>
    </row>
    <row r="166" spans="1:68" ht="19.5" customHeight="1" thickBot="1" x14ac:dyDescent="0.45">
      <c r="A166" s="938"/>
      <c r="B166" s="497">
        <f t="shared" ref="B166" si="987">B170+3.48</f>
        <v>44.79999999999999</v>
      </c>
      <c r="C166" s="498" t="s">
        <v>1</v>
      </c>
      <c r="D166" s="567"/>
      <c r="E166" s="1079"/>
      <c r="F166" s="1079"/>
      <c r="G166" s="1079"/>
      <c r="H166" s="568"/>
      <c r="I166" s="568"/>
      <c r="J166" s="568"/>
      <c r="K166" s="568"/>
      <c r="L166" s="499" t="str">
        <f>VLOOKUP(L164,Check2,6,FALSE)</f>
        <v>3B</v>
      </c>
      <c r="M166" s="569"/>
      <c r="N166" s="569" t="str">
        <f>VLOOKUP(N164,Check2,6,FALSE)</f>
        <v>3C</v>
      </c>
      <c r="O166" s="569"/>
      <c r="P166" s="747" t="str">
        <f>VLOOKUP(P164,Check2,6,FALSE)</f>
        <v>3A</v>
      </c>
      <c r="Q166" s="569" t="str">
        <f>VLOOKUP(Q164,Check2,6,FALSE)</f>
        <v>3D</v>
      </c>
      <c r="R166" s="569"/>
      <c r="S166" s="501"/>
      <c r="T166" s="569" t="str">
        <f>VLOOKUP(T164,Check2,6,FALSE)</f>
        <v>3E</v>
      </c>
      <c r="U166" s="569"/>
      <c r="V166" s="569" t="str">
        <f>VLOOKUP(V164,Check2,6,FALSE)</f>
        <v>4A</v>
      </c>
      <c r="W166" s="569"/>
      <c r="X166" s="569" t="str">
        <f>VLOOKUP(X164,Check2,6,FALSE)</f>
        <v>2G</v>
      </c>
      <c r="Y166" s="569"/>
      <c r="Z166" s="569" t="str">
        <f>VLOOKUP(Z164,Check2,6,FALSE)</f>
        <v>4B</v>
      </c>
      <c r="AA166" s="502"/>
      <c r="AB166" s="503"/>
      <c r="AC166" s="503"/>
      <c r="AD166" s="1446"/>
      <c r="AE166" s="762" t="s">
        <v>56</v>
      </c>
      <c r="AF166" s="811">
        <f>COUNTIF(Check[סימון2],("S."&amp;"*"&amp;"."&amp;"*"&amp;"."&amp;AK$5&amp;"*"))</f>
        <v>225</v>
      </c>
      <c r="AG166" s="812">
        <f>COUNTIF(Check[סימון2],("O."&amp;"*"&amp;"."&amp;"*"&amp;"."&amp;AK$5&amp;"*"))</f>
        <v>55</v>
      </c>
      <c r="AH166" s="813">
        <f t="shared" si="754"/>
        <v>330</v>
      </c>
      <c r="AI166" s="814">
        <f>COUNTIF(Check[סימון2],("V."&amp;"*"&amp;"."&amp;"*"&amp;"."&amp;AK$5&amp;"*"))+AJ166</f>
        <v>50</v>
      </c>
      <c r="AJ166" s="815">
        <f>COUNTIF(Check[סימון2],("H."&amp;"*"&amp;"."&amp;"*"&amp;"."&amp;AK$5&amp;"*"))</f>
        <v>0</v>
      </c>
      <c r="AK166" s="768" t="s">
        <v>56</v>
      </c>
      <c r="AL166" s="1448"/>
      <c r="AM166" s="503"/>
      <c r="AN166" s="640"/>
      <c r="AO166" s="790" t="str">
        <f>VLOOKUP(AO164,Check2,6,FALSE)</f>
        <v>4B</v>
      </c>
      <c r="AP166" s="603" t="str">
        <f>VLOOKUP(AP164,Check2,6,FALSE)</f>
        <v>2G</v>
      </c>
      <c r="AQ166" s="553"/>
      <c r="AR166" s="727" t="str">
        <f>VLOOKUP(AR164,Check2,6,FALSE)</f>
        <v>4A</v>
      </c>
      <c r="AS166" s="603" t="str">
        <f>VLOOKUP(AS164,Check2,6,FALSE)</f>
        <v>3E</v>
      </c>
      <c r="AT166" s="553"/>
      <c r="AU166" s="603" t="str">
        <f>VLOOKUP(AU164,Check2,6,FALSE)</f>
        <v>3D</v>
      </c>
      <c r="AV166" s="604"/>
      <c r="AW166" s="597"/>
      <c r="AX166" s="727" t="str">
        <f>VLOOKUP(AX164,Check2,6,FALSE)</f>
        <v>3A</v>
      </c>
      <c r="AY166" s="603" t="str">
        <f>VLOOKUP(AY164,Check2,6,FALSE)</f>
        <v>3C</v>
      </c>
      <c r="AZ166" s="604"/>
      <c r="BA166" s="597"/>
      <c r="BB166" s="603" t="str">
        <f>VLOOKUP(BB164,Check2,6,FALSE)</f>
        <v>3B</v>
      </c>
      <c r="BC166" s="728"/>
      <c r="BD166" s="746"/>
      <c r="BE166" s="568"/>
      <c r="BF166" s="568"/>
      <c r="BG166" s="746"/>
      <c r="BH166" s="1079"/>
      <c r="BI166" s="1079"/>
      <c r="BJ166" s="1079"/>
      <c r="BK166" s="572"/>
      <c r="BL166" s="607" t="s">
        <v>1</v>
      </c>
      <c r="BM166" s="791">
        <f t="shared" ref="BM166" si="988">BM170+3.48</f>
        <v>44.79999999999999</v>
      </c>
      <c r="BN166" s="1117"/>
      <c r="BO166" s="509"/>
      <c r="BP166" s="510" t="s">
        <v>1</v>
      </c>
    </row>
    <row r="167" spans="1:68" ht="27" thickTop="1" thickBot="1" x14ac:dyDescent="0.5">
      <c r="A167" s="957" t="s">
        <v>60</v>
      </c>
      <c r="B167" s="511" t="str">
        <f t="shared" ref="B167" si="989">_xlfn.CONCAT("קומה ",B168)</f>
        <v>קומה 10</v>
      </c>
      <c r="C167" s="512" t="s">
        <v>0</v>
      </c>
      <c r="D167" s="556"/>
      <c r="E167" s="1081" t="s">
        <v>1076</v>
      </c>
      <c r="F167" s="1081" t="s">
        <v>1076</v>
      </c>
      <c r="G167" s="1081" t="s">
        <v>1076</v>
      </c>
      <c r="H167" s="557"/>
      <c r="I167" s="557"/>
      <c r="J167" s="557"/>
      <c r="K167" s="557"/>
      <c r="L167" s="778">
        <f t="shared" ref="L167:M167" si="990">L171+10</f>
        <v>81</v>
      </c>
      <c r="M167" s="514">
        <f t="shared" si="990"/>
        <v>82</v>
      </c>
      <c r="N167" s="514"/>
      <c r="O167" s="540">
        <f t="shared" ref="O167:Q167" si="991">O171+10</f>
        <v>83</v>
      </c>
      <c r="P167" s="540">
        <f t="shared" si="991"/>
        <v>84</v>
      </c>
      <c r="Q167" s="514">
        <f t="shared" si="991"/>
        <v>85</v>
      </c>
      <c r="R167" s="514"/>
      <c r="S167" s="514">
        <f t="shared" ref="S167" si="992">S171+10</f>
        <v>86</v>
      </c>
      <c r="T167" s="514"/>
      <c r="U167" s="540">
        <f t="shared" ref="U167:V167" si="993">U171+10</f>
        <v>87</v>
      </c>
      <c r="V167" s="514">
        <f t="shared" si="993"/>
        <v>88</v>
      </c>
      <c r="W167" s="514"/>
      <c r="X167" s="514">
        <f t="shared" ref="X167" si="994">X171+10</f>
        <v>89</v>
      </c>
      <c r="Y167" s="514"/>
      <c r="Z167" s="514">
        <f t="shared" ref="Z167:Z183" si="995">Z171+10</f>
        <v>90</v>
      </c>
      <c r="AA167" s="463"/>
      <c r="AB167" s="464"/>
      <c r="AC167" s="464"/>
      <c r="AD167" s="1447"/>
      <c r="AE167" s="792" t="s">
        <v>64</v>
      </c>
      <c r="AF167" s="816">
        <f>COUNTIF(Check[סימון2],("S."&amp;"*"&amp;"."&amp;"*"&amp;"."&amp;"T"&amp;"*"))+COUNTIF(Check[סימון2],("S.PH"&amp;"*"))</f>
        <v>373</v>
      </c>
      <c r="AG167" s="817">
        <f>COUNTIF(Check[סימון2],("O."&amp;"*"))</f>
        <v>159</v>
      </c>
      <c r="AH167" s="818">
        <f t="shared" si="754"/>
        <v>668</v>
      </c>
      <c r="AI167" s="819">
        <f>COUNTIF(Check[סימון2],("V."&amp;"*"))+AJ167</f>
        <v>136</v>
      </c>
      <c r="AJ167" s="820">
        <f>COUNTIF(Check[סימון2],("H."&amp;"*"))</f>
        <v>0</v>
      </c>
      <c r="AK167" s="798" t="s">
        <v>64</v>
      </c>
      <c r="AL167" s="1449"/>
      <c r="AM167" s="464"/>
      <c r="AN167" s="626"/>
      <c r="AO167" s="821">
        <v>82</v>
      </c>
      <c r="AP167" s="578">
        <v>83</v>
      </c>
      <c r="AQ167" s="520"/>
      <c r="AR167" s="540">
        <v>84</v>
      </c>
      <c r="AS167" s="578">
        <v>85</v>
      </c>
      <c r="AT167" s="520"/>
      <c r="AU167" s="578">
        <v>86</v>
      </c>
      <c r="AV167" s="461"/>
      <c r="AW167" s="520"/>
      <c r="AX167" s="540">
        <v>79</v>
      </c>
      <c r="AY167" s="578">
        <v>80</v>
      </c>
      <c r="AZ167" s="461"/>
      <c r="BA167" s="520"/>
      <c r="BB167" s="578">
        <v>81</v>
      </c>
      <c r="BC167" s="719"/>
      <c r="BD167" s="733"/>
      <c r="BE167" s="557"/>
      <c r="BF167" s="557"/>
      <c r="BG167" s="733"/>
      <c r="BH167" s="1081" t="s">
        <v>1076</v>
      </c>
      <c r="BI167" s="1081" t="s">
        <v>1076</v>
      </c>
      <c r="BJ167" s="1081" t="s">
        <v>1076</v>
      </c>
      <c r="BK167" s="559"/>
      <c r="BL167" s="483" t="s">
        <v>0</v>
      </c>
      <c r="BM167" s="779" t="str">
        <f t="shared" ref="BM167" si="996">_xlfn.CONCAT("קומה ",BM168)</f>
        <v>קומה 10</v>
      </c>
      <c r="BN167" s="1116"/>
      <c r="BO167" s="470"/>
      <c r="BP167" s="471" t="s">
        <v>0</v>
      </c>
    </row>
    <row r="168" spans="1:68" ht="22.5" hidden="1" thickTop="1" x14ac:dyDescent="0.3">
      <c r="A168" s="957"/>
      <c r="B168" s="523">
        <f t="shared" ref="B168" si="997">B172+1</f>
        <v>10</v>
      </c>
      <c r="C168" s="512" t="s">
        <v>89</v>
      </c>
      <c r="D168" s="560"/>
      <c r="E168" s="1082"/>
      <c r="F168" s="1082"/>
      <c r="G168" s="1082"/>
      <c r="H168" s="535"/>
      <c r="I168" s="535"/>
      <c r="J168" s="535"/>
      <c r="K168" s="535"/>
      <c r="L168" s="475" t="str">
        <f>VLOOKUP("*"&amp;L$5&amp;".Ap."&amp;L167,Check2,1,FALSE)</f>
        <v>S.S.2A.TS.Ap.81</v>
      </c>
      <c r="M168" s="525" t="str">
        <f>VLOOKUP("*"&amp;M$5&amp;".Ap."&amp;M167,Check2,1,FALSE)</f>
        <v>S.ZLT.S.2B.TS.Ap.82</v>
      </c>
      <c r="N168" s="525" t="str">
        <f t="shared" ref="N168" si="998">M168</f>
        <v>S.ZLT.S.2B.TS.Ap.82</v>
      </c>
      <c r="O168" s="525" t="str">
        <f>VLOOKUP("*"&amp;O$5&amp;".Ap."&amp;O167,Check2,1,FALSE)</f>
        <v>S.TM.S.2C.TS.Ap.83</v>
      </c>
      <c r="P168" s="525" t="str">
        <f>VLOOKUP("*"&amp;P$5&amp;".Ap."&amp;P167,Check2,1,FALSE)</f>
        <v>O.TM.S.3A.TS.Ap.84</v>
      </c>
      <c r="Q168" s="525" t="str">
        <f>VLOOKUP("*"&amp;Q$5&amp;".Ap."&amp;Q167,Check2,1,FALSE)</f>
        <v>O.TM.S.2D.TS.Ap.85</v>
      </c>
      <c r="R168" s="525" t="str">
        <f t="shared" ref="R168" si="999">Q168</f>
        <v>O.TM.S.2D.TS.Ap.85</v>
      </c>
      <c r="S168" s="525" t="str">
        <f>VLOOKUP("*"&amp;S$5&amp;".Ap."&amp;S167,Check2,1,FALSE)</f>
        <v>S.S.2E.TS.Ap.86</v>
      </c>
      <c r="T168" s="525" t="str">
        <f t="shared" ref="T168" si="1000">S168</f>
        <v>S.S.2E.TS.Ap.86</v>
      </c>
      <c r="U168" s="525" t="str">
        <f>VLOOKUP("*"&amp;U$5&amp;".Ap."&amp;U167,Check2,1,FALSE)</f>
        <v>O.S.2F.TS.Ap.87</v>
      </c>
      <c r="V168" s="525" t="str">
        <f>VLOOKUP("*"&amp;V$5&amp;".Ap."&amp;V167,Check2,1,FALSE)</f>
        <v>S.TM.S.4A.TS.Ap.88</v>
      </c>
      <c r="W168" s="525" t="str">
        <f t="shared" ref="W168" si="1001">V168</f>
        <v>S.TM.S.4A.TS.Ap.88</v>
      </c>
      <c r="X168" s="525" t="str">
        <f>VLOOKUP("*"&amp;X$5&amp;".Ap."&amp;X167,Check2,1,FALSE)</f>
        <v>S.ZLT.S.2G.TS.Ap.89</v>
      </c>
      <c r="Y168" s="525" t="str">
        <f t="shared" ref="Y168" si="1002">X168</f>
        <v>S.ZLT.S.2G.TS.Ap.89</v>
      </c>
      <c r="Z168" s="525" t="str">
        <f>VLOOKUP("*"&amp;Z$5&amp;".Ap."&amp;Z167,Check2,1,FALSE)</f>
        <v>S.ZLT.S.4B.TS.Ap.90</v>
      </c>
      <c r="AA168" s="478" t="str">
        <f t="shared" si="724"/>
        <v>S.ZLT.S.4B.TS.Ap.90</v>
      </c>
      <c r="AB168" s="479"/>
      <c r="AC168" s="479"/>
      <c r="AD168" s="479"/>
      <c r="AE168" s="479"/>
      <c r="AF168" s="479"/>
      <c r="AG168" s="479"/>
      <c r="AH168" s="479"/>
      <c r="AI168" s="479"/>
      <c r="AJ168" s="479"/>
      <c r="AK168" s="479"/>
      <c r="AL168" s="479"/>
      <c r="AM168" s="479"/>
      <c r="AN168" s="636"/>
      <c r="AO168" s="482" t="str">
        <f>VLOOKUP("*"&amp;AO$5&amp;".Ap."&amp;AO167,Check2,1,FALSE)</f>
        <v>S.S.4B.TN.Ap.82</v>
      </c>
      <c r="AP168" s="533" t="str">
        <f>VLOOKUP("*"&amp;AP$5&amp;".Ap."&amp;AP167,Check2,1,FALSE)</f>
        <v>S.S.2G.TN.Ap.83</v>
      </c>
      <c r="AQ168" s="477" t="str">
        <f>AP168</f>
        <v>S.S.2G.TN.Ap.83</v>
      </c>
      <c r="AR168" s="525" t="str">
        <f>VLOOKUP("*"&amp;AR$5&amp;".Ap."&amp;AR167,Check2,1,FALSE)</f>
        <v>O.S.4A.TN.Ap.84</v>
      </c>
      <c r="AS168" s="533" t="str">
        <f>VLOOKUP("*"&amp;AS$5&amp;".Ap."&amp;AS167,Check2,1,FALSE)</f>
        <v>S.S.3E.TN.Ap.85</v>
      </c>
      <c r="AT168" s="477" t="str">
        <f>AS168</f>
        <v>S.S.3E.TN.Ap.85</v>
      </c>
      <c r="AU168" s="533" t="str">
        <f>VLOOKUP("*"&amp;AU$5&amp;".Ap."&amp;AU167,Check2,1,FALSE)</f>
        <v>S.S.3D.TN.Ap.86</v>
      </c>
      <c r="AV168" s="476" t="str">
        <f>AU168</f>
        <v>S.S.3D.TN.Ap.86</v>
      </c>
      <c r="AW168" s="477" t="str">
        <f>AV168</f>
        <v>S.S.3D.TN.Ap.86</v>
      </c>
      <c r="AX168" s="525" t="str">
        <f>VLOOKUP("*"&amp;AX$5&amp;".Ap."&amp;AX167,Check2,1,FALSE)</f>
        <v>S.S.3A.TN.Ap.79</v>
      </c>
      <c r="AY168" s="533" t="str">
        <f>VLOOKUP("*"&amp;AY$5&amp;".Ap."&amp;AY167,Check2,1,FALSE)</f>
        <v>S.S.3C.TN.Ap.80</v>
      </c>
      <c r="AZ168" s="476" t="str">
        <f>AY168</f>
        <v>S.S.3C.TN.Ap.80</v>
      </c>
      <c r="BA168" s="477" t="str">
        <f>AZ168</f>
        <v>S.S.3C.TN.Ap.80</v>
      </c>
      <c r="BB168" s="533" t="str">
        <f>VLOOKUP("*"&amp;BB$5&amp;".Ap."&amp;BB167,Check2,1,FALSE)</f>
        <v>S.S.3B.TN.Ap.81</v>
      </c>
      <c r="BC168" s="722" t="str">
        <f>BB168</f>
        <v>S.S.3B.TN.Ap.81</v>
      </c>
      <c r="BD168" s="744"/>
      <c r="BE168" s="535"/>
      <c r="BF168" s="535"/>
      <c r="BG168" s="744"/>
      <c r="BH168" s="1082"/>
      <c r="BI168" s="1082"/>
      <c r="BJ168" s="1082"/>
      <c r="BK168" s="561"/>
      <c r="BL168" s="483" t="s">
        <v>89</v>
      </c>
      <c r="BM168" s="787">
        <f t="shared" ref="BM168" si="1003">BM172+1</f>
        <v>10</v>
      </c>
      <c r="BN168" s="1116"/>
      <c r="BO168" s="484"/>
      <c r="BP168" s="485" t="s">
        <v>89</v>
      </c>
    </row>
    <row r="169" spans="1:68" ht="22.5" thickTop="1" x14ac:dyDescent="0.3">
      <c r="A169" s="957"/>
      <c r="B169" s="537"/>
      <c r="C169" s="538" t="s">
        <v>65</v>
      </c>
      <c r="D169" s="562"/>
      <c r="E169" s="1082"/>
      <c r="F169" s="1082"/>
      <c r="G169" s="1082"/>
      <c r="H169" s="563"/>
      <c r="I169" s="563"/>
      <c r="J169" s="563"/>
      <c r="K169" s="563"/>
      <c r="L169" s="788">
        <f>VLOOKUP(L168,Check2,5,FALSE)</f>
        <v>1001</v>
      </c>
      <c r="M169" s="539">
        <f>VLOOKUP(M168,Check2,5,FALSE)</f>
        <v>1002</v>
      </c>
      <c r="N169" s="539"/>
      <c r="O169" s="724">
        <f>VLOOKUP(O168,Check2,5,FALSE)</f>
        <v>1003</v>
      </c>
      <c r="P169" s="724">
        <f>VLOOKUP(P168,Check2,5,FALSE)</f>
        <v>1004</v>
      </c>
      <c r="Q169" s="539">
        <f>VLOOKUP(Q168,Check2,5,FALSE)</f>
        <v>1005</v>
      </c>
      <c r="R169" s="539"/>
      <c r="S169" s="539">
        <f>VLOOKUP(S168,Check2,5,FALSE)</f>
        <v>1006</v>
      </c>
      <c r="T169" s="539"/>
      <c r="U169" s="724">
        <f>VLOOKUP(U168,Check2,5,FALSE)</f>
        <v>1007</v>
      </c>
      <c r="V169" s="539">
        <f>VLOOKUP(V168,Check2,5,FALSE)</f>
        <v>1008</v>
      </c>
      <c r="W169" s="539"/>
      <c r="X169" s="539">
        <f>VLOOKUP(X168,Check2,5,FALSE)</f>
        <v>1009</v>
      </c>
      <c r="Y169" s="539"/>
      <c r="Z169" s="539">
        <f>VLOOKUP(Z168,Check2,5,FALSE)</f>
        <v>1010</v>
      </c>
      <c r="AA169" s="491"/>
      <c r="AB169" s="449"/>
      <c r="AC169" s="449"/>
      <c r="AD169" s="449"/>
      <c r="AE169" s="449"/>
      <c r="AF169" s="449"/>
      <c r="AG169" s="449"/>
      <c r="AH169" s="449"/>
      <c r="AI169" s="449"/>
      <c r="AJ169" s="449"/>
      <c r="AK169" s="449"/>
      <c r="AL169" s="449"/>
      <c r="AM169" s="449"/>
      <c r="AN169" s="637"/>
      <c r="AO169" s="822">
        <f>VLOOKUP(AO168,Check2,5,FALSE)</f>
        <v>1002</v>
      </c>
      <c r="AP169" s="589">
        <f>VLOOKUP(AP168,Check2,5,FALSE)</f>
        <v>1003</v>
      </c>
      <c r="AQ169" s="543"/>
      <c r="AR169" s="724">
        <f>VLOOKUP(AR168,Check2,5,FALSE)</f>
        <v>1004</v>
      </c>
      <c r="AS169" s="589">
        <f>VLOOKUP(AS168,Check2,5,FALSE)</f>
        <v>1005</v>
      </c>
      <c r="AT169" s="543"/>
      <c r="AU169" s="589">
        <f>VLOOKUP(AU168,Check2,5,FALSE)</f>
        <v>1006</v>
      </c>
      <c r="AV169" s="590"/>
      <c r="AW169" s="584"/>
      <c r="AX169" s="724">
        <f>VLOOKUP(AX168,Check2,5,FALSE)</f>
        <v>1007</v>
      </c>
      <c r="AY169" s="589">
        <f>VLOOKUP(AY168,Check2,5,FALSE)</f>
        <v>1008</v>
      </c>
      <c r="AZ169" s="590"/>
      <c r="BA169" s="584"/>
      <c r="BB169" s="589">
        <f>VLOOKUP(BB168,Check2,5,FALSE)</f>
        <v>1001</v>
      </c>
      <c r="BC169" s="725"/>
      <c r="BD169" s="745"/>
      <c r="BE169" s="563"/>
      <c r="BF169" s="563"/>
      <c r="BG169" s="745"/>
      <c r="BH169" s="1082"/>
      <c r="BI169" s="1082"/>
      <c r="BJ169" s="1082"/>
      <c r="BK169" s="564"/>
      <c r="BL169" s="495" t="s">
        <v>65</v>
      </c>
      <c r="BM169" s="789"/>
      <c r="BN169" s="1116"/>
      <c r="BO169" s="434"/>
      <c r="BP169" s="496" t="s">
        <v>1078</v>
      </c>
    </row>
    <row r="170" spans="1:68" ht="22.5" thickBot="1" x14ac:dyDescent="0.45">
      <c r="A170" s="958"/>
      <c r="B170" s="545">
        <f t="shared" ref="B170" si="1004">B174+3.48</f>
        <v>41.319999999999993</v>
      </c>
      <c r="C170" s="546" t="s">
        <v>1</v>
      </c>
      <c r="D170" s="567"/>
      <c r="E170" s="1083"/>
      <c r="F170" s="1083"/>
      <c r="G170" s="1083"/>
      <c r="H170" s="568"/>
      <c r="I170" s="568"/>
      <c r="J170" s="568"/>
      <c r="K170" s="568"/>
      <c r="L170" s="790" t="str">
        <f>VLOOKUP(L168,Check2,6,FALSE)</f>
        <v>2A</v>
      </c>
      <c r="M170" s="548" t="str">
        <f>VLOOKUP(M168,Check2,6,FALSE)</f>
        <v>2B</v>
      </c>
      <c r="N170" s="548"/>
      <c r="O170" s="727" t="str">
        <f>VLOOKUP(O168,Check2,6,FALSE)</f>
        <v>2C</v>
      </c>
      <c r="P170" s="727" t="str">
        <f>VLOOKUP(P168,Check2,6,FALSE)</f>
        <v>3A</v>
      </c>
      <c r="Q170" s="548" t="str">
        <f>VLOOKUP(Q168,Check2,6,FALSE)</f>
        <v>2D</v>
      </c>
      <c r="R170" s="548"/>
      <c r="S170" s="548" t="str">
        <f>VLOOKUP(S168,Check2,6,FALSE)</f>
        <v>2E</v>
      </c>
      <c r="T170" s="548"/>
      <c r="U170" s="727" t="str">
        <f>VLOOKUP(U168,Check2,6,FALSE)</f>
        <v>2F</v>
      </c>
      <c r="V170" s="548" t="str">
        <f>VLOOKUP(V168,Check2,6,FALSE)</f>
        <v>4A</v>
      </c>
      <c r="W170" s="548"/>
      <c r="X170" s="548" t="str">
        <f>VLOOKUP(X168,Check2,6,FALSE)</f>
        <v>2G</v>
      </c>
      <c r="Y170" s="548"/>
      <c r="Z170" s="548" t="str">
        <f>VLOOKUP(Z168,Check2,6,FALSE)</f>
        <v>4B</v>
      </c>
      <c r="AA170" s="615"/>
      <c r="AB170" s="503"/>
      <c r="AC170" s="503"/>
      <c r="AD170" s="503"/>
      <c r="AE170" s="503"/>
      <c r="AF170" s="503"/>
      <c r="AG170" s="503"/>
      <c r="AH170" s="503"/>
      <c r="AI170" s="503"/>
      <c r="AJ170" s="503"/>
      <c r="AK170" s="503"/>
      <c r="AL170" s="503"/>
      <c r="AM170" s="503"/>
      <c r="AN170" s="640"/>
      <c r="AO170" s="823" t="str">
        <f>VLOOKUP(AO168,Check2,6,FALSE)</f>
        <v>4B</v>
      </c>
      <c r="AP170" s="713" t="str">
        <f>VLOOKUP(AP168,Check2,6,FALSE)</f>
        <v>2G</v>
      </c>
      <c r="AQ170" s="571"/>
      <c r="AR170" s="747" t="str">
        <f>VLOOKUP(AR168,Check2,6,FALSE)</f>
        <v>4A</v>
      </c>
      <c r="AS170" s="713" t="str">
        <f>VLOOKUP(AS168,Check2,6,FALSE)</f>
        <v>3E</v>
      </c>
      <c r="AT170" s="571"/>
      <c r="AU170" s="713" t="str">
        <f>VLOOKUP(AU168,Check2,6,FALSE)</f>
        <v>3D</v>
      </c>
      <c r="AV170" s="714"/>
      <c r="AW170" s="709"/>
      <c r="AX170" s="747" t="str">
        <f>VLOOKUP(AX168,Check2,6,FALSE)</f>
        <v>3A</v>
      </c>
      <c r="AY170" s="713" t="str">
        <f>VLOOKUP(AY168,Check2,6,FALSE)</f>
        <v>3C</v>
      </c>
      <c r="AZ170" s="714"/>
      <c r="BA170" s="709"/>
      <c r="BB170" s="713" t="str">
        <f>VLOOKUP(BB168,Check2,6,FALSE)</f>
        <v>3B</v>
      </c>
      <c r="BC170" s="769"/>
      <c r="BD170" s="746"/>
      <c r="BE170" s="568"/>
      <c r="BF170" s="568"/>
      <c r="BG170" s="746"/>
      <c r="BH170" s="1083"/>
      <c r="BI170" s="1083"/>
      <c r="BJ170" s="1083"/>
      <c r="BK170" s="572"/>
      <c r="BL170" s="508" t="s">
        <v>1</v>
      </c>
      <c r="BM170" s="824">
        <f t="shared" ref="BM170" si="1005">BM174+3.48</f>
        <v>41.319999999999993</v>
      </c>
      <c r="BN170" s="1118"/>
      <c r="BO170" s="509"/>
      <c r="BP170" s="510" t="s">
        <v>1</v>
      </c>
    </row>
    <row r="171" spans="1:68" ht="25.5" x14ac:dyDescent="0.45">
      <c r="A171" s="957"/>
      <c r="B171" s="511" t="str">
        <f t="shared" ref="B171" si="1006">_xlfn.CONCAT("קומה ",B172)</f>
        <v>קומה 9</v>
      </c>
      <c r="C171" s="512" t="s">
        <v>0</v>
      </c>
      <c r="D171" s="556"/>
      <c r="E171" s="1080"/>
      <c r="F171" s="1080"/>
      <c r="G171" s="1080"/>
      <c r="H171" s="557"/>
      <c r="I171" s="557"/>
      <c r="J171" s="557"/>
      <c r="K171" s="557"/>
      <c r="L171" s="778">
        <f t="shared" ref="L171:M171" si="1007">L175+10</f>
        <v>71</v>
      </c>
      <c r="M171" s="514">
        <f t="shared" si="1007"/>
        <v>72</v>
      </c>
      <c r="N171" s="514"/>
      <c r="O171" s="540">
        <f t="shared" ref="O171:Q171" si="1008">O175+10</f>
        <v>73</v>
      </c>
      <c r="P171" s="540">
        <f t="shared" si="1008"/>
        <v>74</v>
      </c>
      <c r="Q171" s="514">
        <f t="shared" si="1008"/>
        <v>75</v>
      </c>
      <c r="R171" s="514"/>
      <c r="S171" s="514">
        <f t="shared" ref="S171" si="1009">S175+10</f>
        <v>76</v>
      </c>
      <c r="T171" s="514"/>
      <c r="U171" s="540">
        <f t="shared" ref="U171:V171" si="1010">U175+10</f>
        <v>77</v>
      </c>
      <c r="V171" s="514">
        <f t="shared" si="1010"/>
        <v>78</v>
      </c>
      <c r="W171" s="514"/>
      <c r="X171" s="514">
        <f t="shared" ref="X171" si="1011">X175+10</f>
        <v>79</v>
      </c>
      <c r="Y171" s="514"/>
      <c r="Z171" s="514">
        <f t="shared" si="995"/>
        <v>80</v>
      </c>
      <c r="AA171" s="463"/>
      <c r="AB171" s="464"/>
      <c r="AC171" s="464"/>
      <c r="AD171" s="464"/>
      <c r="AE171" s="464"/>
      <c r="AF171" s="464"/>
      <c r="AG171" s="464"/>
      <c r="AH171" s="464"/>
      <c r="AI171" s="464"/>
      <c r="AJ171" s="464"/>
      <c r="AK171" s="464"/>
      <c r="AL171" s="464"/>
      <c r="AM171" s="464"/>
      <c r="AN171" s="626"/>
      <c r="AO171" s="821">
        <f t="shared" ref="AO171:AP171" si="1012">AO175+10</f>
        <v>73</v>
      </c>
      <c r="AP171" s="578">
        <f t="shared" si="1012"/>
        <v>74</v>
      </c>
      <c r="AQ171" s="520"/>
      <c r="AR171" s="540">
        <f t="shared" ref="AR171:AT171" si="1013">AR175+10</f>
        <v>75</v>
      </c>
      <c r="AS171" s="540">
        <f t="shared" si="1013"/>
        <v>76</v>
      </c>
      <c r="AT171" s="578">
        <f t="shared" si="1013"/>
        <v>77</v>
      </c>
      <c r="AU171" s="520"/>
      <c r="AV171" s="578">
        <f t="shared" ref="AV171" si="1014">AV175+10</f>
        <v>78</v>
      </c>
      <c r="AW171" s="520"/>
      <c r="AX171" s="540">
        <f t="shared" ref="AX171:BA171" si="1015">AX175+10</f>
        <v>69</v>
      </c>
      <c r="AY171" s="578">
        <f t="shared" si="1015"/>
        <v>70</v>
      </c>
      <c r="AZ171" s="520"/>
      <c r="BA171" s="578">
        <f t="shared" si="1015"/>
        <v>71</v>
      </c>
      <c r="BB171" s="520"/>
      <c r="BC171" s="825">
        <f t="shared" ref="BC171" si="1016">BC175+10</f>
        <v>72</v>
      </c>
      <c r="BD171" s="733"/>
      <c r="BE171" s="557"/>
      <c r="BF171" s="557"/>
      <c r="BG171" s="733"/>
      <c r="BH171" s="1080"/>
      <c r="BI171" s="1080"/>
      <c r="BJ171" s="1080"/>
      <c r="BK171" s="559"/>
      <c r="BL171" s="522" t="s">
        <v>0</v>
      </c>
      <c r="BM171" s="511" t="str">
        <f t="shared" ref="BM171" si="1017">_xlfn.CONCAT("קומה ",BM172)</f>
        <v>קומה 9</v>
      </c>
      <c r="BN171" s="979" t="s">
        <v>60</v>
      </c>
      <c r="BO171" s="470"/>
      <c r="BP171" s="471" t="s">
        <v>0</v>
      </c>
    </row>
    <row r="172" spans="1:68" ht="19.5" hidden="1" customHeight="1" x14ac:dyDescent="0.3">
      <c r="A172" s="957"/>
      <c r="B172" s="523">
        <f t="shared" ref="B172" si="1018">B176+1</f>
        <v>9</v>
      </c>
      <c r="C172" s="512" t="s">
        <v>89</v>
      </c>
      <c r="D172" s="560"/>
      <c r="E172" s="1078"/>
      <c r="F172" s="1078"/>
      <c r="G172" s="1078"/>
      <c r="H172" s="535"/>
      <c r="I172" s="535"/>
      <c r="J172" s="535"/>
      <c r="K172" s="535"/>
      <c r="L172" s="475" t="str">
        <f>VLOOKUP("*"&amp;L$5&amp;".Ap."&amp;L171,Check2,1,FALSE)</f>
        <v>S.S.2A.TS.Ap.71</v>
      </c>
      <c r="M172" s="525" t="str">
        <f>VLOOKUP("*"&amp;M$5&amp;".Ap."&amp;M171,Check2,1,FALSE)</f>
        <v>S.ZLT.S.2B.TS.Ap.72</v>
      </c>
      <c r="N172" s="525" t="str">
        <f t="shared" ref="N172" si="1019">M172</f>
        <v>S.ZLT.S.2B.TS.Ap.72</v>
      </c>
      <c r="O172" s="525" t="str">
        <f>VLOOKUP("*"&amp;O$5&amp;".Ap."&amp;O171,Check2,1,FALSE)</f>
        <v>S.TM.S.2C.TS.Ap.73</v>
      </c>
      <c r="P172" s="525" t="str">
        <f>VLOOKUP("*"&amp;P$5&amp;".Ap."&amp;P171,Check2,1,FALSE)</f>
        <v>O.S.3A.TS.Ap.74</v>
      </c>
      <c r="Q172" s="525" t="str">
        <f>VLOOKUP("*"&amp;Q$5&amp;".Ap."&amp;Q171,Check2,1,FALSE)</f>
        <v>S.TM.S.2D.TS.Ap.75</v>
      </c>
      <c r="R172" s="525" t="str">
        <f t="shared" ref="R172" si="1020">Q172</f>
        <v>S.TM.S.2D.TS.Ap.75</v>
      </c>
      <c r="S172" s="525" t="str">
        <f>VLOOKUP("*"&amp;S$5&amp;".Ap."&amp;S171,Check2,1,FALSE)</f>
        <v>S.ZLT.S.2E.TS.Ap.76</v>
      </c>
      <c r="T172" s="525" t="str">
        <f t="shared" ref="T172" si="1021">S172</f>
        <v>S.ZLT.S.2E.TS.Ap.76</v>
      </c>
      <c r="U172" s="525" t="str">
        <f>VLOOKUP("*"&amp;U$5&amp;".Ap."&amp;U171,Check2,1,FALSE)</f>
        <v>O.S.2F.TS.Ap.77</v>
      </c>
      <c r="V172" s="525" t="str">
        <f>VLOOKUP("*"&amp;V$5&amp;".Ap."&amp;V171,Check2,1,FALSE)</f>
        <v>V.GMC.S.4A.TS.Ap.78</v>
      </c>
      <c r="W172" s="525" t="str">
        <f t="shared" ref="W172" si="1022">V172</f>
        <v>V.GMC.S.4A.TS.Ap.78</v>
      </c>
      <c r="X172" s="525" t="str">
        <f>VLOOKUP("*"&amp;X$5&amp;".Ap."&amp;X171,Check2,1,FALSE)</f>
        <v>V.GMS.S.2G.TS.Ap.79</v>
      </c>
      <c r="Y172" s="525" t="str">
        <f t="shared" ref="Y172" si="1023">X172</f>
        <v>V.GMS.S.2G.TS.Ap.79</v>
      </c>
      <c r="Z172" s="525" t="str">
        <f>VLOOKUP("*"&amp;Z$5&amp;".Ap."&amp;Z171,Check2,1,FALSE)</f>
        <v>V.GMS.S.4B.TS.Ap.80</v>
      </c>
      <c r="AA172" s="478" t="str">
        <f t="shared" si="724"/>
        <v>V.GMS.S.4B.TS.Ap.80</v>
      </c>
      <c r="AB172" s="479"/>
      <c r="AC172" s="479"/>
      <c r="AD172" s="479"/>
      <c r="AE172" s="479"/>
      <c r="AF172" s="479"/>
      <c r="AG172" s="479"/>
      <c r="AH172" s="479"/>
      <c r="AI172" s="479"/>
      <c r="AJ172" s="479"/>
      <c r="AK172" s="479"/>
      <c r="AL172" s="479"/>
      <c r="AM172" s="479"/>
      <c r="AN172" s="636"/>
      <c r="AO172" s="482" t="str">
        <f>VLOOKUP("*"&amp;AO$5&amp;".Ap."&amp;AO171,Check2,1,FALSE)</f>
        <v>S.S.4B.TN.Ap.73</v>
      </c>
      <c r="AP172" s="533" t="str">
        <f>VLOOKUP("*"&amp;AP$5&amp;".Ap."&amp;AP171,Check2,1,FALSE)</f>
        <v>S.S.2G.TN.Ap.74</v>
      </c>
      <c r="AQ172" s="477" t="str">
        <f t="shared" ref="AQ172" si="1024">AP172</f>
        <v>S.S.2G.TN.Ap.74</v>
      </c>
      <c r="AR172" s="525" t="str">
        <f>VLOOKUP("*"&amp;AR$5&amp;".Ap."&amp;AR171,Check2,1,FALSE)</f>
        <v>S.S.4A.TN.Ap.75</v>
      </c>
      <c r="AS172" s="525" t="str">
        <f>VLOOKUP("*"&amp;AS$5&amp;".Ap."&amp;AS171,Check2,1,FALSE)</f>
        <v>O.S.2F.TN.Ap.76</v>
      </c>
      <c r="AT172" s="533" t="str">
        <f>VLOOKUP("*"&amp;AT$5&amp;".Ap."&amp;AT171,Check2,1,FALSE)</f>
        <v>S.S.2E.TN.Ap.77</v>
      </c>
      <c r="AU172" s="477" t="str">
        <f t="shared" ref="AU172" si="1025">AT172</f>
        <v>S.S.2E.TN.Ap.77</v>
      </c>
      <c r="AV172" s="533" t="str">
        <f>VLOOKUP("*"&amp;AV$5&amp;".Ap."&amp;AV171,Check2,1,FALSE)</f>
        <v>S.S.2D.TN.Ap.78</v>
      </c>
      <c r="AW172" s="477" t="str">
        <f t="shared" ref="AW172" si="1026">AV172</f>
        <v>S.S.2D.TN.Ap.78</v>
      </c>
      <c r="AX172" s="525" t="str">
        <f>VLOOKUP("*"&amp;AX$5&amp;".Ap."&amp;AX171,Check2,1,FALSE)</f>
        <v>S.S.3A.TN.Ap.69</v>
      </c>
      <c r="AY172" s="533" t="str">
        <f>VLOOKUP("*"&amp;AY$5&amp;".Ap."&amp;AY171,Check2,1,FALSE)</f>
        <v>S.S.2C.TN.Ap.70</v>
      </c>
      <c r="AZ172" s="477" t="str">
        <f t="shared" ref="AZ172" si="1027">AY172</f>
        <v>S.S.2C.TN.Ap.70</v>
      </c>
      <c r="BA172" s="533" t="str">
        <f>VLOOKUP("*"&amp;BA$5&amp;".Ap."&amp;BA171,Check2,1,FALSE)</f>
        <v>S.S.2B.TN.Ap.71</v>
      </c>
      <c r="BB172" s="477" t="str">
        <f t="shared" ref="BB172" si="1028">BA172</f>
        <v>S.S.2B.TN.Ap.71</v>
      </c>
      <c r="BC172" s="826" t="str">
        <f>VLOOKUP("*"&amp;BC$5&amp;".Ap."&amp;BC171,Check2,1,FALSE)</f>
        <v>S.S.2A.TN.Ap.72</v>
      </c>
      <c r="BD172" s="744"/>
      <c r="BE172" s="535"/>
      <c r="BF172" s="535"/>
      <c r="BG172" s="744"/>
      <c r="BH172" s="1078"/>
      <c r="BI172" s="1078"/>
      <c r="BJ172" s="1078"/>
      <c r="BK172" s="561"/>
      <c r="BL172" s="522" t="s">
        <v>89</v>
      </c>
      <c r="BM172" s="523">
        <f t="shared" ref="BM172" si="1029">BM176+1</f>
        <v>9</v>
      </c>
      <c r="BN172" s="979"/>
      <c r="BO172" s="484"/>
      <c r="BP172" s="485" t="s">
        <v>89</v>
      </c>
    </row>
    <row r="173" spans="1:68" ht="21.75" x14ac:dyDescent="0.3">
      <c r="A173" s="957"/>
      <c r="B173" s="537"/>
      <c r="C173" s="538" t="s">
        <v>65</v>
      </c>
      <c r="D173" s="562"/>
      <c r="E173" s="1078"/>
      <c r="F173" s="1078"/>
      <c r="G173" s="1078"/>
      <c r="H173" s="563"/>
      <c r="I173" s="563"/>
      <c r="J173" s="563"/>
      <c r="K173" s="563"/>
      <c r="L173" s="788">
        <f>VLOOKUP(L172,Check2,5,FALSE)</f>
        <v>901</v>
      </c>
      <c r="M173" s="539">
        <f>VLOOKUP(M172,Check2,5,FALSE)</f>
        <v>902</v>
      </c>
      <c r="N173" s="539"/>
      <c r="O173" s="724">
        <f>VLOOKUP(O172,Check2,5,FALSE)</f>
        <v>903</v>
      </c>
      <c r="P173" s="724">
        <f>VLOOKUP(P172,Check2,5,FALSE)</f>
        <v>904</v>
      </c>
      <c r="Q173" s="539">
        <f>VLOOKUP(Q172,Check2,5,FALSE)</f>
        <v>905</v>
      </c>
      <c r="R173" s="539"/>
      <c r="S173" s="539">
        <f>VLOOKUP(S172,Check2,5,FALSE)</f>
        <v>906</v>
      </c>
      <c r="T173" s="539"/>
      <c r="U173" s="724">
        <f>VLOOKUP(U172,Check2,5,FALSE)</f>
        <v>907</v>
      </c>
      <c r="V173" s="539">
        <f>VLOOKUP(V172,Check2,5,FALSE)</f>
        <v>908</v>
      </c>
      <c r="W173" s="539"/>
      <c r="X173" s="539">
        <f>VLOOKUP(X172,Check2,5,FALSE)</f>
        <v>909</v>
      </c>
      <c r="Y173" s="539"/>
      <c r="Z173" s="539">
        <f>VLOOKUP(Z172,Check2,5,FALSE)</f>
        <v>910</v>
      </c>
      <c r="AA173" s="491"/>
      <c r="AB173" s="449"/>
      <c r="AC173" s="449"/>
      <c r="AD173" s="449"/>
      <c r="AE173" s="449"/>
      <c r="AF173" s="449"/>
      <c r="AG173" s="449"/>
      <c r="AH173" s="449"/>
      <c r="AI173" s="449"/>
      <c r="AJ173" s="449"/>
      <c r="AK173" s="449"/>
      <c r="AL173" s="449"/>
      <c r="AM173" s="449"/>
      <c r="AN173" s="637"/>
      <c r="AO173" s="822">
        <f>VLOOKUP(AO172,Check2,5,FALSE)</f>
        <v>902</v>
      </c>
      <c r="AP173" s="589">
        <f>VLOOKUP(AP172,Check2,5,FALSE)</f>
        <v>903</v>
      </c>
      <c r="AQ173" s="543"/>
      <c r="AR173" s="724">
        <f>VLOOKUP(AR172,Check2,5,FALSE)</f>
        <v>904</v>
      </c>
      <c r="AS173" s="724">
        <f>VLOOKUP(AS172,Check2,5,FALSE)</f>
        <v>905</v>
      </c>
      <c r="AT173" s="589">
        <f>VLOOKUP(AT172,Check2,5,FALSE)</f>
        <v>906</v>
      </c>
      <c r="AU173" s="543"/>
      <c r="AV173" s="589">
        <f>VLOOKUP(AV172,Check2,5,FALSE)</f>
        <v>907</v>
      </c>
      <c r="AW173" s="543"/>
      <c r="AX173" s="724">
        <f>VLOOKUP(AX172,Check2,5,FALSE)</f>
        <v>908</v>
      </c>
      <c r="AY173" s="589">
        <f>VLOOKUP(AY172,Check2,5,FALSE)</f>
        <v>909</v>
      </c>
      <c r="AZ173" s="543"/>
      <c r="BA173" s="589">
        <f>VLOOKUP(BA172,Check2,5,FALSE)</f>
        <v>910</v>
      </c>
      <c r="BB173" s="543"/>
      <c r="BC173" s="827">
        <f>VLOOKUP(BC172,Check2,5,FALSE)</f>
        <v>901</v>
      </c>
      <c r="BD173" s="745"/>
      <c r="BE173" s="563"/>
      <c r="BF173" s="563"/>
      <c r="BG173" s="745"/>
      <c r="BH173" s="1078"/>
      <c r="BI173" s="1078"/>
      <c r="BJ173" s="1078"/>
      <c r="BK173" s="564"/>
      <c r="BL173" s="544" t="s">
        <v>65</v>
      </c>
      <c r="BM173" s="537"/>
      <c r="BN173" s="979"/>
      <c r="BO173" s="434"/>
      <c r="BP173" s="496" t="s">
        <v>1078</v>
      </c>
    </row>
    <row r="174" spans="1:68" ht="22.5" thickBot="1" x14ac:dyDescent="0.45">
      <c r="A174" s="958"/>
      <c r="B174" s="545">
        <f t="shared" ref="B174" si="1030">B178+3.48</f>
        <v>37.839999999999996</v>
      </c>
      <c r="C174" s="546" t="s">
        <v>1</v>
      </c>
      <c r="D174" s="567"/>
      <c r="E174" s="1079"/>
      <c r="F174" s="1079"/>
      <c r="G174" s="1079"/>
      <c r="H174" s="568"/>
      <c r="I174" s="568"/>
      <c r="J174" s="568"/>
      <c r="K174" s="568"/>
      <c r="L174" s="790" t="str">
        <f>VLOOKUP(L172,Check2,6,FALSE)</f>
        <v>2A</v>
      </c>
      <c r="M174" s="548" t="str">
        <f>VLOOKUP(M172,Check2,6,FALSE)</f>
        <v>2B</v>
      </c>
      <c r="N174" s="548"/>
      <c r="O174" s="727" t="str">
        <f>VLOOKUP(O172,Check2,6,FALSE)</f>
        <v>2C</v>
      </c>
      <c r="P174" s="727" t="str">
        <f>VLOOKUP(P172,Check2,6,FALSE)</f>
        <v>3A</v>
      </c>
      <c r="Q174" s="548" t="str">
        <f>VLOOKUP(Q172,Check2,6,FALSE)</f>
        <v>2D</v>
      </c>
      <c r="R174" s="548"/>
      <c r="S174" s="548" t="str">
        <f>VLOOKUP(S172,Check2,6,FALSE)</f>
        <v>2E</v>
      </c>
      <c r="T174" s="548"/>
      <c r="U174" s="727" t="str">
        <f>VLOOKUP(U172,Check2,6,FALSE)</f>
        <v>2F</v>
      </c>
      <c r="V174" s="548" t="str">
        <f>VLOOKUP(V172,Check2,6,FALSE)</f>
        <v>4A</v>
      </c>
      <c r="W174" s="548"/>
      <c r="X174" s="548" t="str">
        <f>VLOOKUP(X172,Check2,6,FALSE)</f>
        <v>2G</v>
      </c>
      <c r="Y174" s="548"/>
      <c r="Z174" s="548" t="str">
        <f>VLOOKUP(Z172,Check2,6,FALSE)</f>
        <v>4B</v>
      </c>
      <c r="AA174" s="615"/>
      <c r="AB174" s="503"/>
      <c r="AC174" s="503"/>
      <c r="AD174" s="503"/>
      <c r="AE174" s="503"/>
      <c r="AF174" s="503"/>
      <c r="AG174" s="503"/>
      <c r="AH174" s="503"/>
      <c r="AI174" s="503"/>
      <c r="AJ174" s="503"/>
      <c r="AK174" s="503"/>
      <c r="AL174" s="503"/>
      <c r="AM174" s="503"/>
      <c r="AN174" s="640"/>
      <c r="AO174" s="828" t="str">
        <f>VLOOKUP(AO172,Check2,6,FALSE)</f>
        <v>4B</v>
      </c>
      <c r="AP174" s="603" t="str">
        <f>VLOOKUP(AP172,Check2,6,FALSE)</f>
        <v>2G</v>
      </c>
      <c r="AQ174" s="553"/>
      <c r="AR174" s="727" t="str">
        <f>VLOOKUP(AR172,Check2,6,FALSE)</f>
        <v>4A</v>
      </c>
      <c r="AS174" s="727" t="str">
        <f>VLOOKUP(AS172,Check2,6,FALSE)</f>
        <v>2F</v>
      </c>
      <c r="AT174" s="603" t="str">
        <f>VLOOKUP(AT172,Check2,6,FALSE)</f>
        <v>2E</v>
      </c>
      <c r="AU174" s="553"/>
      <c r="AV174" s="603" t="str">
        <f>VLOOKUP(AV172,Check2,6,FALSE)</f>
        <v>2D</v>
      </c>
      <c r="AW174" s="553"/>
      <c r="AX174" s="727" t="str">
        <f>VLOOKUP(AX172,Check2,6,FALSE)</f>
        <v>3A</v>
      </c>
      <c r="AY174" s="603" t="str">
        <f>VLOOKUP(AY172,Check2,6,FALSE)</f>
        <v>2C</v>
      </c>
      <c r="AZ174" s="553"/>
      <c r="BA174" s="603" t="str">
        <f>VLOOKUP(BA172,Check2,6,FALSE)</f>
        <v>2B</v>
      </c>
      <c r="BB174" s="553"/>
      <c r="BC174" s="829" t="str">
        <f>VLOOKUP(BC172,Check2,6,FALSE)</f>
        <v>2A</v>
      </c>
      <c r="BD174" s="746"/>
      <c r="BE174" s="568"/>
      <c r="BF174" s="568"/>
      <c r="BG174" s="746"/>
      <c r="BH174" s="1079"/>
      <c r="BI174" s="1079"/>
      <c r="BJ174" s="1079"/>
      <c r="BK174" s="572"/>
      <c r="BL174" s="555" t="s">
        <v>1</v>
      </c>
      <c r="BM174" s="545">
        <f t="shared" ref="BM174" si="1031">BM178+3.48</f>
        <v>37.839999999999996</v>
      </c>
      <c r="BN174" s="980"/>
      <c r="BO174" s="509"/>
      <c r="BP174" s="510" t="s">
        <v>1</v>
      </c>
    </row>
    <row r="175" spans="1:68" ht="25.5" x14ac:dyDescent="0.45">
      <c r="A175" s="957"/>
      <c r="B175" s="511" t="str">
        <f t="shared" ref="B175" si="1032">_xlfn.CONCAT("קומה ",B176)</f>
        <v>קומה 8</v>
      </c>
      <c r="C175" s="512" t="s">
        <v>0</v>
      </c>
      <c r="D175" s="556"/>
      <c r="E175" s="1080"/>
      <c r="F175" s="1080"/>
      <c r="G175" s="1080"/>
      <c r="H175" s="557"/>
      <c r="I175" s="557"/>
      <c r="J175" s="557"/>
      <c r="K175" s="557"/>
      <c r="L175" s="778">
        <f t="shared" ref="L175:M175" si="1033">L179+10</f>
        <v>61</v>
      </c>
      <c r="M175" s="514">
        <f t="shared" si="1033"/>
        <v>62</v>
      </c>
      <c r="N175" s="514"/>
      <c r="O175" s="540">
        <f t="shared" ref="O175:Q175" si="1034">O179+10</f>
        <v>63</v>
      </c>
      <c r="P175" s="540">
        <f t="shared" si="1034"/>
        <v>64</v>
      </c>
      <c r="Q175" s="514">
        <f t="shared" si="1034"/>
        <v>65</v>
      </c>
      <c r="R175" s="514"/>
      <c r="S175" s="514">
        <f t="shared" ref="S175" si="1035">S179+10</f>
        <v>66</v>
      </c>
      <c r="T175" s="514"/>
      <c r="U175" s="540">
        <f t="shared" ref="U175:V175" si="1036">U179+10</f>
        <v>67</v>
      </c>
      <c r="V175" s="514">
        <f t="shared" si="1036"/>
        <v>68</v>
      </c>
      <c r="W175" s="514"/>
      <c r="X175" s="514">
        <f t="shared" ref="X175" si="1037">X179+10</f>
        <v>69</v>
      </c>
      <c r="Y175" s="514"/>
      <c r="Z175" s="514">
        <f t="shared" si="995"/>
        <v>70</v>
      </c>
      <c r="AA175" s="463"/>
      <c r="AB175" s="464"/>
      <c r="AC175" s="464"/>
      <c r="AD175" s="464"/>
      <c r="AE175" s="464"/>
      <c r="AF175" s="464"/>
      <c r="AG175" s="464"/>
      <c r="AH175" s="464"/>
      <c r="AI175" s="464"/>
      <c r="AJ175" s="464"/>
      <c r="AK175" s="464"/>
      <c r="AL175" s="464"/>
      <c r="AM175" s="464"/>
      <c r="AN175" s="626"/>
      <c r="AO175" s="821">
        <f t="shared" ref="AO175:AP175" si="1038">AO179+10</f>
        <v>63</v>
      </c>
      <c r="AP175" s="578">
        <f t="shared" si="1038"/>
        <v>64</v>
      </c>
      <c r="AQ175" s="520"/>
      <c r="AR175" s="540">
        <f t="shared" ref="AR175:AT175" si="1039">AR179+10</f>
        <v>65</v>
      </c>
      <c r="AS175" s="540">
        <f t="shared" si="1039"/>
        <v>66</v>
      </c>
      <c r="AT175" s="578">
        <f t="shared" si="1039"/>
        <v>67</v>
      </c>
      <c r="AU175" s="520"/>
      <c r="AV175" s="578">
        <f t="shared" ref="AV175" si="1040">AV179+10</f>
        <v>68</v>
      </c>
      <c r="AW175" s="520"/>
      <c r="AX175" s="540">
        <f t="shared" ref="AX175:BA175" si="1041">AX179+10</f>
        <v>59</v>
      </c>
      <c r="AY175" s="578">
        <f t="shared" si="1041"/>
        <v>60</v>
      </c>
      <c r="AZ175" s="520"/>
      <c r="BA175" s="578">
        <f t="shared" si="1041"/>
        <v>61</v>
      </c>
      <c r="BB175" s="520"/>
      <c r="BC175" s="825">
        <f t="shared" ref="BC175" si="1042">BC179+10</f>
        <v>62</v>
      </c>
      <c r="BD175" s="733"/>
      <c r="BE175" s="557"/>
      <c r="BF175" s="557"/>
      <c r="BG175" s="733"/>
      <c r="BH175" s="1080"/>
      <c r="BI175" s="1080"/>
      <c r="BJ175" s="1080"/>
      <c r="BK175" s="559"/>
      <c r="BL175" s="522" t="s">
        <v>0</v>
      </c>
      <c r="BM175" s="511" t="str">
        <f t="shared" ref="BM175" si="1043">_xlfn.CONCAT("קומה ",BM176)</f>
        <v>קומה 8</v>
      </c>
      <c r="BN175" s="979"/>
      <c r="BO175" s="470"/>
      <c r="BP175" s="471" t="s">
        <v>0</v>
      </c>
    </row>
    <row r="176" spans="1:68" ht="18.75" hidden="1" customHeight="1" x14ac:dyDescent="0.3">
      <c r="A176" s="957"/>
      <c r="B176" s="523">
        <f t="shared" ref="B176" si="1044">B180+1</f>
        <v>8</v>
      </c>
      <c r="C176" s="512" t="s">
        <v>89</v>
      </c>
      <c r="D176" s="560"/>
      <c r="E176" s="1078"/>
      <c r="F176" s="1078"/>
      <c r="G176" s="1078"/>
      <c r="H176" s="535"/>
      <c r="I176" s="535"/>
      <c r="J176" s="535"/>
      <c r="K176" s="535"/>
      <c r="L176" s="475" t="str">
        <f>VLOOKUP("*"&amp;L$5&amp;".Ap."&amp;L175,Check2,1,FALSE)</f>
        <v>V.GMS.S.2A.TS.Ap.61</v>
      </c>
      <c r="M176" s="525" t="str">
        <f>VLOOKUP("*"&amp;M$5&amp;".Ap."&amp;M175,Check2,1,FALSE)</f>
        <v>S.ZLT.S.2B.TS.Ap.62</v>
      </c>
      <c r="N176" s="525" t="str">
        <f t="shared" ref="N176" si="1045">M176</f>
        <v>S.ZLT.S.2B.TS.Ap.62</v>
      </c>
      <c r="O176" s="525" t="str">
        <f>VLOOKUP("*"&amp;O$5&amp;".Ap."&amp;O175,Check2,1,FALSE)</f>
        <v>S.TM.S.2C.TS.Ap.63</v>
      </c>
      <c r="P176" s="525" t="str">
        <f>VLOOKUP("*"&amp;P$5&amp;".Ap."&amp;P175,Check2,1,FALSE)</f>
        <v>O.TM.S.3A.TS.Ap.64</v>
      </c>
      <c r="Q176" s="525" t="str">
        <f>VLOOKUP("*"&amp;Q$5&amp;".Ap."&amp;Q175,Check2,1,FALSE)</f>
        <v>O.TM.S.2D.TS.Ap.65</v>
      </c>
      <c r="R176" s="525" t="str">
        <f t="shared" ref="R176" si="1046">Q176</f>
        <v>O.TM.S.2D.TS.Ap.65</v>
      </c>
      <c r="S176" s="525" t="str">
        <f>VLOOKUP("*"&amp;S$5&amp;".Ap."&amp;S175,Check2,1,FALSE)</f>
        <v>S.TM.S.2E.TS.Ap.66</v>
      </c>
      <c r="T176" s="525" t="str">
        <f t="shared" ref="T176" si="1047">S176</f>
        <v>S.TM.S.2E.TS.Ap.66</v>
      </c>
      <c r="U176" s="525" t="str">
        <f>VLOOKUP("*"&amp;U$5&amp;".Ap."&amp;U175,Check2,1,FALSE)</f>
        <v>O.S.2F.TS.Ap.67</v>
      </c>
      <c r="V176" s="525" t="str">
        <f>VLOOKUP("*"&amp;V$5&amp;".Ap."&amp;V175,Check2,1,FALSE)</f>
        <v>O.TM.S.4A.TS.Ap.68</v>
      </c>
      <c r="W176" s="525" t="str">
        <f t="shared" ref="W176" si="1048">V176</f>
        <v>O.TM.S.4A.TS.Ap.68</v>
      </c>
      <c r="X176" s="525" t="str">
        <f>VLOOKUP("*"&amp;X$5&amp;".Ap."&amp;X175,Check2,1,FALSE)</f>
        <v>V.GMS.S.2G.TS.Ap.69</v>
      </c>
      <c r="Y176" s="525" t="str">
        <f t="shared" ref="Y176" si="1049">X176</f>
        <v>V.GMS.S.2G.TS.Ap.69</v>
      </c>
      <c r="Z176" s="525" t="str">
        <f>VLOOKUP("*"&amp;Z$5&amp;".Ap."&amp;Z175,Check2,1,FALSE)</f>
        <v>V.GMS.S.4B.TS.Ap.70</v>
      </c>
      <c r="AA176" s="478" t="str">
        <f t="shared" si="724"/>
        <v>V.GMS.S.4B.TS.Ap.70</v>
      </c>
      <c r="AB176" s="479"/>
      <c r="AC176" s="479"/>
      <c r="AD176" s="479"/>
      <c r="AE176" s="479"/>
      <c r="AF176" s="479"/>
      <c r="AG176" s="479"/>
      <c r="AH176" s="479"/>
      <c r="AI176" s="479"/>
      <c r="AJ176" s="479"/>
      <c r="AK176" s="479"/>
      <c r="AL176" s="479"/>
      <c r="AM176" s="479"/>
      <c r="AN176" s="636"/>
      <c r="AO176" s="482" t="str">
        <f>VLOOKUP("*"&amp;AO$5&amp;".Ap."&amp;AO175,Check2,1,FALSE)</f>
        <v>S.S.4B.TN.Ap.63</v>
      </c>
      <c r="AP176" s="533" t="str">
        <f>VLOOKUP("*"&amp;AP$5&amp;".Ap."&amp;AP175,Check2,1,FALSE)</f>
        <v>S.S.2G.TN.Ap.64</v>
      </c>
      <c r="AQ176" s="477" t="str">
        <f t="shared" ref="AQ176" si="1050">AP176</f>
        <v>S.S.2G.TN.Ap.64</v>
      </c>
      <c r="AR176" s="525" t="str">
        <f>VLOOKUP("*"&amp;AR$5&amp;".Ap."&amp;AR175,Check2,1,FALSE)</f>
        <v>S.S.4A.TN.Ap.65</v>
      </c>
      <c r="AS176" s="525" t="str">
        <f>VLOOKUP("*"&amp;AS$5&amp;".Ap."&amp;AS175,Check2,1,FALSE)</f>
        <v>O.S.2F.TN.Ap.66</v>
      </c>
      <c r="AT176" s="533" t="str">
        <f>VLOOKUP("*"&amp;AT$5&amp;".Ap."&amp;AT175,Check2,1,FALSE)</f>
        <v>S.S.2E.TN.Ap.67</v>
      </c>
      <c r="AU176" s="477" t="str">
        <f t="shared" ref="AU176" si="1051">AT176</f>
        <v>S.S.2E.TN.Ap.67</v>
      </c>
      <c r="AV176" s="533" t="str">
        <f>VLOOKUP("*"&amp;AV$5&amp;".Ap."&amp;AV175,Check2,1,FALSE)</f>
        <v>S.S.2D.TN.Ap.68</v>
      </c>
      <c r="AW176" s="477" t="str">
        <f t="shared" ref="AW176" si="1052">AV176</f>
        <v>S.S.2D.TN.Ap.68</v>
      </c>
      <c r="AX176" s="525" t="str">
        <f>VLOOKUP("*"&amp;AX$5&amp;".Ap."&amp;AX175,Check2,1,FALSE)</f>
        <v>S.S.3A.TN.Ap.59</v>
      </c>
      <c r="AY176" s="533" t="str">
        <f>VLOOKUP("*"&amp;AY$5&amp;".Ap."&amp;AY175,Check2,1,FALSE)</f>
        <v>S.S.2C.TN.Ap.60</v>
      </c>
      <c r="AZ176" s="477" t="str">
        <f t="shared" ref="AZ176" si="1053">AY176</f>
        <v>S.S.2C.TN.Ap.60</v>
      </c>
      <c r="BA176" s="533" t="str">
        <f>VLOOKUP("*"&amp;BA$5&amp;".Ap."&amp;BA175,Check2,1,FALSE)</f>
        <v>S.S.2B.TN.Ap.61</v>
      </c>
      <c r="BB176" s="477" t="str">
        <f t="shared" ref="BB176" si="1054">BA176</f>
        <v>S.S.2B.TN.Ap.61</v>
      </c>
      <c r="BC176" s="826" t="str">
        <f>VLOOKUP("*"&amp;BC$5&amp;".Ap."&amp;BC175,Check2,1,FALSE)</f>
        <v>S.S.2A.TN.Ap.62</v>
      </c>
      <c r="BD176" s="744"/>
      <c r="BE176" s="535"/>
      <c r="BF176" s="535"/>
      <c r="BG176" s="744"/>
      <c r="BH176" s="1078"/>
      <c r="BI176" s="1078"/>
      <c r="BJ176" s="1078"/>
      <c r="BK176" s="561"/>
      <c r="BL176" s="522" t="s">
        <v>89</v>
      </c>
      <c r="BM176" s="523">
        <f t="shared" ref="BM176" si="1055">BM180+1</f>
        <v>8</v>
      </c>
      <c r="BN176" s="979"/>
      <c r="BO176" s="484"/>
      <c r="BP176" s="485" t="s">
        <v>89</v>
      </c>
    </row>
    <row r="177" spans="1:68" ht="21.75" x14ac:dyDescent="0.3">
      <c r="A177" s="957"/>
      <c r="B177" s="537"/>
      <c r="C177" s="538" t="s">
        <v>65</v>
      </c>
      <c r="D177" s="562"/>
      <c r="E177" s="1078"/>
      <c r="F177" s="1078"/>
      <c r="G177" s="1078"/>
      <c r="H177" s="563"/>
      <c r="I177" s="563"/>
      <c r="J177" s="563"/>
      <c r="K177" s="563"/>
      <c r="L177" s="788">
        <f>VLOOKUP(L176,Check2,5,FALSE)</f>
        <v>801</v>
      </c>
      <c r="M177" s="539">
        <f>VLOOKUP(M176,Check2,5,FALSE)</f>
        <v>802</v>
      </c>
      <c r="N177" s="539"/>
      <c r="O177" s="724">
        <f>VLOOKUP(O176,Check2,5,FALSE)</f>
        <v>803</v>
      </c>
      <c r="P177" s="724">
        <f>VLOOKUP(P176,Check2,5,FALSE)</f>
        <v>804</v>
      </c>
      <c r="Q177" s="539">
        <f>VLOOKUP(Q176,Check2,5,FALSE)</f>
        <v>805</v>
      </c>
      <c r="R177" s="539"/>
      <c r="S177" s="539">
        <f>VLOOKUP(S176,Check2,5,FALSE)</f>
        <v>806</v>
      </c>
      <c r="T177" s="539"/>
      <c r="U177" s="724">
        <f>VLOOKUP(U176,Check2,5,FALSE)</f>
        <v>807</v>
      </c>
      <c r="V177" s="539">
        <f>VLOOKUP(V176,Check2,5,FALSE)</f>
        <v>808</v>
      </c>
      <c r="W177" s="539"/>
      <c r="X177" s="539">
        <f>VLOOKUP(X176,Check2,5,FALSE)</f>
        <v>809</v>
      </c>
      <c r="Y177" s="539"/>
      <c r="Z177" s="539">
        <f>VLOOKUP(Z176,Check2,5,FALSE)</f>
        <v>810</v>
      </c>
      <c r="AA177" s="491"/>
      <c r="AB177" s="449"/>
      <c r="AC177" s="449"/>
      <c r="AD177" s="449"/>
      <c r="AE177" s="449"/>
      <c r="AF177" s="449"/>
      <c r="AG177" s="449"/>
      <c r="AH177" s="449"/>
      <c r="AI177" s="449"/>
      <c r="AJ177" s="449"/>
      <c r="AK177" s="449"/>
      <c r="AL177" s="449"/>
      <c r="AM177" s="449"/>
      <c r="AN177" s="637"/>
      <c r="AO177" s="822">
        <f>VLOOKUP(AO176,Check2,5,FALSE)</f>
        <v>802</v>
      </c>
      <c r="AP177" s="589">
        <f>VLOOKUP(AP176,Check2,5,FALSE)</f>
        <v>803</v>
      </c>
      <c r="AQ177" s="543"/>
      <c r="AR177" s="724">
        <f>VLOOKUP(AR176,Check2,5,FALSE)</f>
        <v>804</v>
      </c>
      <c r="AS177" s="724">
        <f>VLOOKUP(AS176,Check2,5,FALSE)</f>
        <v>805</v>
      </c>
      <c r="AT177" s="589">
        <f>VLOOKUP(AT176,Check2,5,FALSE)</f>
        <v>806</v>
      </c>
      <c r="AU177" s="543"/>
      <c r="AV177" s="589">
        <f>VLOOKUP(AV176,Check2,5,FALSE)</f>
        <v>807</v>
      </c>
      <c r="AW177" s="543"/>
      <c r="AX177" s="724">
        <f>VLOOKUP(AX176,Check2,5,FALSE)</f>
        <v>808</v>
      </c>
      <c r="AY177" s="589">
        <f>VLOOKUP(AY176,Check2,5,FALSE)</f>
        <v>809</v>
      </c>
      <c r="AZ177" s="543"/>
      <c r="BA177" s="589">
        <f>VLOOKUP(BA176,Check2,5,FALSE)</f>
        <v>810</v>
      </c>
      <c r="BB177" s="543"/>
      <c r="BC177" s="827">
        <f>VLOOKUP(BC176,Check2,5,FALSE)</f>
        <v>801</v>
      </c>
      <c r="BD177" s="745"/>
      <c r="BE177" s="563"/>
      <c r="BF177" s="563"/>
      <c r="BG177" s="745"/>
      <c r="BH177" s="1078"/>
      <c r="BI177" s="1078"/>
      <c r="BJ177" s="1078"/>
      <c r="BK177" s="564"/>
      <c r="BL177" s="544" t="s">
        <v>65</v>
      </c>
      <c r="BM177" s="537"/>
      <c r="BN177" s="979"/>
      <c r="BO177" s="434"/>
      <c r="BP177" s="496" t="s">
        <v>1078</v>
      </c>
    </row>
    <row r="178" spans="1:68" ht="22.5" thickBot="1" x14ac:dyDescent="0.45">
      <c r="A178" s="958"/>
      <c r="B178" s="545">
        <f t="shared" ref="B178" si="1056">B182+3.48</f>
        <v>34.36</v>
      </c>
      <c r="C178" s="546" t="s">
        <v>1</v>
      </c>
      <c r="D178" s="567"/>
      <c r="E178" s="1079"/>
      <c r="F178" s="1079"/>
      <c r="G178" s="1079"/>
      <c r="H178" s="568"/>
      <c r="I178" s="568"/>
      <c r="J178" s="568"/>
      <c r="K178" s="568"/>
      <c r="L178" s="790" t="str">
        <f>VLOOKUP(L176,Check2,6,FALSE)</f>
        <v>2A</v>
      </c>
      <c r="M178" s="548" t="str">
        <f>VLOOKUP(M176,Check2,6,FALSE)</f>
        <v>2B</v>
      </c>
      <c r="N178" s="548"/>
      <c r="O178" s="727" t="str">
        <f>VLOOKUP(O176,Check2,6,FALSE)</f>
        <v>2C</v>
      </c>
      <c r="P178" s="727" t="str">
        <f>VLOOKUP(P176,Check2,6,FALSE)</f>
        <v>3A</v>
      </c>
      <c r="Q178" s="548" t="str">
        <f>VLOOKUP(Q176,Check2,6,FALSE)</f>
        <v>2D</v>
      </c>
      <c r="R178" s="548"/>
      <c r="S178" s="548" t="str">
        <f>VLOOKUP(S176,Check2,6,FALSE)</f>
        <v>2E</v>
      </c>
      <c r="T178" s="548"/>
      <c r="U178" s="727" t="str">
        <f>VLOOKUP(U176,Check2,6,FALSE)</f>
        <v>2F</v>
      </c>
      <c r="V178" s="548" t="str">
        <f>VLOOKUP(V176,Check2,6,FALSE)</f>
        <v>4A</v>
      </c>
      <c r="W178" s="548"/>
      <c r="X178" s="548" t="str">
        <f>VLOOKUP(X176,Check2,6,FALSE)</f>
        <v>2G</v>
      </c>
      <c r="Y178" s="548"/>
      <c r="Z178" s="548" t="str">
        <f>VLOOKUP(Z176,Check2,6,FALSE)</f>
        <v>4B</v>
      </c>
      <c r="AA178" s="615"/>
      <c r="AB178" s="503"/>
      <c r="AC178" s="503"/>
      <c r="AD178" s="503"/>
      <c r="AE178" s="503"/>
      <c r="AF178" s="503"/>
      <c r="AG178" s="503"/>
      <c r="AH178" s="503"/>
      <c r="AI178" s="503"/>
      <c r="AJ178" s="503"/>
      <c r="AK178" s="503"/>
      <c r="AL178" s="503"/>
      <c r="AM178" s="503"/>
      <c r="AN178" s="640"/>
      <c r="AO178" s="828" t="str">
        <f>VLOOKUP(AO176,Check2,6,FALSE)</f>
        <v>4B</v>
      </c>
      <c r="AP178" s="603" t="str">
        <f>VLOOKUP(AP176,Check2,6,FALSE)</f>
        <v>2G</v>
      </c>
      <c r="AQ178" s="553"/>
      <c r="AR178" s="727" t="str">
        <f>VLOOKUP(AR176,Check2,6,FALSE)</f>
        <v>4A</v>
      </c>
      <c r="AS178" s="727" t="str">
        <f>VLOOKUP(AS176,Check2,6,FALSE)</f>
        <v>2F</v>
      </c>
      <c r="AT178" s="603" t="str">
        <f>VLOOKUP(AT176,Check2,6,FALSE)</f>
        <v>2E</v>
      </c>
      <c r="AU178" s="553"/>
      <c r="AV178" s="603" t="str">
        <f>VLOOKUP(AV176,Check2,6,FALSE)</f>
        <v>2D</v>
      </c>
      <c r="AW178" s="553"/>
      <c r="AX178" s="727" t="str">
        <f>VLOOKUP(AX176,Check2,6,FALSE)</f>
        <v>3A</v>
      </c>
      <c r="AY178" s="603" t="str">
        <f>VLOOKUP(AY176,Check2,6,FALSE)</f>
        <v>2C</v>
      </c>
      <c r="AZ178" s="553"/>
      <c r="BA178" s="603" t="str">
        <f>VLOOKUP(BA176,Check2,6,FALSE)</f>
        <v>2B</v>
      </c>
      <c r="BB178" s="553"/>
      <c r="BC178" s="829" t="str">
        <f>VLOOKUP(BC176,Check2,6,FALSE)</f>
        <v>2A</v>
      </c>
      <c r="BD178" s="746"/>
      <c r="BE178" s="568"/>
      <c r="BF178" s="568"/>
      <c r="BG178" s="746"/>
      <c r="BH178" s="1079"/>
      <c r="BI178" s="1079"/>
      <c r="BJ178" s="1079"/>
      <c r="BK178" s="572"/>
      <c r="BL178" s="555" t="s">
        <v>1</v>
      </c>
      <c r="BM178" s="545">
        <f t="shared" ref="BM178" si="1057">BM182+3.48</f>
        <v>34.36</v>
      </c>
      <c r="BN178" s="980"/>
      <c r="BO178" s="509"/>
      <c r="BP178" s="510" t="s">
        <v>1</v>
      </c>
    </row>
    <row r="179" spans="1:68" ht="25.5" x14ac:dyDescent="0.45">
      <c r="A179" s="957"/>
      <c r="B179" s="511" t="str">
        <f t="shared" ref="B179" si="1058">_xlfn.CONCAT("קומה ",B180)</f>
        <v>קומה 7</v>
      </c>
      <c r="C179" s="512" t="s">
        <v>0</v>
      </c>
      <c r="D179" s="556"/>
      <c r="E179" s="1081" t="s">
        <v>1076</v>
      </c>
      <c r="F179" s="1081" t="s">
        <v>1076</v>
      </c>
      <c r="G179" s="1081" t="s">
        <v>1076</v>
      </c>
      <c r="H179" s="557"/>
      <c r="I179" s="557"/>
      <c r="J179" s="557"/>
      <c r="K179" s="557"/>
      <c r="L179" s="778">
        <f t="shared" ref="L179:M179" si="1059">L183+10</f>
        <v>51</v>
      </c>
      <c r="M179" s="514">
        <f t="shared" si="1059"/>
        <v>52</v>
      </c>
      <c r="N179" s="514"/>
      <c r="O179" s="540">
        <f t="shared" ref="O179:Q179" si="1060">O183+10</f>
        <v>53</v>
      </c>
      <c r="P179" s="540">
        <f t="shared" si="1060"/>
        <v>54</v>
      </c>
      <c r="Q179" s="514">
        <f t="shared" si="1060"/>
        <v>55</v>
      </c>
      <c r="R179" s="514"/>
      <c r="S179" s="514">
        <f t="shared" ref="S179" si="1061">S183+10</f>
        <v>56</v>
      </c>
      <c r="T179" s="514"/>
      <c r="U179" s="540">
        <f t="shared" ref="U179:V179" si="1062">U183+10</f>
        <v>57</v>
      </c>
      <c r="V179" s="514">
        <f t="shared" si="1062"/>
        <v>58</v>
      </c>
      <c r="W179" s="514"/>
      <c r="X179" s="514">
        <f t="shared" ref="X179" si="1063">X183+10</f>
        <v>59</v>
      </c>
      <c r="Y179" s="514"/>
      <c r="Z179" s="514">
        <f t="shared" si="995"/>
        <v>60</v>
      </c>
      <c r="AA179" s="463"/>
      <c r="AB179" s="464"/>
      <c r="AC179" s="464"/>
      <c r="AD179" s="464"/>
      <c r="AE179" s="464"/>
      <c r="AF179" s="464"/>
      <c r="AG179" s="464"/>
      <c r="AH179" s="464"/>
      <c r="AI179" s="464"/>
      <c r="AJ179" s="464"/>
      <c r="AK179" s="464"/>
      <c r="AL179" s="464"/>
      <c r="AM179" s="464"/>
      <c r="AN179" s="626"/>
      <c r="AO179" s="821">
        <f t="shared" ref="AO179:AP179" si="1064">AO183+10</f>
        <v>53</v>
      </c>
      <c r="AP179" s="578">
        <f t="shared" si="1064"/>
        <v>54</v>
      </c>
      <c r="AQ179" s="520"/>
      <c r="AR179" s="540">
        <f t="shared" ref="AR179:AT179" si="1065">AR183+10</f>
        <v>55</v>
      </c>
      <c r="AS179" s="540">
        <f t="shared" si="1065"/>
        <v>56</v>
      </c>
      <c r="AT179" s="578">
        <f t="shared" si="1065"/>
        <v>57</v>
      </c>
      <c r="AU179" s="520"/>
      <c r="AV179" s="578">
        <f t="shared" ref="AV179" si="1066">AV183+10</f>
        <v>58</v>
      </c>
      <c r="AW179" s="520"/>
      <c r="AX179" s="540">
        <f t="shared" ref="AX179:BA179" si="1067">AX183+10</f>
        <v>49</v>
      </c>
      <c r="AY179" s="578">
        <f t="shared" si="1067"/>
        <v>50</v>
      </c>
      <c r="AZ179" s="520"/>
      <c r="BA179" s="578">
        <f t="shared" si="1067"/>
        <v>51</v>
      </c>
      <c r="BB179" s="520"/>
      <c r="BC179" s="825">
        <f t="shared" ref="BC179" si="1068">BC183+10</f>
        <v>52</v>
      </c>
      <c r="BD179" s="733"/>
      <c r="BE179" s="557"/>
      <c r="BF179" s="557"/>
      <c r="BG179" s="733"/>
      <c r="BH179" s="1081" t="s">
        <v>1076</v>
      </c>
      <c r="BI179" s="1081" t="s">
        <v>1076</v>
      </c>
      <c r="BJ179" s="1081" t="s">
        <v>1076</v>
      </c>
      <c r="BK179" s="559"/>
      <c r="BL179" s="522" t="s">
        <v>0</v>
      </c>
      <c r="BM179" s="511" t="str">
        <f t="shared" ref="BM179" si="1069">_xlfn.CONCAT("קומה ",BM180)</f>
        <v>קומה 7</v>
      </c>
      <c r="BN179" s="979"/>
      <c r="BO179" s="470"/>
      <c r="BP179" s="471" t="s">
        <v>0</v>
      </c>
    </row>
    <row r="180" spans="1:68" ht="21.75" hidden="1" x14ac:dyDescent="0.3">
      <c r="A180" s="957"/>
      <c r="B180" s="523">
        <f t="shared" ref="B180" si="1070">B184+1</f>
        <v>7</v>
      </c>
      <c r="C180" s="512" t="s">
        <v>89</v>
      </c>
      <c r="D180" s="560"/>
      <c r="E180" s="1082"/>
      <c r="F180" s="1082"/>
      <c r="G180" s="1082"/>
      <c r="H180" s="535"/>
      <c r="I180" s="535"/>
      <c r="J180" s="535"/>
      <c r="K180" s="535"/>
      <c r="L180" s="475" t="str">
        <f>VLOOKUP("*"&amp;L$5&amp;".Ap."&amp;L179,Check2,1,FALSE)</f>
        <v>S.ZLT.S.2A.TS.Ap.51</v>
      </c>
      <c r="M180" s="525" t="str">
        <f>VLOOKUP("*"&amp;M$5&amp;".Ap."&amp;M179,Check2,1,FALSE)</f>
        <v>S.ZLT.S.2B.TS.Ap.52</v>
      </c>
      <c r="N180" s="525" t="str">
        <f t="shared" ref="N180" si="1071">M180</f>
        <v>S.ZLT.S.2B.TS.Ap.52</v>
      </c>
      <c r="O180" s="525" t="str">
        <f>VLOOKUP("*"&amp;O$5&amp;".Ap."&amp;O179,Check2,1,FALSE)</f>
        <v>S.TM.S.2C.TS.Ap.53</v>
      </c>
      <c r="P180" s="525" t="str">
        <f>VLOOKUP("*"&amp;P$5&amp;".Ap."&amp;P179,Check2,1,FALSE)</f>
        <v>O.S.3A.TS.Ap.54</v>
      </c>
      <c r="Q180" s="525" t="str">
        <f>VLOOKUP("*"&amp;Q$5&amp;".Ap."&amp;Q179,Check2,1,FALSE)</f>
        <v>S.TM.S.2D.TS.Ap.55</v>
      </c>
      <c r="R180" s="525" t="str">
        <f t="shared" ref="R180" si="1072">Q180</f>
        <v>S.TM.S.2D.TS.Ap.55</v>
      </c>
      <c r="S180" s="525" t="str">
        <f>VLOOKUP("*"&amp;S$5&amp;".Ap."&amp;S179,Check2,1,FALSE)</f>
        <v>S.TM.S.2E.TS.Ap.56</v>
      </c>
      <c r="T180" s="525" t="str">
        <f t="shared" ref="T180" si="1073">S180</f>
        <v>S.TM.S.2E.TS.Ap.56</v>
      </c>
      <c r="U180" s="525" t="str">
        <f>VLOOKUP("*"&amp;U$5&amp;".Ap."&amp;U179,Check2,1,FALSE)</f>
        <v>S.S.2F.TS.Ap.57</v>
      </c>
      <c r="V180" s="525" t="str">
        <f>VLOOKUP("*"&amp;V$5&amp;".Ap."&amp;V179,Check2,1,FALSE)</f>
        <v>V.GMS.S.4A.TS.Ap.58</v>
      </c>
      <c r="W180" s="525" t="str">
        <f t="shared" ref="W180" si="1074">V180</f>
        <v>V.GMS.S.4A.TS.Ap.58</v>
      </c>
      <c r="X180" s="525" t="str">
        <f>VLOOKUP("*"&amp;X$5&amp;".Ap."&amp;X179,Check2,1,FALSE)</f>
        <v>V.GMS.S.2G.TS.Ap.59</v>
      </c>
      <c r="Y180" s="525" t="str">
        <f t="shared" ref="Y180" si="1075">X180</f>
        <v>V.GMS.S.2G.TS.Ap.59</v>
      </c>
      <c r="Z180" s="525" t="str">
        <f>VLOOKUP("*"&amp;Z$5&amp;".Ap."&amp;Z179,Check2,1,FALSE)</f>
        <v>V.GMS.S.4B.TS.Ap.60</v>
      </c>
      <c r="AA180" s="478" t="str">
        <f t="shared" si="724"/>
        <v>V.GMS.S.4B.TS.Ap.60</v>
      </c>
      <c r="AB180" s="479"/>
      <c r="AC180" s="479"/>
      <c r="AD180" s="479"/>
      <c r="AE180" s="479"/>
      <c r="AF180" s="479"/>
      <c r="AG180" s="479"/>
      <c r="AH180" s="479"/>
      <c r="AI180" s="479"/>
      <c r="AJ180" s="479"/>
      <c r="AK180" s="479"/>
      <c r="AL180" s="479"/>
      <c r="AM180" s="479"/>
      <c r="AN180" s="636"/>
      <c r="AO180" s="482" t="str">
        <f>VLOOKUP("*"&amp;AO$5&amp;".Ap."&amp;AO179,Check2,1,FALSE)</f>
        <v>S.S.4B.TN.Ap.53</v>
      </c>
      <c r="AP180" s="533" t="str">
        <f>VLOOKUP("*"&amp;AP$5&amp;".Ap."&amp;AP179,Check2,1,FALSE)</f>
        <v>S.S.2G.TN.Ap.54</v>
      </c>
      <c r="AQ180" s="477" t="str">
        <f t="shared" ref="AQ180" si="1076">AP180</f>
        <v>S.S.2G.TN.Ap.54</v>
      </c>
      <c r="AR180" s="525" t="str">
        <f>VLOOKUP("*"&amp;AR$5&amp;".Ap."&amp;AR179,Check2,1,FALSE)</f>
        <v>S.S.4A.TN.Ap.55</v>
      </c>
      <c r="AS180" s="525" t="str">
        <f>VLOOKUP("*"&amp;AS$5&amp;".Ap."&amp;AS179,Check2,1,FALSE)</f>
        <v>S.S.2F.TN.Ap.56</v>
      </c>
      <c r="AT180" s="533" t="str">
        <f>VLOOKUP("*"&amp;AT$5&amp;".Ap."&amp;AT179,Check2,1,FALSE)</f>
        <v>S.S.2E.TN.Ap.57</v>
      </c>
      <c r="AU180" s="477" t="str">
        <f t="shared" ref="AU180" si="1077">AT180</f>
        <v>S.S.2E.TN.Ap.57</v>
      </c>
      <c r="AV180" s="533" t="str">
        <f>VLOOKUP("*"&amp;AV$5&amp;".Ap."&amp;AV179,Check2,1,FALSE)</f>
        <v>S.S.2D.TN.Ap.58</v>
      </c>
      <c r="AW180" s="477" t="str">
        <f t="shared" ref="AW180" si="1078">AV180</f>
        <v>S.S.2D.TN.Ap.58</v>
      </c>
      <c r="AX180" s="525" t="str">
        <f>VLOOKUP("*"&amp;AX$5&amp;".Ap."&amp;AX179,Check2,1,FALSE)</f>
        <v>S.S.3A.TN.Ap.49</v>
      </c>
      <c r="AY180" s="533" t="str">
        <f>VLOOKUP("*"&amp;AY$5&amp;".Ap."&amp;AY179,Check2,1,FALSE)</f>
        <v>S.S.2C.TN.Ap.50</v>
      </c>
      <c r="AZ180" s="477" t="str">
        <f t="shared" ref="AZ180" si="1079">AY180</f>
        <v>S.S.2C.TN.Ap.50</v>
      </c>
      <c r="BA180" s="533" t="str">
        <f>VLOOKUP("*"&amp;BA$5&amp;".Ap."&amp;BA179,Check2,1,FALSE)</f>
        <v>S.S.2B.TN.Ap.51</v>
      </c>
      <c r="BB180" s="477" t="str">
        <f t="shared" ref="BB180" si="1080">BA180</f>
        <v>S.S.2B.TN.Ap.51</v>
      </c>
      <c r="BC180" s="826" t="str">
        <f>VLOOKUP("*"&amp;BC$5&amp;".Ap."&amp;BC179,Check2,1,FALSE)</f>
        <v>S.S.2A.TN.Ap.52</v>
      </c>
      <c r="BD180" s="744"/>
      <c r="BE180" s="535"/>
      <c r="BF180" s="535"/>
      <c r="BG180" s="744"/>
      <c r="BH180" s="1082"/>
      <c r="BI180" s="1082"/>
      <c r="BJ180" s="1082"/>
      <c r="BK180" s="561"/>
      <c r="BL180" s="522" t="s">
        <v>89</v>
      </c>
      <c r="BM180" s="523">
        <f t="shared" ref="BM180" si="1081">BM184+1</f>
        <v>7</v>
      </c>
      <c r="BN180" s="979"/>
      <c r="BO180" s="484"/>
      <c r="BP180" s="485" t="s">
        <v>89</v>
      </c>
    </row>
    <row r="181" spans="1:68" ht="21.75" x14ac:dyDescent="0.3">
      <c r="A181" s="957"/>
      <c r="B181" s="537"/>
      <c r="C181" s="538" t="s">
        <v>65</v>
      </c>
      <c r="D181" s="562"/>
      <c r="E181" s="1082"/>
      <c r="F181" s="1082"/>
      <c r="G181" s="1082"/>
      <c r="H181" s="563"/>
      <c r="I181" s="563"/>
      <c r="J181" s="563"/>
      <c r="K181" s="563"/>
      <c r="L181" s="788">
        <f>VLOOKUP(L180,Check2,5,FALSE)</f>
        <v>701</v>
      </c>
      <c r="M181" s="539">
        <f>VLOOKUP(M180,Check2,5,FALSE)</f>
        <v>702</v>
      </c>
      <c r="N181" s="539"/>
      <c r="O181" s="724">
        <f>VLOOKUP(O180,Check2,5,FALSE)</f>
        <v>703</v>
      </c>
      <c r="P181" s="724">
        <f>VLOOKUP(P180,Check2,5,FALSE)</f>
        <v>704</v>
      </c>
      <c r="Q181" s="539">
        <f>VLOOKUP(Q180,Check2,5,FALSE)</f>
        <v>705</v>
      </c>
      <c r="R181" s="539"/>
      <c r="S181" s="539">
        <f>VLOOKUP(S180,Check2,5,FALSE)</f>
        <v>706</v>
      </c>
      <c r="T181" s="539"/>
      <c r="U181" s="724">
        <f>VLOOKUP(U180,Check2,5,FALSE)</f>
        <v>707</v>
      </c>
      <c r="V181" s="539">
        <f>VLOOKUP(V180,Check2,5,FALSE)</f>
        <v>708</v>
      </c>
      <c r="W181" s="539"/>
      <c r="X181" s="539">
        <f>VLOOKUP(X180,Check2,5,FALSE)</f>
        <v>709</v>
      </c>
      <c r="Y181" s="539"/>
      <c r="Z181" s="539">
        <f>VLOOKUP(Z180,Check2,5,FALSE)</f>
        <v>710</v>
      </c>
      <c r="AA181" s="491"/>
      <c r="AB181" s="449"/>
      <c r="AC181" s="449"/>
      <c r="AD181" s="449"/>
      <c r="AE181" s="449"/>
      <c r="AF181" s="449"/>
      <c r="AG181" s="449"/>
      <c r="AH181" s="449"/>
      <c r="AI181" s="449"/>
      <c r="AJ181" s="449"/>
      <c r="AK181" s="449"/>
      <c r="AL181" s="449"/>
      <c r="AM181" s="449"/>
      <c r="AN181" s="637"/>
      <c r="AO181" s="822">
        <f>VLOOKUP(AO180,Check2,5,FALSE)</f>
        <v>702</v>
      </c>
      <c r="AP181" s="589">
        <f>VLOOKUP(AP180,Check2,5,FALSE)</f>
        <v>703</v>
      </c>
      <c r="AQ181" s="543"/>
      <c r="AR181" s="724">
        <f>VLOOKUP(AR180,Check2,5,FALSE)</f>
        <v>704</v>
      </c>
      <c r="AS181" s="724">
        <f>VLOOKUP(AS180,Check2,5,FALSE)</f>
        <v>705</v>
      </c>
      <c r="AT181" s="589">
        <f>VLOOKUP(AT180,Check2,5,FALSE)</f>
        <v>706</v>
      </c>
      <c r="AU181" s="543"/>
      <c r="AV181" s="589">
        <f>VLOOKUP(AV180,Check2,5,FALSE)</f>
        <v>707</v>
      </c>
      <c r="AW181" s="543"/>
      <c r="AX181" s="724">
        <f>VLOOKUP(AX180,Check2,5,FALSE)</f>
        <v>708</v>
      </c>
      <c r="AY181" s="589">
        <f>VLOOKUP(AY180,Check2,5,FALSE)</f>
        <v>709</v>
      </c>
      <c r="AZ181" s="543"/>
      <c r="BA181" s="589">
        <f>VLOOKUP(BA180,Check2,5,FALSE)</f>
        <v>710</v>
      </c>
      <c r="BB181" s="543"/>
      <c r="BC181" s="827">
        <f>VLOOKUP(BC180,Check2,5,FALSE)</f>
        <v>701</v>
      </c>
      <c r="BD181" s="745"/>
      <c r="BE181" s="563"/>
      <c r="BF181" s="563"/>
      <c r="BG181" s="745"/>
      <c r="BH181" s="1082"/>
      <c r="BI181" s="1082"/>
      <c r="BJ181" s="1082"/>
      <c r="BK181" s="564"/>
      <c r="BL181" s="544" t="s">
        <v>65</v>
      </c>
      <c r="BM181" s="537"/>
      <c r="BN181" s="979"/>
      <c r="BO181" s="434"/>
      <c r="BP181" s="496" t="s">
        <v>1078</v>
      </c>
    </row>
    <row r="182" spans="1:68" ht="22.5" thickBot="1" x14ac:dyDescent="0.45">
      <c r="A182" s="958"/>
      <c r="B182" s="545">
        <f t="shared" ref="B182" si="1082">B186+3.48</f>
        <v>30.880000000000003</v>
      </c>
      <c r="C182" s="546" t="s">
        <v>1</v>
      </c>
      <c r="D182" s="567"/>
      <c r="E182" s="1083"/>
      <c r="F182" s="1083"/>
      <c r="G182" s="1083"/>
      <c r="H182" s="568"/>
      <c r="I182" s="568"/>
      <c r="J182" s="568"/>
      <c r="K182" s="568"/>
      <c r="L182" s="790" t="str">
        <f>VLOOKUP(L180,Check2,6,FALSE)</f>
        <v>2A</v>
      </c>
      <c r="M182" s="548" t="str">
        <f>VLOOKUP(M180,Check2,6,FALSE)</f>
        <v>2B</v>
      </c>
      <c r="N182" s="548"/>
      <c r="O182" s="727" t="str">
        <f>VLOOKUP(O180,Check2,6,FALSE)</f>
        <v>2C</v>
      </c>
      <c r="P182" s="727" t="str">
        <f>VLOOKUP(P180,Check2,6,FALSE)</f>
        <v>3A</v>
      </c>
      <c r="Q182" s="548" t="str">
        <f>VLOOKUP(Q180,Check2,6,FALSE)</f>
        <v>2D</v>
      </c>
      <c r="R182" s="548"/>
      <c r="S182" s="548" t="str">
        <f>VLOOKUP(S180,Check2,6,FALSE)</f>
        <v>2E</v>
      </c>
      <c r="T182" s="548"/>
      <c r="U182" s="727" t="str">
        <f>VLOOKUP(U180,Check2,6,FALSE)</f>
        <v>2F</v>
      </c>
      <c r="V182" s="548" t="str">
        <f>VLOOKUP(V180,Check2,6,FALSE)</f>
        <v>4A</v>
      </c>
      <c r="W182" s="548"/>
      <c r="X182" s="548" t="str">
        <f>VLOOKUP(X180,Check2,6,FALSE)</f>
        <v>2G</v>
      </c>
      <c r="Y182" s="548"/>
      <c r="Z182" s="548" t="str">
        <f>VLOOKUP(Z180,Check2,6,FALSE)</f>
        <v>4B</v>
      </c>
      <c r="AA182" s="615"/>
      <c r="AB182" s="503"/>
      <c r="AC182" s="503"/>
      <c r="AD182" s="503"/>
      <c r="AE182" s="503"/>
      <c r="AF182" s="503"/>
      <c r="AG182" s="503"/>
      <c r="AH182" s="503"/>
      <c r="AI182" s="503"/>
      <c r="AJ182" s="503"/>
      <c r="AK182" s="503"/>
      <c r="AL182" s="503"/>
      <c r="AM182" s="503"/>
      <c r="AN182" s="640"/>
      <c r="AO182" s="828" t="str">
        <f>VLOOKUP(AO180,Check2,6,FALSE)</f>
        <v>4B</v>
      </c>
      <c r="AP182" s="603" t="str">
        <f>VLOOKUP(AP180,Check2,6,FALSE)</f>
        <v>2G</v>
      </c>
      <c r="AQ182" s="553"/>
      <c r="AR182" s="727" t="str">
        <f>VLOOKUP(AR180,Check2,6,FALSE)</f>
        <v>4A</v>
      </c>
      <c r="AS182" s="727" t="str">
        <f>VLOOKUP(AS180,Check2,6,FALSE)</f>
        <v>2F</v>
      </c>
      <c r="AT182" s="603" t="str">
        <f>VLOOKUP(AT180,Check2,6,FALSE)</f>
        <v>2E</v>
      </c>
      <c r="AU182" s="553"/>
      <c r="AV182" s="603" t="str">
        <f>VLOOKUP(AV180,Check2,6,FALSE)</f>
        <v>2D</v>
      </c>
      <c r="AW182" s="553"/>
      <c r="AX182" s="727" t="str">
        <f>VLOOKUP(AX180,Check2,6,FALSE)</f>
        <v>3A</v>
      </c>
      <c r="AY182" s="603" t="str">
        <f>VLOOKUP(AY180,Check2,6,FALSE)</f>
        <v>2C</v>
      </c>
      <c r="AZ182" s="553"/>
      <c r="BA182" s="603" t="str">
        <f>VLOOKUP(BA180,Check2,6,FALSE)</f>
        <v>2B</v>
      </c>
      <c r="BB182" s="553"/>
      <c r="BC182" s="829" t="str">
        <f>VLOOKUP(BC180,Check2,6,FALSE)</f>
        <v>2A</v>
      </c>
      <c r="BD182" s="746"/>
      <c r="BE182" s="568"/>
      <c r="BF182" s="568"/>
      <c r="BG182" s="746"/>
      <c r="BH182" s="1083"/>
      <c r="BI182" s="1083"/>
      <c r="BJ182" s="1083"/>
      <c r="BK182" s="572"/>
      <c r="BL182" s="555" t="s">
        <v>1</v>
      </c>
      <c r="BM182" s="545">
        <f t="shared" ref="BM182" si="1083">BM186+3.48</f>
        <v>30.880000000000003</v>
      </c>
      <c r="BN182" s="980"/>
      <c r="BO182" s="509"/>
      <c r="BP182" s="510" t="s">
        <v>1</v>
      </c>
    </row>
    <row r="183" spans="1:68" ht="25.5" x14ac:dyDescent="0.45">
      <c r="A183" s="957"/>
      <c r="B183" s="511" t="str">
        <f t="shared" ref="B183" si="1084">_xlfn.CONCAT("קומה ",B184)</f>
        <v>קומה 6</v>
      </c>
      <c r="C183" s="512" t="s">
        <v>0</v>
      </c>
      <c r="D183" s="556"/>
      <c r="E183" s="1080"/>
      <c r="F183" s="1080"/>
      <c r="G183" s="1080"/>
      <c r="H183" s="557"/>
      <c r="I183" s="557"/>
      <c r="J183" s="557"/>
      <c r="K183" s="557"/>
      <c r="L183" s="778">
        <f t="shared" ref="L183:M183" si="1085">L187+10</f>
        <v>41</v>
      </c>
      <c r="M183" s="514">
        <f t="shared" si="1085"/>
        <v>42</v>
      </c>
      <c r="N183" s="514"/>
      <c r="O183" s="540">
        <f t="shared" ref="O183:Q183" si="1086">O187+10</f>
        <v>43</v>
      </c>
      <c r="P183" s="540">
        <f t="shared" si="1086"/>
        <v>44</v>
      </c>
      <c r="Q183" s="514">
        <f t="shared" si="1086"/>
        <v>45</v>
      </c>
      <c r="R183" s="514"/>
      <c r="S183" s="514">
        <f t="shared" ref="S183" si="1087">S187+10</f>
        <v>46</v>
      </c>
      <c r="T183" s="514"/>
      <c r="U183" s="540">
        <f t="shared" ref="U183:V183" si="1088">U187+10</f>
        <v>47</v>
      </c>
      <c r="V183" s="514">
        <f t="shared" si="1088"/>
        <v>48</v>
      </c>
      <c r="W183" s="514"/>
      <c r="X183" s="514">
        <f t="shared" ref="X183" si="1089">X187+10</f>
        <v>49</v>
      </c>
      <c r="Y183" s="514"/>
      <c r="Z183" s="514">
        <f t="shared" si="995"/>
        <v>50</v>
      </c>
      <c r="AA183" s="463"/>
      <c r="AB183" s="1123" t="s">
        <v>1073</v>
      </c>
      <c r="AC183" s="464"/>
      <c r="AD183" s="464"/>
      <c r="AE183" s="464"/>
      <c r="AF183" s="464"/>
      <c r="AG183" s="464"/>
      <c r="AH183" s="464"/>
      <c r="AI183" s="464"/>
      <c r="AJ183" s="464"/>
      <c r="AK183" s="464"/>
      <c r="AL183" s="464"/>
      <c r="AM183" s="464"/>
      <c r="AN183" s="1125" t="s">
        <v>1073</v>
      </c>
      <c r="AO183" s="821">
        <f t="shared" ref="AO183:AP183" si="1090">AO187+10</f>
        <v>43</v>
      </c>
      <c r="AP183" s="578">
        <f t="shared" si="1090"/>
        <v>44</v>
      </c>
      <c r="AQ183" s="520"/>
      <c r="AR183" s="540">
        <f t="shared" ref="AR183:AT183" si="1091">AR187+10</f>
        <v>45</v>
      </c>
      <c r="AS183" s="540">
        <f t="shared" si="1091"/>
        <v>46</v>
      </c>
      <c r="AT183" s="578">
        <f t="shared" si="1091"/>
        <v>47</v>
      </c>
      <c r="AU183" s="520"/>
      <c r="AV183" s="578">
        <f t="shared" ref="AV183" si="1092">AV187+10</f>
        <v>48</v>
      </c>
      <c r="AW183" s="520"/>
      <c r="AX183" s="540">
        <f t="shared" ref="AX183:BA183" si="1093">AX187+10</f>
        <v>39</v>
      </c>
      <c r="AY183" s="578">
        <f t="shared" si="1093"/>
        <v>40</v>
      </c>
      <c r="AZ183" s="520"/>
      <c r="BA183" s="578">
        <f t="shared" si="1093"/>
        <v>41</v>
      </c>
      <c r="BB183" s="520"/>
      <c r="BC183" s="825">
        <f t="shared" ref="BC183" si="1094">BC187+10</f>
        <v>42</v>
      </c>
      <c r="BD183" s="733"/>
      <c r="BE183" s="557"/>
      <c r="BF183" s="557"/>
      <c r="BG183" s="733"/>
      <c r="BH183" s="1080"/>
      <c r="BI183" s="1080"/>
      <c r="BJ183" s="1080"/>
      <c r="BK183" s="559"/>
      <c r="BL183" s="522" t="s">
        <v>0</v>
      </c>
      <c r="BM183" s="511" t="str">
        <f t="shared" ref="BM183" si="1095">_xlfn.CONCAT("קומה ",BM184)</f>
        <v>קומה 6</v>
      </c>
      <c r="BN183" s="979"/>
      <c r="BO183" s="470"/>
      <c r="BP183" s="471" t="s">
        <v>0</v>
      </c>
    </row>
    <row r="184" spans="1:68" ht="21.75" hidden="1" x14ac:dyDescent="0.3">
      <c r="A184" s="957"/>
      <c r="B184" s="523">
        <f t="shared" ref="B184" si="1096">B188+1</f>
        <v>6</v>
      </c>
      <c r="C184" s="512" t="s">
        <v>89</v>
      </c>
      <c r="D184" s="560"/>
      <c r="E184" s="1078"/>
      <c r="F184" s="1078"/>
      <c r="G184" s="1078"/>
      <c r="H184" s="535"/>
      <c r="I184" s="535"/>
      <c r="J184" s="535"/>
      <c r="K184" s="535"/>
      <c r="L184" s="475" t="str">
        <f>VLOOKUP("*"&amp;L$5&amp;".Ap."&amp;L183,Check2,1,FALSE)</f>
        <v>S.S.2A.TS.Ap.41</v>
      </c>
      <c r="M184" s="525" t="str">
        <f>VLOOKUP("*"&amp;M$5&amp;".Ap."&amp;M183,Check2,1,FALSE)</f>
        <v>O.TM.S.2B.TS.Ap.42</v>
      </c>
      <c r="N184" s="525" t="str">
        <f t="shared" ref="N184" si="1097">M184</f>
        <v>O.TM.S.2B.TS.Ap.42</v>
      </c>
      <c r="O184" s="525" t="str">
        <f>VLOOKUP("*"&amp;O$5&amp;".Ap."&amp;O183,Check2,1,FALSE)</f>
        <v>O.S.2C.TS.Ap.43</v>
      </c>
      <c r="P184" s="525" t="str">
        <f>VLOOKUP("*"&amp;P$5&amp;".Ap."&amp;P183,Check2,1,FALSE)</f>
        <v>O.S.3A.TS.Ap.44</v>
      </c>
      <c r="Q184" s="525" t="str">
        <f>VLOOKUP("*"&amp;Q$5&amp;".Ap."&amp;Q183,Check2,1,FALSE)</f>
        <v>O.TM.S.2D.TS.Ap.45</v>
      </c>
      <c r="R184" s="525" t="str">
        <f t="shared" ref="R184" si="1098">Q184</f>
        <v>O.TM.S.2D.TS.Ap.45</v>
      </c>
      <c r="S184" s="525" t="str">
        <f>VLOOKUP("*"&amp;S$5&amp;".Ap."&amp;S183,Check2,1,FALSE)</f>
        <v>O.TM.S.2E.TS.Ap.46</v>
      </c>
      <c r="T184" s="525" t="str">
        <f t="shared" ref="T184" si="1099">S184</f>
        <v>O.TM.S.2E.TS.Ap.46</v>
      </c>
      <c r="U184" s="525" t="str">
        <f>VLOOKUP("*"&amp;U$5&amp;".Ap."&amp;U183,Check2,1,FALSE)</f>
        <v>S.S.2F.TS.Ap.47</v>
      </c>
      <c r="V184" s="525" t="str">
        <f>VLOOKUP("*"&amp;V$5&amp;".Ap."&amp;V183,Check2,1,FALSE)</f>
        <v>O.S.4A.TS.Ap.48</v>
      </c>
      <c r="W184" s="525" t="str">
        <f t="shared" ref="W184" si="1100">V184</f>
        <v>O.S.4A.TS.Ap.48</v>
      </c>
      <c r="X184" s="525" t="str">
        <f>VLOOKUP("*"&amp;X$5&amp;".Ap."&amp;X183,Check2,1,FALSE)</f>
        <v>V.GMS.S.2G.TS.Ap.49</v>
      </c>
      <c r="Y184" s="525" t="str">
        <f t="shared" ref="Y184" si="1101">X184</f>
        <v>V.GMS.S.2G.TS.Ap.49</v>
      </c>
      <c r="Z184" s="525" t="str">
        <f>VLOOKUP("*"&amp;Z$5&amp;".Ap."&amp;Z183,Check2,1,FALSE)</f>
        <v>O.S.4B.TS.Ap.50</v>
      </c>
      <c r="AA184" s="478" t="str">
        <f t="shared" si="724"/>
        <v>O.S.4B.TS.Ap.50</v>
      </c>
      <c r="AB184" s="1124"/>
      <c r="AC184" s="479"/>
      <c r="AD184" s="479"/>
      <c r="AE184" s="479"/>
      <c r="AF184" s="479"/>
      <c r="AG184" s="479"/>
      <c r="AH184" s="479"/>
      <c r="AI184" s="479"/>
      <c r="AJ184" s="479"/>
      <c r="AK184" s="479"/>
      <c r="AL184" s="479"/>
      <c r="AM184" s="479"/>
      <c r="AN184" s="1126"/>
      <c r="AO184" s="482" t="str">
        <f>VLOOKUP("*"&amp;AO$5&amp;".Ap."&amp;AO183,Check2,1,FALSE)</f>
        <v>S.S.4B.TN.Ap.43</v>
      </c>
      <c r="AP184" s="533" t="str">
        <f>VLOOKUP("*"&amp;AP$5&amp;".Ap."&amp;AP183,Check2,1,FALSE)</f>
        <v>S.S.2G.TN.Ap.44</v>
      </c>
      <c r="AQ184" s="477" t="str">
        <f t="shared" ref="AQ184" si="1102">AP184</f>
        <v>S.S.2G.TN.Ap.44</v>
      </c>
      <c r="AR184" s="525" t="str">
        <f>VLOOKUP("*"&amp;AR$5&amp;".Ap."&amp;AR183,Check2,1,FALSE)</f>
        <v>S.S.4A.TN.Ap.45</v>
      </c>
      <c r="AS184" s="525" t="str">
        <f>VLOOKUP("*"&amp;AS$5&amp;".Ap."&amp;AS183,Check2,1,FALSE)</f>
        <v>S.S.2F.TN.Ap.46</v>
      </c>
      <c r="AT184" s="533" t="str">
        <f>VLOOKUP("*"&amp;AT$5&amp;".Ap."&amp;AT183,Check2,1,FALSE)</f>
        <v>S.S.2E.TN.Ap.47</v>
      </c>
      <c r="AU184" s="477" t="str">
        <f t="shared" ref="AU184" si="1103">AT184</f>
        <v>S.S.2E.TN.Ap.47</v>
      </c>
      <c r="AV184" s="533" t="str">
        <f>VLOOKUP("*"&amp;AV$5&amp;".Ap."&amp;AV183,Check2,1,FALSE)</f>
        <v>S.S.2D.TN.Ap.48</v>
      </c>
      <c r="AW184" s="477" t="str">
        <f t="shared" ref="AW184" si="1104">AV184</f>
        <v>S.S.2D.TN.Ap.48</v>
      </c>
      <c r="AX184" s="525" t="str">
        <f>VLOOKUP("*"&amp;AX$5&amp;".Ap."&amp;AX183,Check2,1,FALSE)</f>
        <v>S.S.3A.TN.Ap.39</v>
      </c>
      <c r="AY184" s="533" t="str">
        <f>VLOOKUP("*"&amp;AY$5&amp;".Ap."&amp;AY183,Check2,1,FALSE)</f>
        <v>S.S.2C.TN.Ap.40</v>
      </c>
      <c r="AZ184" s="477" t="str">
        <f t="shared" ref="AZ184" si="1105">AY184</f>
        <v>S.S.2C.TN.Ap.40</v>
      </c>
      <c r="BA184" s="533" t="str">
        <f>VLOOKUP("*"&amp;BA$5&amp;".Ap."&amp;BA183,Check2,1,FALSE)</f>
        <v>S.S.2B.TN.Ap.41</v>
      </c>
      <c r="BB184" s="477" t="str">
        <f t="shared" ref="BB184" si="1106">BA184</f>
        <v>S.S.2B.TN.Ap.41</v>
      </c>
      <c r="BC184" s="826" t="str">
        <f>VLOOKUP("*"&amp;BC$5&amp;".Ap."&amp;BC183,Check2,1,FALSE)</f>
        <v>S.S.2A.TN.Ap.42</v>
      </c>
      <c r="BD184" s="744"/>
      <c r="BE184" s="535"/>
      <c r="BF184" s="535"/>
      <c r="BG184" s="744"/>
      <c r="BH184" s="1078"/>
      <c r="BI184" s="1078"/>
      <c r="BJ184" s="1078"/>
      <c r="BK184" s="561"/>
      <c r="BL184" s="522" t="s">
        <v>89</v>
      </c>
      <c r="BM184" s="523">
        <f t="shared" ref="BM184" si="1107">BM188+1</f>
        <v>6</v>
      </c>
      <c r="BN184" s="979"/>
      <c r="BO184" s="484"/>
      <c r="BP184" s="485" t="s">
        <v>89</v>
      </c>
    </row>
    <row r="185" spans="1:68" ht="21.75" x14ac:dyDescent="0.3">
      <c r="A185" s="957"/>
      <c r="B185" s="537"/>
      <c r="C185" s="538" t="s">
        <v>65</v>
      </c>
      <c r="D185" s="562"/>
      <c r="E185" s="1078"/>
      <c r="F185" s="1078"/>
      <c r="G185" s="1078"/>
      <c r="H185" s="563"/>
      <c r="I185" s="563"/>
      <c r="J185" s="563"/>
      <c r="K185" s="563"/>
      <c r="L185" s="788">
        <f>VLOOKUP(L184,Check2,5,FALSE)</f>
        <v>601</v>
      </c>
      <c r="M185" s="539">
        <f>VLOOKUP(M184,Check2,5,FALSE)</f>
        <v>602</v>
      </c>
      <c r="N185" s="539"/>
      <c r="O185" s="724">
        <f>VLOOKUP(O184,Check2,5,FALSE)</f>
        <v>603</v>
      </c>
      <c r="P185" s="724">
        <f>VLOOKUP(P184,Check2,5,FALSE)</f>
        <v>604</v>
      </c>
      <c r="Q185" s="539">
        <f>VLOOKUP(Q184,Check2,5,FALSE)</f>
        <v>605</v>
      </c>
      <c r="R185" s="539"/>
      <c r="S185" s="539">
        <f>VLOOKUP(S184,Check2,5,FALSE)</f>
        <v>606</v>
      </c>
      <c r="T185" s="539"/>
      <c r="U185" s="724">
        <f>VLOOKUP(U184,Check2,5,FALSE)</f>
        <v>607</v>
      </c>
      <c r="V185" s="539">
        <f>VLOOKUP(V184,Check2,5,FALSE)</f>
        <v>608</v>
      </c>
      <c r="W185" s="539"/>
      <c r="X185" s="539">
        <f>VLOOKUP(X184,Check2,5,FALSE)</f>
        <v>609</v>
      </c>
      <c r="Y185" s="539"/>
      <c r="Z185" s="539">
        <f>VLOOKUP(Z184,Check2,5,FALSE)</f>
        <v>610</v>
      </c>
      <c r="AA185" s="491"/>
      <c r="AB185" s="1124"/>
      <c r="AC185" s="449"/>
      <c r="AD185" s="449"/>
      <c r="AE185" s="449"/>
      <c r="AF185" s="449"/>
      <c r="AG185" s="449"/>
      <c r="AH185" s="449"/>
      <c r="AI185" s="449"/>
      <c r="AJ185" s="449"/>
      <c r="AK185" s="449"/>
      <c r="AL185" s="449"/>
      <c r="AM185" s="449"/>
      <c r="AN185" s="1126"/>
      <c r="AO185" s="822">
        <f>VLOOKUP(AO184,Check2,5,FALSE)</f>
        <v>602</v>
      </c>
      <c r="AP185" s="589">
        <f>VLOOKUP(AP184,Check2,5,FALSE)</f>
        <v>603</v>
      </c>
      <c r="AQ185" s="543"/>
      <c r="AR185" s="724">
        <f>VLOOKUP(AR184,Check2,5,FALSE)</f>
        <v>604</v>
      </c>
      <c r="AS185" s="724">
        <f>VLOOKUP(AS184,Check2,5,FALSE)</f>
        <v>605</v>
      </c>
      <c r="AT185" s="589">
        <f>VLOOKUP(AT184,Check2,5,FALSE)</f>
        <v>606</v>
      </c>
      <c r="AU185" s="543"/>
      <c r="AV185" s="589">
        <f>VLOOKUP(AV184,Check2,5,FALSE)</f>
        <v>607</v>
      </c>
      <c r="AW185" s="543"/>
      <c r="AX185" s="724">
        <f>VLOOKUP(AX184,Check2,5,FALSE)</f>
        <v>608</v>
      </c>
      <c r="AY185" s="589">
        <f>VLOOKUP(AY184,Check2,5,FALSE)</f>
        <v>609</v>
      </c>
      <c r="AZ185" s="543"/>
      <c r="BA185" s="589">
        <f>VLOOKUP(BA184,Check2,5,FALSE)</f>
        <v>610</v>
      </c>
      <c r="BB185" s="543"/>
      <c r="BC185" s="827">
        <f>VLOOKUP(BC184,Check2,5,FALSE)</f>
        <v>601</v>
      </c>
      <c r="BD185" s="745"/>
      <c r="BE185" s="563"/>
      <c r="BF185" s="563"/>
      <c r="BG185" s="745"/>
      <c r="BH185" s="1078"/>
      <c r="BI185" s="1078"/>
      <c r="BJ185" s="1078"/>
      <c r="BK185" s="564"/>
      <c r="BL185" s="544" t="s">
        <v>65</v>
      </c>
      <c r="BM185" s="537"/>
      <c r="BN185" s="979"/>
      <c r="BO185" s="434"/>
      <c r="BP185" s="496" t="s">
        <v>1078</v>
      </c>
    </row>
    <row r="186" spans="1:68" ht="22.5" thickBot="1" x14ac:dyDescent="0.45">
      <c r="A186" s="958"/>
      <c r="B186" s="545">
        <f t="shared" ref="B186" si="1108">B190+3.48</f>
        <v>27.400000000000002</v>
      </c>
      <c r="C186" s="546" t="s">
        <v>1</v>
      </c>
      <c r="D186" s="567"/>
      <c r="E186" s="1079"/>
      <c r="F186" s="1079"/>
      <c r="G186" s="1079"/>
      <c r="H186" s="568"/>
      <c r="I186" s="568"/>
      <c r="J186" s="568"/>
      <c r="K186" s="568"/>
      <c r="L186" s="790" t="str">
        <f>VLOOKUP(L184,Check2,6,FALSE)</f>
        <v>2A</v>
      </c>
      <c r="M186" s="548" t="str">
        <f>VLOOKUP(M184,Check2,6,FALSE)</f>
        <v>2B</v>
      </c>
      <c r="N186" s="548"/>
      <c r="O186" s="727" t="str">
        <f>VLOOKUP(O184,Check2,6,FALSE)</f>
        <v>2C</v>
      </c>
      <c r="P186" s="727" t="str">
        <f>VLOOKUP(P184,Check2,6,FALSE)</f>
        <v>3A</v>
      </c>
      <c r="Q186" s="548" t="str">
        <f>VLOOKUP(Q184,Check2,6,FALSE)</f>
        <v>2D</v>
      </c>
      <c r="R186" s="548"/>
      <c r="S186" s="548" t="str">
        <f>VLOOKUP(S184,Check2,6,FALSE)</f>
        <v>2E</v>
      </c>
      <c r="T186" s="548"/>
      <c r="U186" s="727" t="str">
        <f>VLOOKUP(U184,Check2,6,FALSE)</f>
        <v>2F</v>
      </c>
      <c r="V186" s="548" t="str">
        <f>VLOOKUP(V184,Check2,6,FALSE)</f>
        <v>4A</v>
      </c>
      <c r="W186" s="548"/>
      <c r="X186" s="548" t="str">
        <f>VLOOKUP(X184,Check2,6,FALSE)</f>
        <v>2G</v>
      </c>
      <c r="Y186" s="548"/>
      <c r="Z186" s="548" t="str">
        <f>VLOOKUP(Z184,Check2,6,FALSE)</f>
        <v>4B</v>
      </c>
      <c r="AA186" s="615"/>
      <c r="AB186" s="1124"/>
      <c r="AC186" s="503"/>
      <c r="AD186" s="503"/>
      <c r="AE186" s="503"/>
      <c r="AF186" s="503"/>
      <c r="AG186" s="503"/>
      <c r="AH186" s="503"/>
      <c r="AI186" s="503"/>
      <c r="AJ186" s="503"/>
      <c r="AK186" s="503"/>
      <c r="AL186" s="503"/>
      <c r="AM186" s="503"/>
      <c r="AN186" s="1126"/>
      <c r="AO186" s="828" t="str">
        <f>VLOOKUP(AO184,Check2,6,FALSE)</f>
        <v>4B</v>
      </c>
      <c r="AP186" s="603" t="str">
        <f>VLOOKUP(AP184,Check2,6,FALSE)</f>
        <v>2G</v>
      </c>
      <c r="AQ186" s="553"/>
      <c r="AR186" s="727" t="str">
        <f>VLOOKUP(AR184,Check2,6,FALSE)</f>
        <v>4A</v>
      </c>
      <c r="AS186" s="727" t="str">
        <f>VLOOKUP(AS184,Check2,6,FALSE)</f>
        <v>2F</v>
      </c>
      <c r="AT186" s="603" t="str">
        <f>VLOOKUP(AT184,Check2,6,FALSE)</f>
        <v>2E</v>
      </c>
      <c r="AU186" s="553"/>
      <c r="AV186" s="603" t="str">
        <f>VLOOKUP(AV184,Check2,6,FALSE)</f>
        <v>2D</v>
      </c>
      <c r="AW186" s="553"/>
      <c r="AX186" s="727" t="str">
        <f>VLOOKUP(AX184,Check2,6,FALSE)</f>
        <v>3A</v>
      </c>
      <c r="AY186" s="603" t="str">
        <f>VLOOKUP(AY184,Check2,6,FALSE)</f>
        <v>2C</v>
      </c>
      <c r="AZ186" s="553"/>
      <c r="BA186" s="603" t="str">
        <f>VLOOKUP(BA184,Check2,6,FALSE)</f>
        <v>2B</v>
      </c>
      <c r="BB186" s="553"/>
      <c r="BC186" s="829" t="str">
        <f>VLOOKUP(BC184,Check2,6,FALSE)</f>
        <v>2A</v>
      </c>
      <c r="BD186" s="746"/>
      <c r="BE186" s="568"/>
      <c r="BF186" s="568"/>
      <c r="BG186" s="746"/>
      <c r="BH186" s="1079"/>
      <c r="BI186" s="1079"/>
      <c r="BJ186" s="1079"/>
      <c r="BK186" s="572"/>
      <c r="BL186" s="555" t="s">
        <v>1</v>
      </c>
      <c r="BM186" s="545">
        <f t="shared" ref="BM186" si="1109">BM190+3.48</f>
        <v>27.400000000000002</v>
      </c>
      <c r="BN186" s="980"/>
      <c r="BO186" s="509"/>
      <c r="BP186" s="510" t="s">
        <v>1</v>
      </c>
    </row>
    <row r="187" spans="1:68" ht="25.5" x14ac:dyDescent="0.45">
      <c r="A187" s="957"/>
      <c r="B187" s="511" t="str">
        <f t="shared" ref="B187" si="1110">_xlfn.CONCAT("קומה ",B188)</f>
        <v>קומה 5</v>
      </c>
      <c r="C187" s="512" t="s">
        <v>0</v>
      </c>
      <c r="D187" s="556"/>
      <c r="E187" s="1080"/>
      <c r="F187" s="1080"/>
      <c r="G187" s="1080"/>
      <c r="H187" s="557"/>
      <c r="I187" s="557"/>
      <c r="J187" s="557"/>
      <c r="K187" s="557"/>
      <c r="L187" s="778">
        <f t="shared" ref="L187:M187" si="1111">L191+10</f>
        <v>31</v>
      </c>
      <c r="M187" s="514">
        <f t="shared" si="1111"/>
        <v>32</v>
      </c>
      <c r="N187" s="514"/>
      <c r="O187" s="540">
        <f t="shared" ref="O187:Q187" si="1112">O191+10</f>
        <v>33</v>
      </c>
      <c r="P187" s="540">
        <f t="shared" si="1112"/>
        <v>34</v>
      </c>
      <c r="Q187" s="514">
        <f t="shared" si="1112"/>
        <v>35</v>
      </c>
      <c r="R187" s="514"/>
      <c r="S187" s="514">
        <f t="shared" ref="S187" si="1113">S191+10</f>
        <v>36</v>
      </c>
      <c r="T187" s="514"/>
      <c r="U187" s="540">
        <f t="shared" ref="U187:V187" si="1114">U191+10</f>
        <v>37</v>
      </c>
      <c r="V187" s="514">
        <f t="shared" si="1114"/>
        <v>38</v>
      </c>
      <c r="W187" s="514"/>
      <c r="X187" s="514">
        <f t="shared" ref="X187" si="1115">X191+10</f>
        <v>39</v>
      </c>
      <c r="Y187" s="514"/>
      <c r="Z187" s="514">
        <f t="shared" ref="Z187" si="1116">Z191+10</f>
        <v>40</v>
      </c>
      <c r="AA187" s="463"/>
      <c r="AB187" s="1124"/>
      <c r="AC187" s="464"/>
      <c r="AD187" s="464"/>
      <c r="AE187" s="464"/>
      <c r="AF187" s="464"/>
      <c r="AG187" s="464"/>
      <c r="AH187" s="464"/>
      <c r="AI187" s="464"/>
      <c r="AJ187" s="464"/>
      <c r="AK187" s="464"/>
      <c r="AL187" s="464"/>
      <c r="AM187" s="464"/>
      <c r="AN187" s="1126"/>
      <c r="AO187" s="821">
        <f t="shared" ref="AO187:AP187" si="1117">AO191+10</f>
        <v>33</v>
      </c>
      <c r="AP187" s="578">
        <f t="shared" si="1117"/>
        <v>34</v>
      </c>
      <c r="AQ187" s="520"/>
      <c r="AR187" s="540">
        <f t="shared" ref="AR187:AT187" si="1118">AR191+10</f>
        <v>35</v>
      </c>
      <c r="AS187" s="540">
        <f t="shared" si="1118"/>
        <v>36</v>
      </c>
      <c r="AT187" s="578">
        <f t="shared" si="1118"/>
        <v>37</v>
      </c>
      <c r="AU187" s="520"/>
      <c r="AV187" s="578">
        <f t="shared" ref="AV187" si="1119">AV191+10</f>
        <v>38</v>
      </c>
      <c r="AW187" s="520"/>
      <c r="AX187" s="540">
        <f t="shared" ref="AX187:BA187" si="1120">AX191+10</f>
        <v>29</v>
      </c>
      <c r="AY187" s="578">
        <f t="shared" si="1120"/>
        <v>30</v>
      </c>
      <c r="AZ187" s="520"/>
      <c r="BA187" s="578">
        <f t="shared" si="1120"/>
        <v>31</v>
      </c>
      <c r="BB187" s="520"/>
      <c r="BC187" s="825">
        <f t="shared" ref="BC187" si="1121">BC191+10</f>
        <v>32</v>
      </c>
      <c r="BD187" s="733"/>
      <c r="BE187" s="557"/>
      <c r="BF187" s="557"/>
      <c r="BG187" s="733"/>
      <c r="BH187" s="1080"/>
      <c r="BI187" s="1080"/>
      <c r="BJ187" s="1080"/>
      <c r="BK187" s="559"/>
      <c r="BL187" s="522" t="s">
        <v>0</v>
      </c>
      <c r="BM187" s="511" t="str">
        <f t="shared" ref="BM187" si="1122">_xlfn.CONCAT("קומה ",BM188)</f>
        <v>קומה 5</v>
      </c>
      <c r="BN187" s="979"/>
      <c r="BO187" s="470"/>
      <c r="BP187" s="471" t="s">
        <v>0</v>
      </c>
    </row>
    <row r="188" spans="1:68" ht="21.75" hidden="1" x14ac:dyDescent="0.3">
      <c r="A188" s="957"/>
      <c r="B188" s="523">
        <f t="shared" ref="B188" si="1123">B192+1</f>
        <v>5</v>
      </c>
      <c r="C188" s="512" t="s">
        <v>89</v>
      </c>
      <c r="D188" s="560"/>
      <c r="E188" s="1078"/>
      <c r="F188" s="1078"/>
      <c r="G188" s="1078"/>
      <c r="H188" s="535"/>
      <c r="I188" s="535"/>
      <c r="J188" s="535"/>
      <c r="K188" s="535"/>
      <c r="L188" s="475" t="str">
        <f>VLOOKUP("*"&amp;L$5&amp;".Ap."&amp;L187,Check2,1,FALSE)</f>
        <v>O.S.2A.TS.Ap.31</v>
      </c>
      <c r="M188" s="525" t="str">
        <f>VLOOKUP("*"&amp;M$5&amp;".Ap."&amp;M187,Check2,1,FALSE)</f>
        <v>O.TM.S.2B.TS.Ap.32</v>
      </c>
      <c r="N188" s="525" t="str">
        <f t="shared" ref="N188" si="1124">M188</f>
        <v>O.TM.S.2B.TS.Ap.32</v>
      </c>
      <c r="O188" s="525" t="str">
        <f>VLOOKUP("*"&amp;O$5&amp;".Ap."&amp;O187,Check2,1,FALSE)</f>
        <v>O.S.2C.TS.Ap.33</v>
      </c>
      <c r="P188" s="525" t="str">
        <f>VLOOKUP("*"&amp;P$5&amp;".Ap."&amp;P187,Check2,1,FALSE)</f>
        <v>O.TM.S.3A.TS.Ap.34</v>
      </c>
      <c r="Q188" s="525" t="str">
        <f>VLOOKUP("*"&amp;Q$5&amp;".Ap."&amp;Q187,Check2,1,FALSE)</f>
        <v>S.TM.S.2D.TS.Ap.35</v>
      </c>
      <c r="R188" s="525" t="str">
        <f t="shared" ref="R188" si="1125">Q188</f>
        <v>S.TM.S.2D.TS.Ap.35</v>
      </c>
      <c r="S188" s="525" t="str">
        <f>VLOOKUP("*"&amp;S$5&amp;".Ap."&amp;S187,Check2,1,FALSE)</f>
        <v>S.TM.S.2E.TS.Ap.36</v>
      </c>
      <c r="T188" s="525" t="str">
        <f t="shared" ref="T188" si="1126">S188</f>
        <v>S.TM.S.2E.TS.Ap.36</v>
      </c>
      <c r="U188" s="525" t="str">
        <f>VLOOKUP("*"&amp;U$5&amp;".Ap."&amp;U187,Check2,1,FALSE)</f>
        <v>O.S.2F.TS.Ap.37</v>
      </c>
      <c r="V188" s="525" t="str">
        <f>VLOOKUP("*"&amp;V$5&amp;".Ap."&amp;V187,Check2,1,FALSE)</f>
        <v>V.GMS.S.4A.TS.Ap.38</v>
      </c>
      <c r="W188" s="525" t="str">
        <f t="shared" ref="W188" si="1127">V188</f>
        <v>V.GMS.S.4A.TS.Ap.38</v>
      </c>
      <c r="X188" s="525" t="str">
        <f>VLOOKUP("*"&amp;X$5&amp;".Ap."&amp;X187,Check2,1,FALSE)</f>
        <v>O.TM.S.2G.TS.Ap.39</v>
      </c>
      <c r="Y188" s="525" t="str">
        <f t="shared" ref="Y188" si="1128">X188</f>
        <v>O.TM.S.2G.TS.Ap.39</v>
      </c>
      <c r="Z188" s="525" t="str">
        <f>VLOOKUP("*"&amp;Z$5&amp;".Ap."&amp;Z187,Check2,1,FALSE)</f>
        <v>V.GMS.S.4B.TS.Ap.40</v>
      </c>
      <c r="AA188" s="478" t="str">
        <f t="shared" ref="AA188" si="1129">Z188</f>
        <v>V.GMS.S.4B.TS.Ap.40</v>
      </c>
      <c r="AB188" s="1124"/>
      <c r="AC188" s="479"/>
      <c r="AD188" s="479"/>
      <c r="AE188" s="479"/>
      <c r="AF188" s="479"/>
      <c r="AG188" s="479"/>
      <c r="AH188" s="479"/>
      <c r="AI188" s="479"/>
      <c r="AJ188" s="479"/>
      <c r="AK188" s="479"/>
      <c r="AL188" s="479"/>
      <c r="AM188" s="479"/>
      <c r="AN188" s="1126"/>
      <c r="AO188" s="482" t="str">
        <f>VLOOKUP("*"&amp;AO$5&amp;".Ap."&amp;AO187,Check2,1,FALSE)</f>
        <v>S.S.4B.TN.Ap.33</v>
      </c>
      <c r="AP188" s="533" t="str">
        <f>VLOOKUP("*"&amp;AP$5&amp;".Ap."&amp;AP187,Check2,1,FALSE)</f>
        <v>O.S.2G.TN.Ap.34</v>
      </c>
      <c r="AQ188" s="477" t="str">
        <f t="shared" ref="AQ188" si="1130">AP188</f>
        <v>O.S.2G.TN.Ap.34</v>
      </c>
      <c r="AR188" s="525" t="str">
        <f>VLOOKUP("*"&amp;AR$5&amp;".Ap."&amp;AR187,Check2,1,FALSE)</f>
        <v>S.S.4A.TN.Ap.35</v>
      </c>
      <c r="AS188" s="525" t="str">
        <f>VLOOKUP("*"&amp;AS$5&amp;".Ap."&amp;AS187,Check2,1,FALSE)</f>
        <v>O.S.2F.TN.Ap.36</v>
      </c>
      <c r="AT188" s="533" t="str">
        <f>VLOOKUP("*"&amp;AT$5&amp;".Ap."&amp;AT187,Check2,1,FALSE)</f>
        <v>S.S.2E.TN.Ap.37</v>
      </c>
      <c r="AU188" s="477" t="str">
        <f t="shared" ref="AU188" si="1131">AT188</f>
        <v>S.S.2E.TN.Ap.37</v>
      </c>
      <c r="AV188" s="533" t="str">
        <f>VLOOKUP("*"&amp;AV$5&amp;".Ap."&amp;AV187,Check2,1,FALSE)</f>
        <v>S.S.2D.TN.Ap.38</v>
      </c>
      <c r="AW188" s="477" t="str">
        <f t="shared" ref="AW188" si="1132">AV188</f>
        <v>S.S.2D.TN.Ap.38</v>
      </c>
      <c r="AX188" s="525" t="str">
        <f>VLOOKUP("*"&amp;AX$5&amp;".Ap."&amp;AX187,Check2,1,FALSE)</f>
        <v>S.S.3A.TN.Ap.29</v>
      </c>
      <c r="AY188" s="533" t="str">
        <f>VLOOKUP("*"&amp;AY$5&amp;".Ap."&amp;AY187,Check2,1,FALSE)</f>
        <v>O.S.2C.TN.Ap.30</v>
      </c>
      <c r="AZ188" s="477" t="str">
        <f t="shared" ref="AZ188" si="1133">AY188</f>
        <v>O.S.2C.TN.Ap.30</v>
      </c>
      <c r="BA188" s="533" t="str">
        <f>VLOOKUP("*"&amp;BA$5&amp;".Ap."&amp;BA187,Check2,1,FALSE)</f>
        <v>S.S.2B.TN.Ap.31</v>
      </c>
      <c r="BB188" s="477" t="str">
        <f t="shared" ref="BB188" si="1134">BA188</f>
        <v>S.S.2B.TN.Ap.31</v>
      </c>
      <c r="BC188" s="826" t="str">
        <f>VLOOKUP("*"&amp;BC$5&amp;".Ap."&amp;BC187,Check2,1,FALSE)</f>
        <v>O.S.2A.TN.Ap.32</v>
      </c>
      <c r="BD188" s="744"/>
      <c r="BE188" s="535"/>
      <c r="BF188" s="535"/>
      <c r="BG188" s="744"/>
      <c r="BH188" s="1078"/>
      <c r="BI188" s="1078"/>
      <c r="BJ188" s="1078"/>
      <c r="BK188" s="561"/>
      <c r="BL188" s="522" t="s">
        <v>89</v>
      </c>
      <c r="BM188" s="523">
        <f t="shared" ref="BM188" si="1135">BM192+1</f>
        <v>5</v>
      </c>
      <c r="BN188" s="979"/>
      <c r="BO188" s="484"/>
      <c r="BP188" s="485" t="s">
        <v>89</v>
      </c>
    </row>
    <row r="189" spans="1:68" ht="21.75" x14ac:dyDescent="0.3">
      <c r="A189" s="957"/>
      <c r="B189" s="537"/>
      <c r="C189" s="538" t="s">
        <v>65</v>
      </c>
      <c r="D189" s="562"/>
      <c r="E189" s="1078"/>
      <c r="F189" s="1078"/>
      <c r="G189" s="1078"/>
      <c r="H189" s="563"/>
      <c r="I189" s="563"/>
      <c r="J189" s="563"/>
      <c r="K189" s="563"/>
      <c r="L189" s="788">
        <f>VLOOKUP(L188,Check2,5,FALSE)</f>
        <v>501</v>
      </c>
      <c r="M189" s="539">
        <f>VLOOKUP(M188,Check2,5,FALSE)</f>
        <v>502</v>
      </c>
      <c r="N189" s="539"/>
      <c r="O189" s="724">
        <f>VLOOKUP(O188,Check2,5,FALSE)</f>
        <v>503</v>
      </c>
      <c r="P189" s="724">
        <f>VLOOKUP(P188,Check2,5,FALSE)</f>
        <v>504</v>
      </c>
      <c r="Q189" s="539">
        <f>VLOOKUP(Q188,Check2,5,FALSE)</f>
        <v>505</v>
      </c>
      <c r="R189" s="539"/>
      <c r="S189" s="539">
        <f>VLOOKUP(S188,Check2,5,FALSE)</f>
        <v>506</v>
      </c>
      <c r="T189" s="539"/>
      <c r="U189" s="724">
        <f>VLOOKUP(U188,Check2,5,FALSE)</f>
        <v>507</v>
      </c>
      <c r="V189" s="539">
        <f>VLOOKUP(V188,Check2,5,FALSE)</f>
        <v>508</v>
      </c>
      <c r="W189" s="539"/>
      <c r="X189" s="539">
        <f>VLOOKUP(X188,Check2,5,FALSE)</f>
        <v>509</v>
      </c>
      <c r="Y189" s="539"/>
      <c r="Z189" s="539">
        <f>VLOOKUP(Z188,Check2,5,FALSE)</f>
        <v>510</v>
      </c>
      <c r="AA189" s="491"/>
      <c r="AB189" s="1124"/>
      <c r="AC189" s="449"/>
      <c r="AD189" s="449"/>
      <c r="AE189" s="449"/>
      <c r="AF189" s="449"/>
      <c r="AG189" s="449"/>
      <c r="AH189" s="449"/>
      <c r="AI189" s="449"/>
      <c r="AJ189" s="449"/>
      <c r="AK189" s="449"/>
      <c r="AL189" s="449"/>
      <c r="AM189" s="449"/>
      <c r="AN189" s="1126"/>
      <c r="AO189" s="822">
        <f>VLOOKUP(AO188,Check2,5,FALSE)</f>
        <v>502</v>
      </c>
      <c r="AP189" s="589">
        <f>VLOOKUP(AP188,Check2,5,FALSE)</f>
        <v>503</v>
      </c>
      <c r="AQ189" s="543"/>
      <c r="AR189" s="724">
        <f>VLOOKUP(AR188,Check2,5,FALSE)</f>
        <v>504</v>
      </c>
      <c r="AS189" s="724">
        <f>VLOOKUP(AS188,Check2,5,FALSE)</f>
        <v>505</v>
      </c>
      <c r="AT189" s="589">
        <f>VLOOKUP(AT188,Check2,5,FALSE)</f>
        <v>506</v>
      </c>
      <c r="AU189" s="543"/>
      <c r="AV189" s="589">
        <f>VLOOKUP(AV188,Check2,5,FALSE)</f>
        <v>507</v>
      </c>
      <c r="AW189" s="543"/>
      <c r="AX189" s="724">
        <f>VLOOKUP(AX188,Check2,5,FALSE)</f>
        <v>508</v>
      </c>
      <c r="AY189" s="589">
        <f>VLOOKUP(AY188,Check2,5,FALSE)</f>
        <v>509</v>
      </c>
      <c r="AZ189" s="543"/>
      <c r="BA189" s="589">
        <f>VLOOKUP(BA188,Check2,5,FALSE)</f>
        <v>510</v>
      </c>
      <c r="BB189" s="543"/>
      <c r="BC189" s="827">
        <f>VLOOKUP(BC188,Check2,5,FALSE)</f>
        <v>501</v>
      </c>
      <c r="BD189" s="745"/>
      <c r="BE189" s="563"/>
      <c r="BF189" s="563"/>
      <c r="BG189" s="745"/>
      <c r="BH189" s="1078"/>
      <c r="BI189" s="1078"/>
      <c r="BJ189" s="1078"/>
      <c r="BK189" s="564"/>
      <c r="BL189" s="544" t="s">
        <v>65</v>
      </c>
      <c r="BM189" s="537"/>
      <c r="BN189" s="979"/>
      <c r="BO189" s="434"/>
      <c r="BP189" s="496" t="s">
        <v>1078</v>
      </c>
    </row>
    <row r="190" spans="1:68" ht="22.5" thickBot="1" x14ac:dyDescent="0.45">
      <c r="A190" s="958"/>
      <c r="B190" s="545">
        <f t="shared" ref="B190" si="1136">B194+3.48</f>
        <v>23.92</v>
      </c>
      <c r="C190" s="546" t="s">
        <v>1</v>
      </c>
      <c r="D190" s="567"/>
      <c r="E190" s="1079"/>
      <c r="F190" s="1079"/>
      <c r="G190" s="1079"/>
      <c r="H190" s="568"/>
      <c r="I190" s="568"/>
      <c r="J190" s="568"/>
      <c r="K190" s="568"/>
      <c r="L190" s="790" t="str">
        <f>VLOOKUP(L188,Check2,6,FALSE)</f>
        <v>2A</v>
      </c>
      <c r="M190" s="548" t="str">
        <f>VLOOKUP(M188,Check2,6,FALSE)</f>
        <v>2B</v>
      </c>
      <c r="N190" s="548"/>
      <c r="O190" s="727" t="str">
        <f>VLOOKUP(O188,Check2,6,FALSE)</f>
        <v>2C</v>
      </c>
      <c r="P190" s="727" t="str">
        <f>VLOOKUP(P188,Check2,6,FALSE)</f>
        <v>3A</v>
      </c>
      <c r="Q190" s="548" t="str">
        <f>VLOOKUP(Q188,Check2,6,FALSE)</f>
        <v>2D</v>
      </c>
      <c r="R190" s="548"/>
      <c r="S190" s="548" t="str">
        <f>VLOOKUP(S188,Check2,6,FALSE)</f>
        <v>2E</v>
      </c>
      <c r="T190" s="548"/>
      <c r="U190" s="830" t="str">
        <f>VLOOKUP(U188,Check2,6,FALSE)</f>
        <v>2F</v>
      </c>
      <c r="V190" s="831" t="str">
        <f>VLOOKUP(V188,Check2,6,FALSE)</f>
        <v>4A</v>
      </c>
      <c r="W190" s="831"/>
      <c r="X190" s="831" t="str">
        <f>VLOOKUP(X188,Check2,6,FALSE)</f>
        <v>2G</v>
      </c>
      <c r="Y190" s="831"/>
      <c r="Z190" s="831" t="str">
        <f>VLOOKUP(Z188,Check2,6,FALSE)</f>
        <v>4B</v>
      </c>
      <c r="AA190" s="832"/>
      <c r="AB190" s="833"/>
      <c r="AC190" s="834"/>
      <c r="AD190" s="834"/>
      <c r="AE190" s="834"/>
      <c r="AF190" s="834"/>
      <c r="AG190" s="834"/>
      <c r="AH190" s="834"/>
      <c r="AI190" s="834"/>
      <c r="AJ190" s="834"/>
      <c r="AK190" s="834"/>
      <c r="AL190" s="834"/>
      <c r="AM190" s="834"/>
      <c r="AN190" s="835"/>
      <c r="AO190" s="836" t="str">
        <f>VLOOKUP(AO188,Check2,6,FALSE)</f>
        <v>4B</v>
      </c>
      <c r="AP190" s="837" t="str">
        <f>VLOOKUP(AP188,Check2,6,FALSE)</f>
        <v>2G</v>
      </c>
      <c r="AQ190" s="838"/>
      <c r="AR190" s="830" t="str">
        <f>VLOOKUP(AR188,Check2,6,FALSE)</f>
        <v>4A</v>
      </c>
      <c r="AS190" s="830" t="str">
        <f>VLOOKUP(AS188,Check2,6,FALSE)</f>
        <v>2F</v>
      </c>
      <c r="AT190" s="603" t="str">
        <f>VLOOKUP(AT188,Check2,6,FALSE)</f>
        <v>2E</v>
      </c>
      <c r="AU190" s="553"/>
      <c r="AV190" s="603" t="str">
        <f>VLOOKUP(AV188,Check2,6,FALSE)</f>
        <v>2D</v>
      </c>
      <c r="AW190" s="553"/>
      <c r="AX190" s="727" t="str">
        <f>VLOOKUP(AX188,Check2,6,FALSE)</f>
        <v>3A</v>
      </c>
      <c r="AY190" s="603" t="str">
        <f>VLOOKUP(AY188,Check2,6,FALSE)</f>
        <v>2C</v>
      </c>
      <c r="AZ190" s="553"/>
      <c r="BA190" s="603" t="str">
        <f>VLOOKUP(BA188,Check2,6,FALSE)</f>
        <v>2B</v>
      </c>
      <c r="BB190" s="553"/>
      <c r="BC190" s="829" t="str">
        <f>VLOOKUP(BC188,Check2,6,FALSE)</f>
        <v>2A</v>
      </c>
      <c r="BD190" s="746"/>
      <c r="BE190" s="568"/>
      <c r="BF190" s="568"/>
      <c r="BG190" s="746"/>
      <c r="BH190" s="1079"/>
      <c r="BI190" s="1079"/>
      <c r="BJ190" s="1079"/>
      <c r="BK190" s="572"/>
      <c r="BL190" s="555" t="s">
        <v>1</v>
      </c>
      <c r="BM190" s="545">
        <f t="shared" ref="BM190" si="1137">BM194+3.48</f>
        <v>23.92</v>
      </c>
      <c r="BN190" s="980"/>
      <c r="BO190" s="509"/>
      <c r="BP190" s="510" t="s">
        <v>1</v>
      </c>
    </row>
    <row r="191" spans="1:68" ht="26.25" thickTop="1" x14ac:dyDescent="0.45">
      <c r="A191" s="957"/>
      <c r="B191" s="839" t="str">
        <f>_xlfn.CONCAT("קומה ",B192)</f>
        <v>קומה 4</v>
      </c>
      <c r="C191" s="512" t="s">
        <v>0</v>
      </c>
      <c r="D191" s="556"/>
      <c r="E191" s="1081" t="s">
        <v>1076</v>
      </c>
      <c r="F191" s="1081" t="s">
        <v>1076</v>
      </c>
      <c r="G191" s="1081" t="s">
        <v>1076</v>
      </c>
      <c r="H191" s="557"/>
      <c r="I191" s="557"/>
      <c r="J191" s="557"/>
      <c r="K191" s="557"/>
      <c r="L191" s="778">
        <f>L195+10</f>
        <v>21</v>
      </c>
      <c r="M191" s="514">
        <f>M195+10</f>
        <v>22</v>
      </c>
      <c r="N191" s="514"/>
      <c r="O191" s="540">
        <f>O195+10</f>
        <v>23</v>
      </c>
      <c r="P191" s="540">
        <f>P195+10</f>
        <v>24</v>
      </c>
      <c r="Q191" s="514">
        <f>Q195+10</f>
        <v>25</v>
      </c>
      <c r="R191" s="514"/>
      <c r="S191" s="514">
        <f>S195+10</f>
        <v>26</v>
      </c>
      <c r="T191" s="514"/>
      <c r="U191" s="540">
        <f>U195+10</f>
        <v>27</v>
      </c>
      <c r="V191" s="514">
        <f>V195+10</f>
        <v>28</v>
      </c>
      <c r="W191" s="514"/>
      <c r="X191" s="514">
        <f>X195+10</f>
        <v>29</v>
      </c>
      <c r="Y191" s="514"/>
      <c r="Z191" s="514">
        <f>Z195+10</f>
        <v>30</v>
      </c>
      <c r="AA191" s="463"/>
      <c r="AB191" s="1127" t="s">
        <v>1074</v>
      </c>
      <c r="AC191" s="840" t="s">
        <v>1208</v>
      </c>
      <c r="AD191" s="841"/>
      <c r="AE191" s="841"/>
      <c r="AF191" s="841"/>
      <c r="AG191" s="841"/>
      <c r="AH191" s="841"/>
      <c r="AI191" s="841"/>
      <c r="AJ191" s="841"/>
      <c r="AK191" s="841"/>
      <c r="AL191" s="841"/>
      <c r="AM191" s="841"/>
      <c r="AN191" s="1130" t="s">
        <v>1074</v>
      </c>
      <c r="AO191" s="821">
        <f>AO195+10</f>
        <v>23</v>
      </c>
      <c r="AP191" s="578">
        <f>AP195+10</f>
        <v>24</v>
      </c>
      <c r="AQ191" s="520"/>
      <c r="AR191" s="540">
        <f>AR195+10</f>
        <v>25</v>
      </c>
      <c r="AS191" s="540">
        <f>AS195+10</f>
        <v>26</v>
      </c>
      <c r="AT191" s="578">
        <f>AT195+10</f>
        <v>27</v>
      </c>
      <c r="AU191" s="520"/>
      <c r="AV191" s="578">
        <f>AV195+10</f>
        <v>28</v>
      </c>
      <c r="AW191" s="520"/>
      <c r="AX191" s="540">
        <f>AX195+10</f>
        <v>19</v>
      </c>
      <c r="AY191" s="578">
        <f>AY195+10</f>
        <v>20</v>
      </c>
      <c r="AZ191" s="520"/>
      <c r="BA191" s="578">
        <f>BA195+10</f>
        <v>21</v>
      </c>
      <c r="BB191" s="520"/>
      <c r="BC191" s="825">
        <f>BC195+10</f>
        <v>22</v>
      </c>
      <c r="BD191" s="733"/>
      <c r="BE191" s="557"/>
      <c r="BF191" s="557"/>
      <c r="BG191" s="733"/>
      <c r="BH191" s="1081" t="s">
        <v>1076</v>
      </c>
      <c r="BI191" s="1081" t="s">
        <v>1076</v>
      </c>
      <c r="BJ191" s="1081" t="s">
        <v>1076</v>
      </c>
      <c r="BK191" s="559"/>
      <c r="BL191" s="522" t="s">
        <v>0</v>
      </c>
      <c r="BM191" s="511" t="str">
        <f>_xlfn.CONCAT("קומה ",BM192)</f>
        <v>קומה 4</v>
      </c>
      <c r="BN191" s="979"/>
      <c r="BO191" s="470"/>
      <c r="BP191" s="471" t="s">
        <v>0</v>
      </c>
    </row>
    <row r="192" spans="1:68" ht="21.75" hidden="1" x14ac:dyDescent="0.3">
      <c r="A192" s="957"/>
      <c r="B192" s="842">
        <f>B196+1</f>
        <v>4</v>
      </c>
      <c r="C192" s="512" t="s">
        <v>89</v>
      </c>
      <c r="D192" s="560"/>
      <c r="E192" s="1082"/>
      <c r="F192" s="1082"/>
      <c r="G192" s="1082"/>
      <c r="H192" s="535"/>
      <c r="I192" s="535"/>
      <c r="J192" s="535"/>
      <c r="K192" s="535"/>
      <c r="L192" s="475" t="str">
        <f>VLOOKUP("*"&amp;L$5&amp;".Ap."&amp;L191,Check2,1,FALSE)</f>
        <v>O.S.2A.TS.Ap.21</v>
      </c>
      <c r="M192" s="525" t="str">
        <f>VLOOKUP("*"&amp;M$5&amp;".Ap."&amp;M191,Check2,1,FALSE)</f>
        <v>O.S.2B.TS.Ap.22</v>
      </c>
      <c r="N192" s="525" t="str">
        <f>M192</f>
        <v>O.S.2B.TS.Ap.22</v>
      </c>
      <c r="O192" s="525" t="str">
        <f>VLOOKUP("*"&amp;O$5&amp;".Ap."&amp;O191,Check2,1,FALSE)</f>
        <v>O.TM.S.2C.TS.Ap.23</v>
      </c>
      <c r="P192" s="525" t="str">
        <f>VLOOKUP("*"&amp;P$5&amp;".Ap."&amp;P191,Check2,1,FALSE)</f>
        <v>O.S.3A.TS.Ap.24</v>
      </c>
      <c r="Q192" s="525" t="str">
        <f>VLOOKUP("*"&amp;Q$5&amp;".Ap."&amp;Q191,Check2,1,FALSE)</f>
        <v>S.TM.S.2D.TS.Ap.25</v>
      </c>
      <c r="R192" s="525" t="str">
        <f>Q192</f>
        <v>S.TM.S.2D.TS.Ap.25</v>
      </c>
      <c r="S192" s="525" t="str">
        <f>VLOOKUP("*"&amp;S$5&amp;".Ap."&amp;S191,Check2,1,FALSE)</f>
        <v>V.GMS.S.2E.TS.Ap.26</v>
      </c>
      <c r="T192" s="525" t="str">
        <f>S192</f>
        <v>V.GMS.S.2E.TS.Ap.26</v>
      </c>
      <c r="U192" s="525" t="str">
        <f>VLOOKUP("*"&amp;U$5&amp;".Ap."&amp;U191,Check2,1,FALSE)</f>
        <v>O.S.2F.TS.Ap.27</v>
      </c>
      <c r="V192" s="525" t="str">
        <f>VLOOKUP("*"&amp;V$5&amp;".Ap."&amp;V191,Check2,1,FALSE)</f>
        <v>V.GMS.S.4A.TS.Ap.28</v>
      </c>
      <c r="W192" s="525" t="str">
        <f>V192</f>
        <v>V.GMS.S.4A.TS.Ap.28</v>
      </c>
      <c r="X192" s="525" t="str">
        <f>VLOOKUP("*"&amp;X$5&amp;".Ap."&amp;X191,Check2,1,FALSE)</f>
        <v>O.TM.S.2G.TS.Ap.29</v>
      </c>
      <c r="Y192" s="525" t="str">
        <f>X192</f>
        <v>O.TM.S.2G.TS.Ap.29</v>
      </c>
      <c r="Z192" s="525" t="str">
        <f>VLOOKUP("*"&amp;Z$5&amp;".Ap."&amp;Z191,Check2,1,FALSE)</f>
        <v>V.GMS.S.4B.TS.Ap.30</v>
      </c>
      <c r="AA192" s="478" t="str">
        <f>Z192</f>
        <v>V.GMS.S.4B.TS.Ap.30</v>
      </c>
      <c r="AB192" s="1128"/>
      <c r="AC192" s="479"/>
      <c r="AD192" s="479"/>
      <c r="AE192" s="479"/>
      <c r="AF192" s="479"/>
      <c r="AG192" s="479"/>
      <c r="AH192" s="479"/>
      <c r="AI192" s="479"/>
      <c r="AJ192" s="479"/>
      <c r="AK192" s="479"/>
      <c r="AL192" s="479"/>
      <c r="AM192" s="479"/>
      <c r="AN192" s="1131"/>
      <c r="AO192" s="482" t="str">
        <f>VLOOKUP("*"&amp;AO$5&amp;".Ap."&amp;AO191,Check2,1,FALSE)</f>
        <v>S.S.4B.TN.Ap.23</v>
      </c>
      <c r="AP192" s="533" t="str">
        <f>VLOOKUP("*"&amp;AP$5&amp;".Ap."&amp;AP191,Check2,1,FALSE)</f>
        <v>O.S.2G.TN.Ap.24</v>
      </c>
      <c r="AQ192" s="477" t="str">
        <f>AP192</f>
        <v>O.S.2G.TN.Ap.24</v>
      </c>
      <c r="AR192" s="525" t="str">
        <f>VLOOKUP("*"&amp;AR$5&amp;".Ap."&amp;AR191,Check2,1,FALSE)</f>
        <v>S.S.4A.TN.Ap.25</v>
      </c>
      <c r="AS192" s="525" t="str">
        <f>VLOOKUP("*"&amp;AS$5&amp;".Ap."&amp;AS191,Check2,1,FALSE)</f>
        <v>O.ZLT.S.2F.TN.Ap.26</v>
      </c>
      <c r="AT192" s="533" t="str">
        <f>VLOOKUP("*"&amp;AT$5&amp;".Ap."&amp;AT191,Check2,1,FALSE)</f>
        <v>S.S.2E.TN.Ap.27</v>
      </c>
      <c r="AU192" s="477" t="str">
        <f>AT192</f>
        <v>S.S.2E.TN.Ap.27</v>
      </c>
      <c r="AV192" s="533" t="str">
        <f>VLOOKUP("*"&amp;AV$5&amp;".Ap."&amp;AV191,Check2,1,FALSE)</f>
        <v>S.S.2D.TN.Ap.28</v>
      </c>
      <c r="AW192" s="477" t="str">
        <f>AV192</f>
        <v>S.S.2D.TN.Ap.28</v>
      </c>
      <c r="AX192" s="525" t="str">
        <f>VLOOKUP("*"&amp;AX$5&amp;".Ap."&amp;AX191,Check2,1,FALSE)</f>
        <v>S.S.3A.TN.Ap.19</v>
      </c>
      <c r="AY192" s="533" t="str">
        <f>VLOOKUP("*"&amp;AY$5&amp;".Ap."&amp;AY191,Check2,1,FALSE)</f>
        <v>O.S.2C.TN.Ap.20</v>
      </c>
      <c r="AZ192" s="477" t="str">
        <f>AY192</f>
        <v>O.S.2C.TN.Ap.20</v>
      </c>
      <c r="BA192" s="533" t="str">
        <f>VLOOKUP("*"&amp;BA$5&amp;".Ap."&amp;BA191,Check2,1,FALSE)</f>
        <v>S.ZLT.S.2B.TN.Ap.21</v>
      </c>
      <c r="BB192" s="477" t="str">
        <f>BA192</f>
        <v>S.ZLT.S.2B.TN.Ap.21</v>
      </c>
      <c r="BC192" s="826" t="str">
        <f>VLOOKUP("*"&amp;BC$5&amp;".Ap."&amp;BC191,Check2,1,FALSE)</f>
        <v>O.S.2A.TN.Ap.22</v>
      </c>
      <c r="BD192" s="744"/>
      <c r="BE192" s="535"/>
      <c r="BF192" s="535"/>
      <c r="BG192" s="744"/>
      <c r="BH192" s="1082"/>
      <c r="BI192" s="1082"/>
      <c r="BJ192" s="1082"/>
      <c r="BK192" s="561"/>
      <c r="BL192" s="522" t="s">
        <v>89</v>
      </c>
      <c r="BM192" s="523">
        <f>BM196+1</f>
        <v>4</v>
      </c>
      <c r="BN192" s="979"/>
      <c r="BO192" s="484"/>
      <c r="BP192" s="485" t="s">
        <v>89</v>
      </c>
    </row>
    <row r="193" spans="1:68" ht="21.75" x14ac:dyDescent="0.3">
      <c r="A193" s="957"/>
      <c r="B193" s="843"/>
      <c r="C193" s="538" t="s">
        <v>65</v>
      </c>
      <c r="D193" s="562"/>
      <c r="E193" s="1082"/>
      <c r="F193" s="1082"/>
      <c r="G193" s="1082"/>
      <c r="H193" s="563"/>
      <c r="I193" s="563"/>
      <c r="J193" s="563"/>
      <c r="K193" s="563"/>
      <c r="L193" s="788">
        <f>VLOOKUP(L192,Check2,5,FALSE)</f>
        <v>401</v>
      </c>
      <c r="M193" s="539">
        <f>VLOOKUP(M192,Check2,5,FALSE)</f>
        <v>402</v>
      </c>
      <c r="N193" s="539"/>
      <c r="O193" s="724">
        <f>VLOOKUP(O192,Check2,5,FALSE)</f>
        <v>403</v>
      </c>
      <c r="P193" s="724">
        <f>VLOOKUP(P192,Check2,5,FALSE)</f>
        <v>404</v>
      </c>
      <c r="Q193" s="539">
        <f>VLOOKUP(Q192,Check2,5,FALSE)</f>
        <v>405</v>
      </c>
      <c r="R193" s="539"/>
      <c r="S193" s="539">
        <f>VLOOKUP(S192,Check2,5,FALSE)</f>
        <v>406</v>
      </c>
      <c r="T193" s="539"/>
      <c r="U193" s="724">
        <f>VLOOKUP(U192,Check2,5,FALSE)</f>
        <v>407</v>
      </c>
      <c r="V193" s="539">
        <f>VLOOKUP(V192,Check2,5,FALSE)</f>
        <v>408</v>
      </c>
      <c r="W193" s="539"/>
      <c r="X193" s="539">
        <f>VLOOKUP(X192,Check2,5,FALSE)</f>
        <v>409</v>
      </c>
      <c r="Y193" s="539"/>
      <c r="Z193" s="539">
        <f>VLOOKUP(Z192,Check2,5,FALSE)</f>
        <v>410</v>
      </c>
      <c r="AA193" s="491"/>
      <c r="AB193" s="1128"/>
      <c r="AC193" s="449"/>
      <c r="AD193" s="449"/>
      <c r="AE193" s="449"/>
      <c r="AF193" s="449"/>
      <c r="AG193" s="449"/>
      <c r="AH193" s="449"/>
      <c r="AI193" s="449"/>
      <c r="AJ193" s="449"/>
      <c r="AK193" s="449"/>
      <c r="AL193" s="449"/>
      <c r="AM193" s="449"/>
      <c r="AN193" s="1131"/>
      <c r="AO193" s="822">
        <f>VLOOKUP(AO192,Check2,5,FALSE)</f>
        <v>402</v>
      </c>
      <c r="AP193" s="589">
        <f>VLOOKUP(AP192,Check2,5,FALSE)</f>
        <v>403</v>
      </c>
      <c r="AQ193" s="543"/>
      <c r="AR193" s="724">
        <f>VLOOKUP(AR192,Check2,5,FALSE)</f>
        <v>404</v>
      </c>
      <c r="AS193" s="724">
        <f>VLOOKUP(AS192,Check2,5,FALSE)</f>
        <v>405</v>
      </c>
      <c r="AT193" s="589">
        <f>VLOOKUP(AT192,Check2,5,FALSE)</f>
        <v>406</v>
      </c>
      <c r="AU193" s="543"/>
      <c r="AV193" s="589">
        <f>VLOOKUP(AV192,Check2,5,FALSE)</f>
        <v>407</v>
      </c>
      <c r="AW193" s="543"/>
      <c r="AX193" s="724">
        <f>VLOOKUP(AX192,Check2,5,FALSE)</f>
        <v>408</v>
      </c>
      <c r="AY193" s="589">
        <f>VLOOKUP(AY192,Check2,5,FALSE)</f>
        <v>409</v>
      </c>
      <c r="AZ193" s="543"/>
      <c r="BA193" s="589">
        <f>VLOOKUP(BA192,Check2,5,FALSE)</f>
        <v>410</v>
      </c>
      <c r="BB193" s="543"/>
      <c r="BC193" s="827">
        <f>VLOOKUP(BC192,Check2,5,FALSE)</f>
        <v>401</v>
      </c>
      <c r="BD193" s="745"/>
      <c r="BE193" s="563"/>
      <c r="BF193" s="563"/>
      <c r="BG193" s="745"/>
      <c r="BH193" s="1082"/>
      <c r="BI193" s="1082"/>
      <c r="BJ193" s="1082"/>
      <c r="BK193" s="564"/>
      <c r="BL193" s="544" t="s">
        <v>65</v>
      </c>
      <c r="BM193" s="537"/>
      <c r="BN193" s="979"/>
      <c r="BO193" s="434"/>
      <c r="BP193" s="496" t="s">
        <v>1078</v>
      </c>
    </row>
    <row r="194" spans="1:68" ht="22.5" thickBot="1" x14ac:dyDescent="0.45">
      <c r="A194" s="958"/>
      <c r="B194" s="844">
        <f>B198+3.48</f>
        <v>20.440000000000001</v>
      </c>
      <c r="C194" s="546" t="s">
        <v>1</v>
      </c>
      <c r="D194" s="567"/>
      <c r="E194" s="1083"/>
      <c r="F194" s="1083"/>
      <c r="G194" s="1083"/>
      <c r="H194" s="568"/>
      <c r="I194" s="568"/>
      <c r="J194" s="568"/>
      <c r="K194" s="568"/>
      <c r="L194" s="790" t="str">
        <f>VLOOKUP(L192,Check2,6,FALSE)</f>
        <v>2A</v>
      </c>
      <c r="M194" s="548" t="str">
        <f>VLOOKUP(M192,Check2,6,FALSE)</f>
        <v>2B</v>
      </c>
      <c r="N194" s="548"/>
      <c r="O194" s="727" t="str">
        <f>VLOOKUP(O192,Check2,6,FALSE)</f>
        <v>2C</v>
      </c>
      <c r="P194" s="727" t="str">
        <f>VLOOKUP(P192,Check2,6,FALSE)</f>
        <v>3A</v>
      </c>
      <c r="Q194" s="548" t="str">
        <f>VLOOKUP(Q192,Check2,6,FALSE)</f>
        <v>2D</v>
      </c>
      <c r="R194" s="548"/>
      <c r="S194" s="548" t="str">
        <f>VLOOKUP(S192,Check2,6,FALSE)</f>
        <v>2E</v>
      </c>
      <c r="T194" s="548"/>
      <c r="U194" s="727" t="str">
        <f>VLOOKUP(U192,Check2,6,FALSE)</f>
        <v>2F</v>
      </c>
      <c r="V194" s="548" t="str">
        <f>VLOOKUP(V192,Check2,6,FALSE)</f>
        <v>4A</v>
      </c>
      <c r="W194" s="548"/>
      <c r="X194" s="548" t="str">
        <f>VLOOKUP(X192,Check2,6,FALSE)</f>
        <v>2G</v>
      </c>
      <c r="Y194" s="548"/>
      <c r="Z194" s="548" t="str">
        <f>VLOOKUP(Z192,Check2,6,FALSE)</f>
        <v>4B</v>
      </c>
      <c r="AA194" s="615"/>
      <c r="AB194" s="1128"/>
      <c r="AC194" s="503"/>
      <c r="AD194" s="503"/>
      <c r="AE194" s="503"/>
      <c r="AF194" s="503"/>
      <c r="AG194" s="503"/>
      <c r="AH194" s="503"/>
      <c r="AI194" s="503"/>
      <c r="AJ194" s="503"/>
      <c r="AK194" s="503"/>
      <c r="AL194" s="503"/>
      <c r="AM194" s="503"/>
      <c r="AN194" s="1131"/>
      <c r="AO194" s="828" t="str">
        <f>VLOOKUP(AO192,Check2,6,FALSE)</f>
        <v>4B</v>
      </c>
      <c r="AP194" s="603" t="str">
        <f>VLOOKUP(AP192,Check2,6,FALSE)</f>
        <v>2G</v>
      </c>
      <c r="AQ194" s="553"/>
      <c r="AR194" s="727" t="str">
        <f>VLOOKUP(AR192,Check2,6,FALSE)</f>
        <v>4A</v>
      </c>
      <c r="AS194" s="727" t="str">
        <f>VLOOKUP(AS192,Check2,6,FALSE)</f>
        <v>2F</v>
      </c>
      <c r="AT194" s="603" t="str">
        <f>VLOOKUP(AT192,Check2,6,FALSE)</f>
        <v>2E</v>
      </c>
      <c r="AU194" s="553"/>
      <c r="AV194" s="603" t="str">
        <f>VLOOKUP(AV192,Check2,6,FALSE)</f>
        <v>2D</v>
      </c>
      <c r="AW194" s="553"/>
      <c r="AX194" s="727" t="str">
        <f>VLOOKUP(AX192,Check2,6,FALSE)</f>
        <v>3A</v>
      </c>
      <c r="AY194" s="603" t="str">
        <f>VLOOKUP(AY192,Check2,6,FALSE)</f>
        <v>2C</v>
      </c>
      <c r="AZ194" s="553"/>
      <c r="BA194" s="603" t="str">
        <f>VLOOKUP(BA192,Check2,6,FALSE)</f>
        <v>2B</v>
      </c>
      <c r="BB194" s="553"/>
      <c r="BC194" s="829" t="str">
        <f>VLOOKUP(BC192,Check2,6,FALSE)</f>
        <v>2A</v>
      </c>
      <c r="BD194" s="746"/>
      <c r="BE194" s="568"/>
      <c r="BF194" s="568"/>
      <c r="BG194" s="746"/>
      <c r="BH194" s="1083"/>
      <c r="BI194" s="1083"/>
      <c r="BJ194" s="1083"/>
      <c r="BK194" s="572"/>
      <c r="BL194" s="555" t="s">
        <v>1</v>
      </c>
      <c r="BM194" s="545">
        <f>BM198+3.48</f>
        <v>20.440000000000001</v>
      </c>
      <c r="BN194" s="980"/>
      <c r="BO194" s="509"/>
      <c r="BP194" s="510" t="s">
        <v>1</v>
      </c>
    </row>
    <row r="195" spans="1:68" ht="25.5" x14ac:dyDescent="0.45">
      <c r="A195" s="957"/>
      <c r="B195" s="511" t="str">
        <f>_xlfn.CONCAT("קומה ",B196)</f>
        <v>קומה 3</v>
      </c>
      <c r="C195" s="512" t="s">
        <v>0</v>
      </c>
      <c r="D195" s="556"/>
      <c r="E195" s="1080"/>
      <c r="F195" s="1080"/>
      <c r="G195" s="1080"/>
      <c r="H195" s="557"/>
      <c r="I195" s="557"/>
      <c r="J195" s="557"/>
      <c r="K195" s="557"/>
      <c r="L195" s="778">
        <v>11</v>
      </c>
      <c r="M195" s="514">
        <v>12</v>
      </c>
      <c r="N195" s="514"/>
      <c r="O195" s="540">
        <v>13</v>
      </c>
      <c r="P195" s="540">
        <v>14</v>
      </c>
      <c r="Q195" s="514">
        <v>15</v>
      </c>
      <c r="R195" s="514"/>
      <c r="S195" s="514">
        <v>16</v>
      </c>
      <c r="T195" s="514"/>
      <c r="U195" s="540">
        <v>17</v>
      </c>
      <c r="V195" s="514">
        <v>18</v>
      </c>
      <c r="W195" s="514"/>
      <c r="X195" s="514">
        <v>19</v>
      </c>
      <c r="Y195" s="514"/>
      <c r="Z195" s="514">
        <v>20</v>
      </c>
      <c r="AA195" s="463"/>
      <c r="AB195" s="1128"/>
      <c r="AC195" s="464"/>
      <c r="AD195" s="464"/>
      <c r="AE195" s="464"/>
      <c r="AF195" s="464"/>
      <c r="AG195" s="464"/>
      <c r="AH195" s="464"/>
      <c r="AI195" s="464"/>
      <c r="AJ195" s="464"/>
      <c r="AK195" s="464"/>
      <c r="AL195" s="464"/>
      <c r="AM195" s="464"/>
      <c r="AN195" s="1131"/>
      <c r="AO195" s="821">
        <v>13</v>
      </c>
      <c r="AP195" s="578">
        <v>14</v>
      </c>
      <c r="AQ195" s="520"/>
      <c r="AR195" s="540">
        <v>15</v>
      </c>
      <c r="AS195" s="540">
        <v>16</v>
      </c>
      <c r="AT195" s="578">
        <v>17</v>
      </c>
      <c r="AU195" s="520"/>
      <c r="AV195" s="578">
        <v>18</v>
      </c>
      <c r="AW195" s="520"/>
      <c r="AX195" s="540">
        <v>9</v>
      </c>
      <c r="AY195" s="578">
        <v>10</v>
      </c>
      <c r="AZ195" s="520"/>
      <c r="BA195" s="578">
        <v>11</v>
      </c>
      <c r="BB195" s="520"/>
      <c r="BC195" s="825">
        <v>12</v>
      </c>
      <c r="BD195" s="733"/>
      <c r="BE195" s="557"/>
      <c r="BF195" s="557"/>
      <c r="BG195" s="733"/>
      <c r="BH195" s="1080"/>
      <c r="BI195" s="1080"/>
      <c r="BJ195" s="1080"/>
      <c r="BK195" s="559"/>
      <c r="BL195" s="522" t="s">
        <v>0</v>
      </c>
      <c r="BM195" s="511" t="str">
        <f>_xlfn.CONCAT("קומה ",BM196)</f>
        <v>קומה 3</v>
      </c>
      <c r="BN195" s="979"/>
      <c r="BO195" s="470"/>
      <c r="BP195" s="471" t="s">
        <v>0</v>
      </c>
    </row>
    <row r="196" spans="1:68" ht="21.75" hidden="1" x14ac:dyDescent="0.3">
      <c r="A196" s="957"/>
      <c r="B196" s="523">
        <f>B200+1</f>
        <v>3</v>
      </c>
      <c r="C196" s="512" t="s">
        <v>89</v>
      </c>
      <c r="D196" s="560"/>
      <c r="E196" s="1078"/>
      <c r="F196" s="1078"/>
      <c r="G196" s="1078"/>
      <c r="H196" s="535"/>
      <c r="I196" s="535"/>
      <c r="J196" s="535"/>
      <c r="K196" s="535"/>
      <c r="L196" s="475" t="str">
        <f>VLOOKUP("*"&amp;L$5&amp;".Ap."&amp;L195,Check2,1,FALSE)</f>
        <v>S.S.2A.TS.Ap.11</v>
      </c>
      <c r="M196" s="525" t="str">
        <f>VLOOKUP("*"&amp;M$5&amp;".Ap."&amp;M195,Check2,1,FALSE)</f>
        <v>S.TM.S.2B.TS.Ap.12</v>
      </c>
      <c r="N196" s="525" t="str">
        <f>M196</f>
        <v>S.TM.S.2B.TS.Ap.12</v>
      </c>
      <c r="O196" s="525" t="str">
        <f>VLOOKUP("*"&amp;O$5&amp;".Ap."&amp;O195,Check2,1,FALSE)</f>
        <v>S.TM.S.2C.TS.Ap.13</v>
      </c>
      <c r="P196" s="525" t="str">
        <f>VLOOKUP("*"&amp;P$5&amp;".Ap."&amp;P195,Check2,1,FALSE)</f>
        <v>O.TM.S.3A.TS.Ap.14</v>
      </c>
      <c r="Q196" s="525" t="str">
        <f>VLOOKUP("*"&amp;Q$5&amp;".Ap."&amp;Q195,Check2,1,FALSE)</f>
        <v>S.TM.S.2D.TS.Ap.15</v>
      </c>
      <c r="R196" s="525" t="str">
        <f t="shared" ref="R196" si="1138">Q196</f>
        <v>S.TM.S.2D.TS.Ap.15</v>
      </c>
      <c r="S196" s="525" t="str">
        <f>VLOOKUP("*"&amp;S$5&amp;".Ap."&amp;S195,Check2,1,FALSE)</f>
        <v>V.GMS.S.2E.TS.Ap.16</v>
      </c>
      <c r="T196" s="525" t="str">
        <f t="shared" ref="T196" si="1139">S196</f>
        <v>V.GMS.S.2E.TS.Ap.16</v>
      </c>
      <c r="U196" s="525" t="str">
        <f>VLOOKUP("*"&amp;U$5&amp;".Ap."&amp;U195,Check2,1,FALSE)</f>
        <v>O.TM.S.2F.TS.Ap.17</v>
      </c>
      <c r="V196" s="525" t="str">
        <f>VLOOKUP("*"&amp;V$5&amp;".Ap."&amp;V195,Check2,1,FALSE)</f>
        <v>V.GMS.S.4A.TS.Ap.18</v>
      </c>
      <c r="W196" s="525" t="str">
        <f>V196</f>
        <v>V.GMS.S.4A.TS.Ap.18</v>
      </c>
      <c r="X196" s="525" t="str">
        <f>VLOOKUP("*"&amp;X$5&amp;".Ap."&amp;X195,Check2,1,FALSE)</f>
        <v>O.TM.S.2G.TS.Ap.19</v>
      </c>
      <c r="Y196" s="525" t="str">
        <f>X196</f>
        <v>O.TM.S.2G.TS.Ap.19</v>
      </c>
      <c r="Z196" s="525" t="str">
        <f>VLOOKUP("*"&amp;Z$5&amp;".Ap."&amp;Z195,Check2,1,FALSE)</f>
        <v>V.GMS.S.4B.TS.Ap.20</v>
      </c>
      <c r="AA196" s="478" t="str">
        <f>Z196</f>
        <v>V.GMS.S.4B.TS.Ap.20</v>
      </c>
      <c r="AB196" s="1128"/>
      <c r="AC196" s="479"/>
      <c r="AD196" s="479"/>
      <c r="AE196" s="479"/>
      <c r="AF196" s="479"/>
      <c r="AG196" s="479"/>
      <c r="AH196" s="479"/>
      <c r="AI196" s="479"/>
      <c r="AJ196" s="479"/>
      <c r="AK196" s="479"/>
      <c r="AL196" s="479"/>
      <c r="AM196" s="479"/>
      <c r="AN196" s="1131"/>
      <c r="AO196" s="482" t="str">
        <f>VLOOKUP("*"&amp;AO$5&amp;".Ap."&amp;AO195,Check2,1,FALSE)</f>
        <v>S.S.4B.TN.Ap.13</v>
      </c>
      <c r="AP196" s="533" t="str">
        <f>VLOOKUP("*"&amp;AP$5&amp;".Ap."&amp;AP195,Check2,1,FALSE)</f>
        <v>O.S.2G.TN.Ap.14</v>
      </c>
      <c r="AQ196" s="477" t="str">
        <f>AP196</f>
        <v>O.S.2G.TN.Ap.14</v>
      </c>
      <c r="AR196" s="525" t="str">
        <f>VLOOKUP("*"&amp;AR$5&amp;".Ap."&amp;AR195,Check2,1,FALSE)</f>
        <v>V.GMS.S.4A.TN.Ap.15</v>
      </c>
      <c r="AS196" s="525" t="str">
        <f>VLOOKUP("*"&amp;AS$5&amp;".Ap."&amp;AS195,Check2,1,FALSE)</f>
        <v>S.S.2F.TN.Ap.16</v>
      </c>
      <c r="AT196" s="533" t="str">
        <f>VLOOKUP("*"&amp;AT$5&amp;".Ap."&amp;AT195,Check2,1,FALSE)</f>
        <v>S.S.2E.TN.Ap.17</v>
      </c>
      <c r="AU196" s="477" t="str">
        <f>AT196</f>
        <v>S.S.2E.TN.Ap.17</v>
      </c>
      <c r="AV196" s="533" t="str">
        <f>VLOOKUP("*"&amp;AV$5&amp;".Ap."&amp;AV195,Check2,1,FALSE)</f>
        <v>S.S.2D.TN.Ap.18</v>
      </c>
      <c r="AW196" s="477" t="str">
        <f>AV196</f>
        <v>S.S.2D.TN.Ap.18</v>
      </c>
      <c r="AX196" s="525" t="str">
        <f>VLOOKUP("*"&amp;AX$5&amp;".Ap."&amp;AX195,Check2,1,FALSE)</f>
        <v>S.TM.S.3A.TN.Ap.9</v>
      </c>
      <c r="AY196" s="533" t="str">
        <f>VLOOKUP("*"&amp;AY$5&amp;".Ap."&amp;AY195,Check2,1,FALSE)</f>
        <v>S.S.2C.TN.Ap.10</v>
      </c>
      <c r="AZ196" s="477" t="str">
        <f>AY196</f>
        <v>S.S.2C.TN.Ap.10</v>
      </c>
      <c r="BA196" s="533" t="str">
        <f>VLOOKUP("*"&amp;BA$5&amp;".Ap."&amp;BA195,Check2,1,FALSE)</f>
        <v>O.S.2B.TN.Ap.11</v>
      </c>
      <c r="BB196" s="477" t="str">
        <f>BA196</f>
        <v>O.S.2B.TN.Ap.11</v>
      </c>
      <c r="BC196" s="826" t="str">
        <f>VLOOKUP("*"&amp;BC$5&amp;".Ap."&amp;BC195,Check2,1,FALSE)</f>
        <v>O.S.2A.TN.Ap.12</v>
      </c>
      <c r="BD196" s="744"/>
      <c r="BE196" s="535"/>
      <c r="BF196" s="535"/>
      <c r="BG196" s="744"/>
      <c r="BH196" s="1078"/>
      <c r="BI196" s="1078"/>
      <c r="BJ196" s="1078"/>
      <c r="BK196" s="561"/>
      <c r="BL196" s="522" t="s">
        <v>89</v>
      </c>
      <c r="BM196" s="523">
        <f>BM200+1</f>
        <v>3</v>
      </c>
      <c r="BN196" s="979"/>
      <c r="BO196" s="484"/>
      <c r="BP196" s="485" t="s">
        <v>89</v>
      </c>
    </row>
    <row r="197" spans="1:68" ht="21.75" x14ac:dyDescent="0.3">
      <c r="A197" s="957"/>
      <c r="B197" s="537"/>
      <c r="C197" s="538" t="s">
        <v>65</v>
      </c>
      <c r="D197" s="562"/>
      <c r="E197" s="1078"/>
      <c r="F197" s="1078"/>
      <c r="G197" s="1078"/>
      <c r="H197" s="563"/>
      <c r="I197" s="563"/>
      <c r="J197" s="563"/>
      <c r="K197" s="563"/>
      <c r="L197" s="788">
        <f>VLOOKUP(L196,Check2,5,FALSE)</f>
        <v>301</v>
      </c>
      <c r="M197" s="539">
        <f>VLOOKUP(M196,Check2,5,FALSE)</f>
        <v>302</v>
      </c>
      <c r="N197" s="539"/>
      <c r="O197" s="724">
        <f>VLOOKUP(O196,Check2,5,FALSE)</f>
        <v>303</v>
      </c>
      <c r="P197" s="724">
        <f>VLOOKUP(P196,Check2,5,FALSE)</f>
        <v>304</v>
      </c>
      <c r="Q197" s="539">
        <f>VLOOKUP(Q196,Check2,5,FALSE)</f>
        <v>305</v>
      </c>
      <c r="R197" s="539"/>
      <c r="S197" s="539">
        <f>VLOOKUP(S196,Check2,5,FALSE)</f>
        <v>306</v>
      </c>
      <c r="T197" s="539"/>
      <c r="U197" s="724">
        <f>VLOOKUP(U196,Check2,5,FALSE)</f>
        <v>307</v>
      </c>
      <c r="V197" s="539">
        <f>VLOOKUP(V196,Check2,5,FALSE)</f>
        <v>308</v>
      </c>
      <c r="W197" s="539"/>
      <c r="X197" s="539">
        <f>VLOOKUP(X196,Check2,5,FALSE)</f>
        <v>309</v>
      </c>
      <c r="Y197" s="539"/>
      <c r="Z197" s="539">
        <f>VLOOKUP(Z196,Check2,5,FALSE)</f>
        <v>310</v>
      </c>
      <c r="AA197" s="491"/>
      <c r="AB197" s="1128"/>
      <c r="AC197" s="449"/>
      <c r="AD197" s="449"/>
      <c r="AE197" s="449"/>
      <c r="AF197" s="449"/>
      <c r="AG197" s="449"/>
      <c r="AH197" s="449"/>
      <c r="AI197" s="449"/>
      <c r="AJ197" s="449"/>
      <c r="AK197" s="449"/>
      <c r="AL197" s="449"/>
      <c r="AM197" s="449"/>
      <c r="AN197" s="1131"/>
      <c r="AO197" s="822">
        <f>VLOOKUP(AO196,Check2,5,FALSE)</f>
        <v>302</v>
      </c>
      <c r="AP197" s="589">
        <f>VLOOKUP(AP196,Check2,5,FALSE)</f>
        <v>303</v>
      </c>
      <c r="AQ197" s="543"/>
      <c r="AR197" s="724">
        <f>VLOOKUP(AR196,Check2,5,FALSE)</f>
        <v>304</v>
      </c>
      <c r="AS197" s="724">
        <f>VLOOKUP(AS196,Check2,5,FALSE)</f>
        <v>305</v>
      </c>
      <c r="AT197" s="589">
        <f>VLOOKUP(AT196,Check2,5,FALSE)</f>
        <v>306</v>
      </c>
      <c r="AU197" s="543"/>
      <c r="AV197" s="589">
        <f>VLOOKUP(AV196,Check2,5,FALSE)</f>
        <v>307</v>
      </c>
      <c r="AW197" s="543"/>
      <c r="AX197" s="724">
        <f>VLOOKUP(AX196,Check2,5,FALSE)</f>
        <v>308</v>
      </c>
      <c r="AY197" s="589">
        <f>VLOOKUP(AY196,Check2,5,FALSE)</f>
        <v>309</v>
      </c>
      <c r="AZ197" s="543"/>
      <c r="BA197" s="589">
        <f>VLOOKUP(BA196,Check2,5,FALSE)</f>
        <v>310</v>
      </c>
      <c r="BB197" s="543"/>
      <c r="BC197" s="827">
        <f>VLOOKUP(BC196,Check2,5,FALSE)</f>
        <v>301</v>
      </c>
      <c r="BD197" s="745"/>
      <c r="BE197" s="563"/>
      <c r="BF197" s="563"/>
      <c r="BG197" s="745"/>
      <c r="BH197" s="1078"/>
      <c r="BI197" s="1078"/>
      <c r="BJ197" s="1078"/>
      <c r="BK197" s="564"/>
      <c r="BL197" s="544" t="s">
        <v>65</v>
      </c>
      <c r="BM197" s="537"/>
      <c r="BN197" s="979"/>
      <c r="BO197" s="434"/>
      <c r="BP197" s="496" t="s">
        <v>1078</v>
      </c>
    </row>
    <row r="198" spans="1:68" ht="22.5" thickBot="1" x14ac:dyDescent="0.45">
      <c r="A198" s="959"/>
      <c r="B198" s="565">
        <v>16.96</v>
      </c>
      <c r="C198" s="566" t="s">
        <v>1</v>
      </c>
      <c r="D198" s="567"/>
      <c r="E198" s="1079"/>
      <c r="F198" s="1079"/>
      <c r="G198" s="1079"/>
      <c r="H198" s="568"/>
      <c r="I198" s="568"/>
      <c r="J198" s="568"/>
      <c r="K198" s="568"/>
      <c r="L198" s="845" t="str">
        <f>VLOOKUP(L196,Check2,6,FALSE)</f>
        <v>2A</v>
      </c>
      <c r="M198" s="569" t="str">
        <f>VLOOKUP(M196,Check2,6,FALSE)</f>
        <v>2B</v>
      </c>
      <c r="N198" s="569"/>
      <c r="O198" s="747" t="str">
        <f>VLOOKUP(O196,Check2,6,FALSE)</f>
        <v>2C</v>
      </c>
      <c r="P198" s="747" t="str">
        <f>VLOOKUP(P196,Check2,6,FALSE)</f>
        <v>3A</v>
      </c>
      <c r="Q198" s="569" t="str">
        <f>VLOOKUP(Q196,Check2,6,FALSE)</f>
        <v>2D</v>
      </c>
      <c r="R198" s="569"/>
      <c r="S198" s="569" t="str">
        <f>VLOOKUP(S196,Check2,6,FALSE)</f>
        <v>2E</v>
      </c>
      <c r="T198" s="569"/>
      <c r="U198" s="747" t="str">
        <f>VLOOKUP(U196,Check2,6,FALSE)</f>
        <v>2F</v>
      </c>
      <c r="V198" s="569" t="str">
        <f>VLOOKUP(V196,Check2,6,FALSE)</f>
        <v>4A</v>
      </c>
      <c r="W198" s="569"/>
      <c r="X198" s="569" t="str">
        <f>VLOOKUP(X196,Check2,6,FALSE)</f>
        <v>2G</v>
      </c>
      <c r="Y198" s="569"/>
      <c r="Z198" s="569" t="str">
        <f>VLOOKUP(Z196,Check2,6,FALSE)</f>
        <v>4B</v>
      </c>
      <c r="AA198" s="502"/>
      <c r="AB198" s="1129"/>
      <c r="AC198" s="503"/>
      <c r="AD198" s="503"/>
      <c r="AE198" s="503"/>
      <c r="AF198" s="503"/>
      <c r="AG198" s="503"/>
      <c r="AH198" s="503"/>
      <c r="AI198" s="503"/>
      <c r="AJ198" s="503"/>
      <c r="AK198" s="503"/>
      <c r="AL198" s="503"/>
      <c r="AM198" s="503"/>
      <c r="AN198" s="1132"/>
      <c r="AO198" s="823" t="str">
        <f>VLOOKUP(AO196,Check2,6,FALSE)</f>
        <v>4B</v>
      </c>
      <c r="AP198" s="713" t="str">
        <f>VLOOKUP(AP196,Check2,6,FALSE)</f>
        <v>2G</v>
      </c>
      <c r="AQ198" s="571"/>
      <c r="AR198" s="747" t="str">
        <f>VLOOKUP(AR196,Check2,6,FALSE)</f>
        <v>4A</v>
      </c>
      <c r="AS198" s="747" t="str">
        <f>VLOOKUP(AS196,Check2,6,FALSE)</f>
        <v>2F</v>
      </c>
      <c r="AT198" s="713" t="str">
        <f>VLOOKUP(AT196,Check2,6,FALSE)</f>
        <v>2E</v>
      </c>
      <c r="AU198" s="571"/>
      <c r="AV198" s="713" t="str">
        <f>VLOOKUP(AV196,Check2,6,FALSE)</f>
        <v>2D</v>
      </c>
      <c r="AW198" s="571"/>
      <c r="AX198" s="747" t="str">
        <f>VLOOKUP(AX196,Check2,6,FALSE)</f>
        <v>3A</v>
      </c>
      <c r="AY198" s="713" t="str">
        <f>VLOOKUP(AY196,Check2,6,FALSE)</f>
        <v>2C</v>
      </c>
      <c r="AZ198" s="571"/>
      <c r="BA198" s="713" t="str">
        <f>VLOOKUP(BA196,Check2,6,FALSE)</f>
        <v>2B</v>
      </c>
      <c r="BB198" s="571"/>
      <c r="BC198" s="846" t="str">
        <f>VLOOKUP(BC196,Check2,6,FALSE)</f>
        <v>2A</v>
      </c>
      <c r="BD198" s="746"/>
      <c r="BE198" s="568"/>
      <c r="BF198" s="568"/>
      <c r="BG198" s="746"/>
      <c r="BH198" s="1079"/>
      <c r="BI198" s="1079"/>
      <c r="BJ198" s="1079"/>
      <c r="BK198" s="572"/>
      <c r="BL198" s="555" t="s">
        <v>1</v>
      </c>
      <c r="BM198" s="545">
        <v>16.96</v>
      </c>
      <c r="BN198" s="980"/>
      <c r="BO198" s="509"/>
      <c r="BP198" s="510" t="s">
        <v>1</v>
      </c>
    </row>
    <row r="199" spans="1:68" ht="26.25" thickTop="1" x14ac:dyDescent="0.45">
      <c r="A199" s="1160" t="s">
        <v>58</v>
      </c>
      <c r="B199" s="847" t="str">
        <f>_xlfn.CONCAT("קומה ",B200)</f>
        <v>קומה 2</v>
      </c>
      <c r="C199" s="848" t="s">
        <v>0</v>
      </c>
      <c r="D199" s="556"/>
      <c r="E199" s="1080"/>
      <c r="F199" s="1080"/>
      <c r="G199" s="1080"/>
      <c r="H199" s="557"/>
      <c r="I199" s="557"/>
      <c r="J199" s="557"/>
      <c r="K199" s="557"/>
      <c r="L199" s="849">
        <v>4</v>
      </c>
      <c r="M199" s="514">
        <v>5</v>
      </c>
      <c r="N199" s="514"/>
      <c r="O199" s="540">
        <v>6</v>
      </c>
      <c r="P199" s="540">
        <v>7</v>
      </c>
      <c r="Q199" s="514">
        <v>8</v>
      </c>
      <c r="R199" s="514"/>
      <c r="S199" s="514">
        <v>9</v>
      </c>
      <c r="T199" s="514"/>
      <c r="U199" s="850">
        <v>10</v>
      </c>
      <c r="V199" s="1162" t="s">
        <v>46</v>
      </c>
      <c r="W199" s="1163"/>
      <c r="X199" s="1163"/>
      <c r="Y199" s="1163"/>
      <c r="Z199" s="1163"/>
      <c r="AA199" s="1164"/>
      <c r="AB199" s="851" t="s">
        <v>50</v>
      </c>
      <c r="AC199" s="852"/>
      <c r="AD199" s="852"/>
      <c r="AE199" s="852"/>
      <c r="AF199" s="852"/>
      <c r="AG199" s="852"/>
      <c r="AH199" s="852"/>
      <c r="AI199" s="852"/>
      <c r="AJ199" s="852"/>
      <c r="AK199" s="852"/>
      <c r="AL199" s="852"/>
      <c r="AM199" s="852"/>
      <c r="AN199" s="853"/>
      <c r="AO199" s="821">
        <v>4</v>
      </c>
      <c r="AP199" s="514">
        <v>5</v>
      </c>
      <c r="AQ199" s="514"/>
      <c r="AR199" s="540">
        <v>6</v>
      </c>
      <c r="AS199" s="514">
        <v>7</v>
      </c>
      <c r="AT199" s="514"/>
      <c r="AU199" s="514"/>
      <c r="AV199" s="514">
        <v>1</v>
      </c>
      <c r="AW199" s="514"/>
      <c r="AX199" s="514"/>
      <c r="AY199" s="514">
        <v>2</v>
      </c>
      <c r="AZ199" s="514"/>
      <c r="BA199" s="514">
        <v>3</v>
      </c>
      <c r="BB199" s="514"/>
      <c r="BC199" s="825">
        <v>8</v>
      </c>
      <c r="BD199" s="733"/>
      <c r="BE199" s="557"/>
      <c r="BF199" s="557"/>
      <c r="BG199" s="733"/>
      <c r="BH199" s="1080"/>
      <c r="BI199" s="1080"/>
      <c r="BJ199" s="1080"/>
      <c r="BK199" s="559"/>
      <c r="BL199" s="854" t="s">
        <v>0</v>
      </c>
      <c r="BM199" s="847" t="str">
        <f>_xlfn.CONCAT("קומה ",BM200)</f>
        <v>קומה 2</v>
      </c>
      <c r="BN199" s="1133" t="s">
        <v>59</v>
      </c>
      <c r="BO199" s="470"/>
      <c r="BP199" s="471" t="s">
        <v>0</v>
      </c>
    </row>
    <row r="200" spans="1:68" ht="21.75" hidden="1" x14ac:dyDescent="0.3">
      <c r="A200" s="1160"/>
      <c r="B200" s="855">
        <f>B204+1</f>
        <v>2</v>
      </c>
      <c r="C200" s="848" t="s">
        <v>89</v>
      </c>
      <c r="D200" s="560"/>
      <c r="E200" s="1078"/>
      <c r="F200" s="1078"/>
      <c r="G200" s="1078"/>
      <c r="H200" s="535"/>
      <c r="I200" s="535"/>
      <c r="J200" s="535"/>
      <c r="K200" s="535"/>
      <c r="L200" s="856" t="str">
        <f>VLOOKUP("*"&amp;L$5&amp;".Ap."&amp;L199,Check2,1,FALSE)</f>
        <v>S.S.2A.TS.Ap.4</v>
      </c>
      <c r="M200" s="525" t="str">
        <f>VLOOKUP("*"&amp;M$5&amp;".Ap."&amp;M199,Check2,1,FALSE)</f>
        <v>O.S.2B.TS.Ap.5</v>
      </c>
      <c r="N200" s="525" t="str">
        <f>M200</f>
        <v>O.S.2B.TS.Ap.5</v>
      </c>
      <c r="O200" s="525" t="str">
        <f>VLOOKUP("*"&amp;O$5&amp;".Ap."&amp;O199,Check2,1,FALSE)</f>
        <v>O.S.2C.TS.Ap.6</v>
      </c>
      <c r="P200" s="525" t="str">
        <f>VLOOKUP("*"&amp;P$5&amp;".Ap."&amp;P199,Check2,1,FALSE)</f>
        <v>O.MHM.S.3A.TS.Ap.7</v>
      </c>
      <c r="Q200" s="525" t="str">
        <f>VLOOKUP("*"&amp;Q$5&amp;".Ap."&amp;Q199,Check2,1,FALSE)</f>
        <v>O.S.2D.TS.Ap.8</v>
      </c>
      <c r="R200" s="525" t="str">
        <f>Q200</f>
        <v>O.S.2D.TS.Ap.8</v>
      </c>
      <c r="S200" s="525" t="str">
        <f>VLOOKUP("*"&amp;S$5&amp;".Ap."&amp;S199,Check2,1,FALSE)</f>
        <v>V.GMS.MH.S.2E.TS.Ap.9</v>
      </c>
      <c r="T200" s="525" t="str">
        <f>S200</f>
        <v>V.GMS.MH.S.2E.TS.Ap.9</v>
      </c>
      <c r="U200" s="478" t="str">
        <f>VLOOKUP("*"&amp;U$5&amp;".Ap."&amp;U199,Check2,1,FALSE)</f>
        <v>V.GMS.S.2F.TS.Ap.10</v>
      </c>
      <c r="V200" s="1162"/>
      <c r="W200" s="1163"/>
      <c r="X200" s="1163"/>
      <c r="Y200" s="1163"/>
      <c r="Z200" s="1163"/>
      <c r="AA200" s="1164"/>
      <c r="AB200" s="479"/>
      <c r="AC200" s="479"/>
      <c r="AD200" s="479"/>
      <c r="AE200" s="479"/>
      <c r="AF200" s="479"/>
      <c r="AG200" s="479"/>
      <c r="AH200" s="479"/>
      <c r="AI200" s="479"/>
      <c r="AJ200" s="479"/>
      <c r="AK200" s="479"/>
      <c r="AL200" s="479"/>
      <c r="AM200" s="479"/>
      <c r="AN200" s="636"/>
      <c r="AO200" s="482" t="str">
        <f>VLOOKUP("*"&amp;AO$5&amp;".Ap."&amp;AO199,Check2,1,FALSE)</f>
        <v>S.S.4B.TN.Ap.4</v>
      </c>
      <c r="AP200" s="525" t="str">
        <f>VLOOKUP("*"&amp;AP$5&amp;".Ap."&amp;AP199,Check2,1,FALSE)</f>
        <v>O.TMM.S.2G.TN.Ap.5</v>
      </c>
      <c r="AQ200" s="525" t="str">
        <f>AP200</f>
        <v>O.TMM.S.2G.TN.Ap.5</v>
      </c>
      <c r="AR200" s="525" t="str">
        <f>VLOOKUP("*"&amp;AR$5&amp;".Ap."&amp;AR199,Check2,1,FALSE)</f>
        <v>V.GMS.S.4A.TN.Ap.6</v>
      </c>
      <c r="AS200" s="525" t="str">
        <f>VLOOKUP("*"&amp;AS$5&amp;".Ap."&amp;AS199,Check2,1,FALSE)</f>
        <v>O.S.4H.TN.Ap.7</v>
      </c>
      <c r="AT200" s="525" t="str">
        <f t="shared" ref="AT200:AU200" si="1140">AS200</f>
        <v>O.S.4H.TN.Ap.7</v>
      </c>
      <c r="AU200" s="525" t="str">
        <f t="shared" si="1140"/>
        <v>O.S.4H.TN.Ap.7</v>
      </c>
      <c r="AV200" s="525" t="str">
        <f>VLOOKUP("*"&amp;AV$5&amp;".Ap."&amp;AV199,Check2,1,FALSE)</f>
        <v>O.S.4G.TN.Ap.1</v>
      </c>
      <c r="AW200" s="525" t="str">
        <f t="shared" ref="AW200:AX200" si="1141">AV200</f>
        <v>O.S.4G.TN.Ap.1</v>
      </c>
      <c r="AX200" s="525" t="str">
        <f t="shared" si="1141"/>
        <v>O.S.4G.TN.Ap.1</v>
      </c>
      <c r="AY200" s="525" t="str">
        <f>VLOOKUP("*"&amp;AY$5&amp;".Ap."&amp;AY199,Check2,1,FALSE)</f>
        <v>S.S.2C.TN.Ap.2</v>
      </c>
      <c r="AZ200" s="525" t="str">
        <f>AY200</f>
        <v>S.S.2C.TN.Ap.2</v>
      </c>
      <c r="BA200" s="525" t="str">
        <f>VLOOKUP("*"&amp;BA$5&amp;".Ap."&amp;BA199,Check2,1,FALSE)</f>
        <v>S.S.2B.TN.Ap.3</v>
      </c>
      <c r="BB200" s="525" t="str">
        <f>BA200</f>
        <v>S.S.2B.TN.Ap.3</v>
      </c>
      <c r="BC200" s="826" t="str">
        <f>VLOOKUP("*"&amp;BC$5&amp;".Ap."&amp;BC199,Check2,1,FALSE)</f>
        <v>S.S.2A.TN.Ap.8</v>
      </c>
      <c r="BD200" s="744"/>
      <c r="BE200" s="535"/>
      <c r="BF200" s="535"/>
      <c r="BG200" s="744"/>
      <c r="BH200" s="1078"/>
      <c r="BI200" s="1078"/>
      <c r="BJ200" s="1078"/>
      <c r="BK200" s="561"/>
      <c r="BL200" s="854" t="s">
        <v>89</v>
      </c>
      <c r="BM200" s="855">
        <f>BM204+1</f>
        <v>2</v>
      </c>
      <c r="BN200" s="1134"/>
      <c r="BO200" s="484"/>
      <c r="BP200" s="485" t="s">
        <v>89</v>
      </c>
    </row>
    <row r="201" spans="1:68" ht="22.5" thickBot="1" x14ac:dyDescent="0.35">
      <c r="A201" s="1160"/>
      <c r="B201" s="857"/>
      <c r="C201" s="858" t="s">
        <v>65</v>
      </c>
      <c r="D201" s="562"/>
      <c r="E201" s="1078"/>
      <c r="F201" s="1078"/>
      <c r="G201" s="1078"/>
      <c r="H201" s="563"/>
      <c r="I201" s="563"/>
      <c r="J201" s="563"/>
      <c r="K201" s="563"/>
      <c r="L201" s="859">
        <f>VLOOKUP(L200,Check2,5,FALSE)</f>
        <v>201</v>
      </c>
      <c r="M201" s="539">
        <f>VLOOKUP(M200,Check2,5,FALSE)</f>
        <v>202</v>
      </c>
      <c r="N201" s="539"/>
      <c r="O201" s="724">
        <f>VLOOKUP(O200,Check2,5,FALSE)</f>
        <v>203</v>
      </c>
      <c r="P201" s="724">
        <f>VLOOKUP(P200,Check2,5,FALSE)</f>
        <v>204</v>
      </c>
      <c r="Q201" s="539">
        <f>VLOOKUP(Q200,Check2,5,FALSE)</f>
        <v>205</v>
      </c>
      <c r="R201" s="539"/>
      <c r="S201" s="539">
        <f>VLOOKUP(S200,Check2,5,FALSE)</f>
        <v>206</v>
      </c>
      <c r="T201" s="539"/>
      <c r="U201" s="860">
        <f>VLOOKUP(U200,Check2,5,FALSE)</f>
        <v>207</v>
      </c>
      <c r="V201" s="1162"/>
      <c r="W201" s="1163"/>
      <c r="X201" s="1163"/>
      <c r="Y201" s="1163"/>
      <c r="Z201" s="1163"/>
      <c r="AA201" s="1164"/>
      <c r="AB201" s="833"/>
      <c r="AC201" s="834"/>
      <c r="AD201" s="834"/>
      <c r="AE201" s="834"/>
      <c r="AF201" s="834"/>
      <c r="AG201" s="834"/>
      <c r="AH201" s="834"/>
      <c r="AI201" s="834"/>
      <c r="AJ201" s="834"/>
      <c r="AK201" s="834"/>
      <c r="AL201" s="834"/>
      <c r="AM201" s="834"/>
      <c r="AN201" s="835"/>
      <c r="AO201" s="822">
        <f>VLOOKUP(AO200,Check2,5,FALSE)</f>
        <v>202</v>
      </c>
      <c r="AP201" s="539">
        <f>VLOOKUP(AP200,Check2,5,FALSE)</f>
        <v>203</v>
      </c>
      <c r="AQ201" s="539"/>
      <c r="AR201" s="724">
        <f>VLOOKUP(AR200,Check2,5,FALSE)</f>
        <v>204</v>
      </c>
      <c r="AS201" s="539">
        <f>VLOOKUP(AS200,Check2,5,FALSE)</f>
        <v>205</v>
      </c>
      <c r="AT201" s="539"/>
      <c r="AU201" s="539"/>
      <c r="AV201" s="539">
        <f>VLOOKUP(AV200,Check2,5,FALSE)</f>
        <v>206</v>
      </c>
      <c r="AW201" s="539"/>
      <c r="AX201" s="539"/>
      <c r="AY201" s="539">
        <f>VLOOKUP(AY200,Check2,5,FALSE)</f>
        <v>207</v>
      </c>
      <c r="AZ201" s="539"/>
      <c r="BA201" s="539">
        <f>VLOOKUP(BA200,Check2,5,FALSE)</f>
        <v>208</v>
      </c>
      <c r="BB201" s="539"/>
      <c r="BC201" s="827">
        <f>VLOOKUP(BC200,Check2,5,FALSE)</f>
        <v>201</v>
      </c>
      <c r="BD201" s="745"/>
      <c r="BE201" s="563"/>
      <c r="BF201" s="563"/>
      <c r="BG201" s="745"/>
      <c r="BH201" s="1078"/>
      <c r="BI201" s="1078"/>
      <c r="BJ201" s="1078"/>
      <c r="BK201" s="564"/>
      <c r="BL201" s="861" t="s">
        <v>65</v>
      </c>
      <c r="BM201" s="857"/>
      <c r="BN201" s="1134"/>
      <c r="BO201" s="434"/>
      <c r="BP201" s="496" t="s">
        <v>1078</v>
      </c>
    </row>
    <row r="202" spans="1:68" ht="23.25" thickTop="1" thickBot="1" x14ac:dyDescent="0.45">
      <c r="A202" s="1161"/>
      <c r="B202" s="862">
        <v>13.36</v>
      </c>
      <c r="C202" s="863" t="s">
        <v>1</v>
      </c>
      <c r="D202" s="567"/>
      <c r="E202" s="1079"/>
      <c r="F202" s="1079"/>
      <c r="G202" s="1079"/>
      <c r="H202" s="568"/>
      <c r="I202" s="568"/>
      <c r="J202" s="568"/>
      <c r="K202" s="568"/>
      <c r="L202" s="845" t="str">
        <f>VLOOKUP(L200,Check2,6,FALSE)</f>
        <v>2A</v>
      </c>
      <c r="M202" s="569" t="str">
        <f>VLOOKUP(M200,Check2,6,FALSE)</f>
        <v>2B</v>
      </c>
      <c r="N202" s="569"/>
      <c r="O202" s="747" t="str">
        <f>VLOOKUP(O200,Check2,6,FALSE)</f>
        <v>2C</v>
      </c>
      <c r="P202" s="747" t="str">
        <f>VLOOKUP(P200,Check2,6,FALSE)</f>
        <v>3A</v>
      </c>
      <c r="Q202" s="569" t="str">
        <f>VLOOKUP(Q200,Check2,6,FALSE)</f>
        <v>2D</v>
      </c>
      <c r="R202" s="569"/>
      <c r="S202" s="569" t="str">
        <f>VLOOKUP(S200,Check2,6,FALSE)</f>
        <v>2E</v>
      </c>
      <c r="T202" s="569"/>
      <c r="U202" s="864" t="str">
        <f>VLOOKUP(U200,Check2,6,FALSE)</f>
        <v>2F</v>
      </c>
      <c r="V202" s="1165"/>
      <c r="W202" s="1166"/>
      <c r="X202" s="1166"/>
      <c r="Y202" s="1166"/>
      <c r="Z202" s="1166"/>
      <c r="AA202" s="1167"/>
      <c r="AB202" s="865"/>
      <c r="AC202" s="866"/>
      <c r="AD202" s="866"/>
      <c r="AE202" s="866"/>
      <c r="AF202" s="866"/>
      <c r="AG202" s="866"/>
      <c r="AH202" s="866"/>
      <c r="AI202" s="866"/>
      <c r="AJ202" s="866"/>
      <c r="AK202" s="866"/>
      <c r="AL202" s="866"/>
      <c r="AM202" s="866"/>
      <c r="AN202" s="867"/>
      <c r="AO202" s="823" t="str">
        <f>VLOOKUP(AO200,Check2,6,FALSE)</f>
        <v>4B</v>
      </c>
      <c r="AP202" s="569" t="str">
        <f>VLOOKUP(AP200,Check2,6,FALSE)</f>
        <v>2G</v>
      </c>
      <c r="AQ202" s="569"/>
      <c r="AR202" s="747" t="str">
        <f>VLOOKUP(AR200,Check2,6,FALSE)</f>
        <v>4A</v>
      </c>
      <c r="AS202" s="569" t="str">
        <f>VLOOKUP(AS200,Check2,6,FALSE)</f>
        <v>4H*</v>
      </c>
      <c r="AT202" s="569"/>
      <c r="AU202" s="569"/>
      <c r="AV202" s="569" t="str">
        <f>VLOOKUP(AV200,Check2,6,FALSE)</f>
        <v>4G*</v>
      </c>
      <c r="AW202" s="569"/>
      <c r="AX202" s="569"/>
      <c r="AY202" s="569" t="str">
        <f>VLOOKUP(AY200,Check2,6,FALSE)</f>
        <v>2C</v>
      </c>
      <c r="AZ202" s="569"/>
      <c r="BA202" s="569" t="str">
        <f>VLOOKUP(BA200,Check2,6,FALSE)</f>
        <v>2B</v>
      </c>
      <c r="BB202" s="569"/>
      <c r="BC202" s="846" t="str">
        <f>VLOOKUP(BC200,Check2,6,FALSE)</f>
        <v>2A</v>
      </c>
      <c r="BD202" s="746"/>
      <c r="BE202" s="568"/>
      <c r="BF202" s="568"/>
      <c r="BG202" s="746"/>
      <c r="BH202" s="1079"/>
      <c r="BI202" s="1079"/>
      <c r="BJ202" s="1079"/>
      <c r="BK202" s="572"/>
      <c r="BL202" s="868" t="s">
        <v>1</v>
      </c>
      <c r="BM202" s="869">
        <v>13.36</v>
      </c>
      <c r="BN202" s="1135"/>
      <c r="BO202" s="509"/>
      <c r="BP202" s="510" t="s">
        <v>1</v>
      </c>
    </row>
    <row r="203" spans="1:68" ht="26.25" thickTop="1" x14ac:dyDescent="0.45">
      <c r="A203" s="957" t="s">
        <v>57</v>
      </c>
      <c r="B203" s="870" t="str">
        <f>_xlfn.CONCAT("קומה ",B204)</f>
        <v>קומה 1</v>
      </c>
      <c r="C203" s="512" t="s">
        <v>0</v>
      </c>
      <c r="D203" s="556"/>
      <c r="E203" s="557"/>
      <c r="F203" s="557"/>
      <c r="G203" s="557"/>
      <c r="H203" s="557"/>
      <c r="I203" s="557"/>
      <c r="J203" s="557"/>
      <c r="K203" s="557"/>
      <c r="L203" s="1136" t="s">
        <v>128</v>
      </c>
      <c r="M203" s="1139" t="s">
        <v>1077</v>
      </c>
      <c r="N203" s="1140"/>
      <c r="O203" s="778">
        <v>1</v>
      </c>
      <c r="P203" s="514">
        <v>2</v>
      </c>
      <c r="Q203" s="514"/>
      <c r="R203" s="514"/>
      <c r="S203" s="514">
        <v>3</v>
      </c>
      <c r="T203" s="514"/>
      <c r="U203" s="463"/>
      <c r="V203" s="1145" t="s">
        <v>46</v>
      </c>
      <c r="W203" s="1146"/>
      <c r="X203" s="1151" t="s">
        <v>47</v>
      </c>
      <c r="Y203" s="1146"/>
      <c r="Z203" s="1154" t="s">
        <v>1081</v>
      </c>
      <c r="AA203" s="1157" t="s">
        <v>1083</v>
      </c>
      <c r="AB203" s="871"/>
      <c r="AC203" s="872"/>
      <c r="AD203" s="1168" t="s">
        <v>1206</v>
      </c>
      <c r="AE203" s="1169"/>
      <c r="AF203" s="1169"/>
      <c r="AG203" s="1169"/>
      <c r="AH203" s="1169"/>
      <c r="AI203" s="1169"/>
      <c r="AJ203" s="1169"/>
      <c r="AK203" s="1169"/>
      <c r="AL203" s="1169"/>
      <c r="AM203" s="1172" t="s">
        <v>49</v>
      </c>
      <c r="AN203" s="1173"/>
      <c r="AO203" s="873"/>
      <c r="AP203" s="874"/>
      <c r="AQ203" s="874"/>
      <c r="AR203" s="874"/>
      <c r="AS203" s="874"/>
      <c r="AT203" s="874"/>
      <c r="AU203" s="874"/>
      <c r="AV203" s="874"/>
      <c r="AW203" s="874"/>
      <c r="AX203" s="874"/>
      <c r="AY203" s="1178">
        <v>33</v>
      </c>
      <c r="AZ203" s="874"/>
      <c r="BA203" s="875"/>
      <c r="BB203" s="876"/>
      <c r="BC203" s="877"/>
      <c r="BD203" s="733"/>
      <c r="BE203" s="557"/>
      <c r="BF203" s="557"/>
      <c r="BG203" s="733"/>
      <c r="BH203" s="557"/>
      <c r="BI203" s="557"/>
      <c r="BJ203" s="557"/>
      <c r="BK203" s="559"/>
      <c r="BL203" s="522" t="s">
        <v>0</v>
      </c>
      <c r="BM203" s="721" t="str">
        <f>_xlfn.CONCAT("קומה ",BM204)</f>
        <v>קומה 1</v>
      </c>
      <c r="BN203" s="878" t="s">
        <v>83</v>
      </c>
      <c r="BO203" s="470"/>
      <c r="BP203" s="471" t="s">
        <v>0</v>
      </c>
    </row>
    <row r="204" spans="1:68" ht="22.5" hidden="1" x14ac:dyDescent="0.3">
      <c r="A204" s="957"/>
      <c r="B204" s="879">
        <v>1</v>
      </c>
      <c r="C204" s="512" t="s">
        <v>89</v>
      </c>
      <c r="D204" s="560"/>
      <c r="E204" s="535"/>
      <c r="F204" s="535"/>
      <c r="G204" s="535"/>
      <c r="H204" s="535"/>
      <c r="I204" s="535"/>
      <c r="J204" s="535"/>
      <c r="K204" s="535"/>
      <c r="L204" s="1137"/>
      <c r="M204" s="1141"/>
      <c r="N204" s="1142"/>
      <c r="O204" s="475" t="str">
        <f>VLOOKUP("*"&amp;O$5&amp;".Ap."&amp;O203,Check2,1,FALSE)</f>
        <v>O.MH.S.2C.TS.Ap.1</v>
      </c>
      <c r="P204" s="525" t="str">
        <f>VLOOKUP("*"&amp;P$5&amp;".Ap."&amp;P203,Check2,1,FALSE)</f>
        <v>O.S.4G.TS.Ap.2</v>
      </c>
      <c r="Q204" s="525" t="str">
        <f>P204</f>
        <v>O.S.4G.TS.Ap.2</v>
      </c>
      <c r="R204" s="525" t="str">
        <f>Q204</f>
        <v>O.S.4G.TS.Ap.2</v>
      </c>
      <c r="S204" s="525" t="str">
        <f>VLOOKUP("*"&amp;S$5&amp;".Ap."&amp;S203,Check2,1,FALSE)</f>
        <v>O.S.4H.TS.Ap.3</v>
      </c>
      <c r="T204" s="525" t="str">
        <f>S204</f>
        <v>O.S.4H.TS.Ap.3</v>
      </c>
      <c r="U204" s="478" t="str">
        <f>T204</f>
        <v>O.S.4H.TS.Ap.3</v>
      </c>
      <c r="V204" s="1147"/>
      <c r="W204" s="1148"/>
      <c r="X204" s="1152"/>
      <c r="Y204" s="1148"/>
      <c r="Z204" s="1155"/>
      <c r="AA204" s="1158"/>
      <c r="AB204" s="872"/>
      <c r="AC204" s="872"/>
      <c r="AD204" s="1170"/>
      <c r="AE204" s="1170"/>
      <c r="AF204" s="1170"/>
      <c r="AG204" s="1170"/>
      <c r="AH204" s="1170"/>
      <c r="AI204" s="1170"/>
      <c r="AJ204" s="1170"/>
      <c r="AK204" s="1170"/>
      <c r="AL204" s="1170"/>
      <c r="AM204" s="1174"/>
      <c r="AN204" s="1175"/>
      <c r="AO204" s="873"/>
      <c r="AP204" s="874"/>
      <c r="AQ204" s="874"/>
      <c r="AR204" s="874"/>
      <c r="AS204" s="874"/>
      <c r="AT204" s="874"/>
      <c r="AU204" s="874"/>
      <c r="AV204" s="874"/>
      <c r="AW204" s="874"/>
      <c r="AX204" s="874"/>
      <c r="AY204" s="1178"/>
      <c r="AZ204" s="880"/>
      <c r="BA204" s="875"/>
      <c r="BB204" s="876"/>
      <c r="BC204" s="877"/>
      <c r="BD204" s="744"/>
      <c r="BE204" s="535"/>
      <c r="BF204" s="535"/>
      <c r="BG204" s="744"/>
      <c r="BH204" s="535"/>
      <c r="BI204" s="535"/>
      <c r="BJ204" s="535"/>
      <c r="BK204" s="561"/>
      <c r="BL204" s="522" t="s">
        <v>89</v>
      </c>
      <c r="BM204" s="723">
        <v>1</v>
      </c>
      <c r="BN204" s="881">
        <v>1</v>
      </c>
      <c r="BO204" s="484"/>
      <c r="BP204" s="485" t="s">
        <v>89</v>
      </c>
    </row>
    <row r="205" spans="1:68" ht="22.5" x14ac:dyDescent="0.3">
      <c r="A205" s="957"/>
      <c r="B205" s="882"/>
      <c r="C205" s="538" t="s">
        <v>65</v>
      </c>
      <c r="D205" s="562"/>
      <c r="E205" s="563"/>
      <c r="F205" s="563"/>
      <c r="G205" s="563"/>
      <c r="H205" s="563"/>
      <c r="I205" s="563"/>
      <c r="J205" s="563"/>
      <c r="K205" s="563"/>
      <c r="L205" s="1137"/>
      <c r="M205" s="1141"/>
      <c r="N205" s="1142"/>
      <c r="O205" s="788">
        <f>VLOOKUP(O204,Check2,5,FALSE)</f>
        <v>101</v>
      </c>
      <c r="P205" s="539">
        <f>VLOOKUP(P204,Check2,5,FALSE)</f>
        <v>102</v>
      </c>
      <c r="Q205" s="539"/>
      <c r="R205" s="539"/>
      <c r="S205" s="539">
        <f>VLOOKUP(S204,Check2,5,FALSE)</f>
        <v>103</v>
      </c>
      <c r="T205" s="539"/>
      <c r="U205" s="491"/>
      <c r="V205" s="1147"/>
      <c r="W205" s="1148"/>
      <c r="X205" s="1152"/>
      <c r="Y205" s="1148"/>
      <c r="Z205" s="1155"/>
      <c r="AA205" s="1158"/>
      <c r="AB205" s="1180" t="s">
        <v>48</v>
      </c>
      <c r="AC205" s="1181"/>
      <c r="AD205" s="1170"/>
      <c r="AE205" s="1170"/>
      <c r="AF205" s="1170"/>
      <c r="AG205" s="1170"/>
      <c r="AH205" s="1170"/>
      <c r="AI205" s="1170"/>
      <c r="AJ205" s="1170"/>
      <c r="AK205" s="1170"/>
      <c r="AL205" s="1170"/>
      <c r="AM205" s="1176"/>
      <c r="AN205" s="1177"/>
      <c r="AO205" s="883" t="s">
        <v>129</v>
      </c>
      <c r="AP205" s="884"/>
      <c r="AQ205" s="884"/>
      <c r="AR205" s="884"/>
      <c r="AS205" s="884"/>
      <c r="AT205" s="884"/>
      <c r="AU205" s="884"/>
      <c r="AV205" s="884"/>
      <c r="AW205" s="884"/>
      <c r="AX205" s="884"/>
      <c r="AY205" s="1178"/>
      <c r="AZ205" s="884"/>
      <c r="BA205" s="885" t="s">
        <v>110</v>
      </c>
      <c r="BB205" s="886"/>
      <c r="BC205" s="887"/>
      <c r="BD205" s="745"/>
      <c r="BE205" s="563"/>
      <c r="BF205" s="563"/>
      <c r="BG205" s="745"/>
      <c r="BH205" s="563"/>
      <c r="BI205" s="563"/>
      <c r="BJ205" s="563"/>
      <c r="BK205" s="564"/>
      <c r="BL205" s="544" t="s">
        <v>65</v>
      </c>
      <c r="BM205" s="726"/>
      <c r="BN205" s="888"/>
      <c r="BO205" s="434"/>
      <c r="BP205" s="496" t="s">
        <v>1078</v>
      </c>
    </row>
    <row r="206" spans="1:68" ht="23.25" thickBot="1" x14ac:dyDescent="0.45">
      <c r="A206" s="958"/>
      <c r="B206" s="889">
        <v>9.76</v>
      </c>
      <c r="C206" s="546" t="s">
        <v>1</v>
      </c>
      <c r="D206" s="567"/>
      <c r="E206" s="568"/>
      <c r="F206" s="568"/>
      <c r="G206" s="568"/>
      <c r="H206" s="568"/>
      <c r="I206" s="568"/>
      <c r="J206" s="568"/>
      <c r="K206" s="568"/>
      <c r="L206" s="1138"/>
      <c r="M206" s="1143"/>
      <c r="N206" s="1144"/>
      <c r="O206" s="823" t="str">
        <f>VLOOKUP(O204,Check2,6,FALSE)</f>
        <v>2C*</v>
      </c>
      <c r="P206" s="569" t="str">
        <f>VLOOKUP(P204,Check2,6,FALSE)</f>
        <v>4G</v>
      </c>
      <c r="Q206" s="569"/>
      <c r="R206" s="569"/>
      <c r="S206" s="569" t="str">
        <f>VLOOKUP(S204,Check2,6,FALSE)</f>
        <v>4H</v>
      </c>
      <c r="T206" s="569"/>
      <c r="U206" s="502"/>
      <c r="V206" s="1149"/>
      <c r="W206" s="1150"/>
      <c r="X206" s="1153"/>
      <c r="Y206" s="1150"/>
      <c r="Z206" s="1156"/>
      <c r="AA206" s="1159"/>
      <c r="AB206" s="1182"/>
      <c r="AC206" s="1183"/>
      <c r="AD206" s="1171"/>
      <c r="AE206" s="1171"/>
      <c r="AF206" s="1171"/>
      <c r="AG206" s="1171"/>
      <c r="AH206" s="1171"/>
      <c r="AI206" s="1171"/>
      <c r="AJ206" s="1171"/>
      <c r="AK206" s="1171"/>
      <c r="AL206" s="1171"/>
      <c r="AM206" s="872"/>
      <c r="AN206" s="890"/>
      <c r="AO206" s="873"/>
      <c r="AP206" s="874"/>
      <c r="AQ206" s="874"/>
      <c r="AR206" s="874"/>
      <c r="AS206" s="874"/>
      <c r="AT206" s="874"/>
      <c r="AU206" s="874"/>
      <c r="AV206" s="874"/>
      <c r="AW206" s="874"/>
      <c r="AX206" s="874"/>
      <c r="AY206" s="1179"/>
      <c r="AZ206" s="874"/>
      <c r="BA206" s="875"/>
      <c r="BB206" s="876"/>
      <c r="BC206" s="877"/>
      <c r="BD206" s="746"/>
      <c r="BE206" s="568"/>
      <c r="BF206" s="568"/>
      <c r="BG206" s="746"/>
      <c r="BH206" s="568"/>
      <c r="BI206" s="568"/>
      <c r="BJ206" s="568"/>
      <c r="BK206" s="572"/>
      <c r="BL206" s="555" t="s">
        <v>1</v>
      </c>
      <c r="BM206" s="729">
        <v>9.76</v>
      </c>
      <c r="BN206" s="891">
        <v>8.85</v>
      </c>
      <c r="BO206" s="509"/>
      <c r="BP206" s="510" t="s">
        <v>1</v>
      </c>
    </row>
    <row r="207" spans="1:68" ht="25.5" x14ac:dyDescent="0.3">
      <c r="A207" s="1184" t="s">
        <v>37</v>
      </c>
      <c r="B207" s="1185"/>
      <c r="C207" s="1186"/>
      <c r="D207" s="892"/>
      <c r="E207" s="893"/>
      <c r="F207" s="893"/>
      <c r="G207" s="893"/>
      <c r="H207" s="893"/>
      <c r="I207" s="893"/>
      <c r="J207" s="893"/>
      <c r="K207" s="893"/>
      <c r="L207" s="1244" t="s">
        <v>189</v>
      </c>
      <c r="M207" s="1244"/>
      <c r="N207" s="1244"/>
      <c r="O207" s="1245"/>
      <c r="P207" s="1257" t="s">
        <v>113</v>
      </c>
      <c r="Q207" s="1249"/>
      <c r="R207" s="1249"/>
      <c r="S207" s="1249"/>
      <c r="T207" s="894">
        <v>31</v>
      </c>
      <c r="U207" s="1260" t="s">
        <v>112</v>
      </c>
      <c r="V207" s="1262" t="s">
        <v>110</v>
      </c>
      <c r="W207" s="1263"/>
      <c r="X207" s="1205" t="s">
        <v>191</v>
      </c>
      <c r="Y207" s="1206"/>
      <c r="Z207" s="1206"/>
      <c r="AA207" s="1211" t="s">
        <v>1084</v>
      </c>
      <c r="AB207" s="1213" t="s">
        <v>189</v>
      </c>
      <c r="AC207" s="1214"/>
      <c r="AD207" s="1214"/>
      <c r="AE207" s="1214"/>
      <c r="AF207" s="1214"/>
      <c r="AG207" s="1214"/>
      <c r="AH207" s="1214"/>
      <c r="AI207" s="1214"/>
      <c r="AJ207" s="1214"/>
      <c r="AK207" s="1214"/>
      <c r="AL207" s="1214"/>
      <c r="AM207" s="1215"/>
      <c r="AN207" s="895">
        <v>32</v>
      </c>
      <c r="AO207" s="1216" t="s">
        <v>129</v>
      </c>
      <c r="AP207" s="1216"/>
      <c r="AQ207" s="1216"/>
      <c r="AR207" s="1216"/>
      <c r="AS207" s="1216"/>
      <c r="AT207" s="1216"/>
      <c r="AU207" s="1216"/>
      <c r="AV207" s="1216"/>
      <c r="AW207" s="1216"/>
      <c r="AX207" s="1217"/>
      <c r="AY207" s="1222" t="s">
        <v>83</v>
      </c>
      <c r="AZ207" s="1225" t="s">
        <v>189</v>
      </c>
      <c r="BA207" s="1225"/>
      <c r="BB207" s="1225"/>
      <c r="BC207" s="1226"/>
      <c r="BD207" s="896"/>
      <c r="BE207" s="893"/>
      <c r="BF207" s="893"/>
      <c r="BG207" s="896"/>
      <c r="BH207" s="893"/>
      <c r="BI207" s="893"/>
      <c r="BJ207" s="893"/>
      <c r="BK207" s="897"/>
      <c r="BL207" s="1184" t="s">
        <v>37</v>
      </c>
      <c r="BM207" s="1185"/>
      <c r="BN207" s="1186"/>
      <c r="BP207" s="438" t="s">
        <v>0</v>
      </c>
    </row>
    <row r="208" spans="1:68" ht="22.5" x14ac:dyDescent="0.3">
      <c r="A208" s="1187">
        <v>4.8</v>
      </c>
      <c r="B208" s="1188"/>
      <c r="C208" s="1189"/>
      <c r="D208" s="562"/>
      <c r="E208" s="563"/>
      <c r="F208" s="563"/>
      <c r="G208" s="563"/>
      <c r="H208" s="563"/>
      <c r="I208" s="563"/>
      <c r="J208" s="563"/>
      <c r="K208" s="563"/>
      <c r="L208" s="1244"/>
      <c r="M208" s="1244"/>
      <c r="N208" s="1244"/>
      <c r="O208" s="1245"/>
      <c r="P208" s="1257"/>
      <c r="Q208" s="1249"/>
      <c r="R208" s="1190" t="s">
        <v>190</v>
      </c>
      <c r="S208" s="1190"/>
      <c r="T208" s="1192" t="s">
        <v>45</v>
      </c>
      <c r="U208" s="1260"/>
      <c r="V208" s="1264"/>
      <c r="W208" s="1265"/>
      <c r="X208" s="1207"/>
      <c r="Y208" s="1208"/>
      <c r="Z208" s="1208"/>
      <c r="AA208" s="1212"/>
      <c r="AB208" s="1194" t="s">
        <v>111</v>
      </c>
      <c r="AC208" s="1195"/>
      <c r="AD208" s="1195"/>
      <c r="AE208" s="1195"/>
      <c r="AF208" s="1195"/>
      <c r="AG208" s="1195"/>
      <c r="AH208" s="1195"/>
      <c r="AI208" s="1195"/>
      <c r="AJ208" s="1195"/>
      <c r="AK208" s="1195"/>
      <c r="AL208" s="1195"/>
      <c r="AM208" s="1196"/>
      <c r="AN208" s="1197" t="s">
        <v>1082</v>
      </c>
      <c r="AO208" s="1218"/>
      <c r="AP208" s="1218"/>
      <c r="AQ208" s="1218"/>
      <c r="AR208" s="1218"/>
      <c r="AS208" s="1218"/>
      <c r="AT208" s="1218"/>
      <c r="AU208" s="1218"/>
      <c r="AV208" s="1218"/>
      <c r="AW208" s="1218"/>
      <c r="AX208" s="1219"/>
      <c r="AY208" s="1223"/>
      <c r="AZ208" s="1227"/>
      <c r="BA208" s="1227"/>
      <c r="BB208" s="1227"/>
      <c r="BC208" s="1228"/>
      <c r="BD208" s="745"/>
      <c r="BE208" s="563"/>
      <c r="BF208" s="563"/>
      <c r="BG208" s="745"/>
      <c r="BH208" s="563"/>
      <c r="BI208" s="563"/>
      <c r="BJ208" s="563"/>
      <c r="BK208" s="564"/>
      <c r="BL208" s="1187">
        <v>4.8</v>
      </c>
      <c r="BM208" s="1188"/>
      <c r="BN208" s="1189"/>
      <c r="BP208" s="457" t="s">
        <v>1078</v>
      </c>
    </row>
    <row r="209" spans="1:68" ht="23.25" thickBot="1" x14ac:dyDescent="0.35">
      <c r="A209" s="1199"/>
      <c r="B209" s="1200"/>
      <c r="C209" s="1201"/>
      <c r="D209" s="899"/>
      <c r="E209" s="900"/>
      <c r="F209" s="900"/>
      <c r="G209" s="900"/>
      <c r="H209" s="900"/>
      <c r="I209" s="900"/>
      <c r="J209" s="900"/>
      <c r="K209" s="900"/>
      <c r="L209" s="1255"/>
      <c r="M209" s="1255"/>
      <c r="N209" s="1255"/>
      <c r="O209" s="1256"/>
      <c r="P209" s="1258"/>
      <c r="Q209" s="1259"/>
      <c r="R209" s="1191"/>
      <c r="S209" s="1191"/>
      <c r="T209" s="1193"/>
      <c r="U209" s="1261"/>
      <c r="V209" s="1266"/>
      <c r="W209" s="1267"/>
      <c r="X209" s="1209"/>
      <c r="Y209" s="1210"/>
      <c r="Z209" s="1210"/>
      <c r="AA209" s="901" t="s">
        <v>84</v>
      </c>
      <c r="AB209" s="1202" t="s">
        <v>117</v>
      </c>
      <c r="AC209" s="1203"/>
      <c r="AD209" s="1203"/>
      <c r="AE209" s="1203"/>
      <c r="AF209" s="1203"/>
      <c r="AG209" s="1203"/>
      <c r="AH209" s="1203"/>
      <c r="AI209" s="1203"/>
      <c r="AJ209" s="1203"/>
      <c r="AK209" s="1203"/>
      <c r="AL209" s="1203"/>
      <c r="AM209" s="1204"/>
      <c r="AN209" s="1198"/>
      <c r="AO209" s="1220"/>
      <c r="AP209" s="1220"/>
      <c r="AQ209" s="1220"/>
      <c r="AR209" s="1220"/>
      <c r="AS209" s="1220"/>
      <c r="AT209" s="1220"/>
      <c r="AU209" s="1220"/>
      <c r="AV209" s="1220"/>
      <c r="AW209" s="1220"/>
      <c r="AX209" s="1221"/>
      <c r="AY209" s="1224"/>
      <c r="AZ209" s="1229"/>
      <c r="BA209" s="1229"/>
      <c r="BB209" s="1229"/>
      <c r="BC209" s="1230"/>
      <c r="BD209" s="902"/>
      <c r="BE209" s="900"/>
      <c r="BF209" s="900"/>
      <c r="BG209" s="902"/>
      <c r="BH209" s="900"/>
      <c r="BI209" s="900"/>
      <c r="BJ209" s="900"/>
      <c r="BK209" s="903"/>
      <c r="BL209" s="1199"/>
      <c r="BM209" s="1200"/>
      <c r="BN209" s="1201"/>
      <c r="BP209" s="438" t="s">
        <v>1</v>
      </c>
    </row>
    <row r="210" spans="1:68" ht="25.5" x14ac:dyDescent="0.3">
      <c r="A210" s="1239" t="s">
        <v>36</v>
      </c>
      <c r="B210" s="1240"/>
      <c r="C210" s="1241"/>
      <c r="D210" s="904"/>
      <c r="E210" s="905"/>
      <c r="F210" s="905"/>
      <c r="G210" s="905"/>
      <c r="H210" s="905"/>
      <c r="I210" s="905"/>
      <c r="J210" s="905"/>
      <c r="K210" s="905"/>
      <c r="L210" s="1242" t="s">
        <v>116</v>
      </c>
      <c r="M210" s="1242"/>
      <c r="N210" s="1242"/>
      <c r="O210" s="1243"/>
      <c r="P210" s="1248" t="s">
        <v>118</v>
      </c>
      <c r="Q210" s="1248"/>
      <c r="R210" s="1251"/>
      <c r="S210" s="1251"/>
      <c r="T210" s="1211" t="s">
        <v>1082</v>
      </c>
      <c r="U210" s="906" t="s">
        <v>193</v>
      </c>
      <c r="V210" s="1252" t="s">
        <v>114</v>
      </c>
      <c r="W210" s="895">
        <v>29</v>
      </c>
      <c r="X210" s="895">
        <v>30</v>
      </c>
      <c r="Y210" s="1249" t="s">
        <v>115</v>
      </c>
      <c r="Z210" s="1249"/>
      <c r="AA210" s="1249"/>
      <c r="AB210" s="1304" t="s">
        <v>116</v>
      </c>
      <c r="AC210" s="1242"/>
      <c r="AD210" s="1242"/>
      <c r="AE210" s="1242"/>
      <c r="AF210" s="1242"/>
      <c r="AG210" s="1242"/>
      <c r="AH210" s="1242"/>
      <c r="AI210" s="1242"/>
      <c r="AJ210" s="1242"/>
      <c r="AK210" s="1242"/>
      <c r="AL210" s="1242"/>
      <c r="AM210" s="1290"/>
      <c r="AN210" s="1305" t="s">
        <v>45</v>
      </c>
      <c r="AO210" s="1307" t="s">
        <v>119</v>
      </c>
      <c r="AP210" s="1307"/>
      <c r="AQ210" s="1307"/>
      <c r="AR210" s="1307"/>
      <c r="AS210" s="1231" t="s">
        <v>120</v>
      </c>
      <c r="AT210" s="1234" t="s">
        <v>129</v>
      </c>
      <c r="AU210" s="1216"/>
      <c r="AV210" s="1216"/>
      <c r="AW210" s="1216"/>
      <c r="AX210" s="1217"/>
      <c r="AY210" s="1222"/>
      <c r="AZ210" s="1242" t="s">
        <v>116</v>
      </c>
      <c r="BA210" s="1242"/>
      <c r="BB210" s="1242"/>
      <c r="BC210" s="1290"/>
      <c r="BD210" s="907"/>
      <c r="BE210" s="905"/>
      <c r="BF210" s="905"/>
      <c r="BG210" s="907"/>
      <c r="BH210" s="905"/>
      <c r="BI210" s="905"/>
      <c r="BJ210" s="905"/>
      <c r="BK210" s="908"/>
      <c r="BL210" s="1239" t="s">
        <v>36</v>
      </c>
      <c r="BM210" s="1240"/>
      <c r="BN210" s="1241"/>
      <c r="BP210" s="457" t="s">
        <v>0</v>
      </c>
    </row>
    <row r="211" spans="1:68" ht="23.25" thickBot="1" x14ac:dyDescent="0.35">
      <c r="A211" s="1187">
        <v>0</v>
      </c>
      <c r="B211" s="1188"/>
      <c r="C211" s="1189"/>
      <c r="D211" s="909"/>
      <c r="E211" s="910"/>
      <c r="F211" s="910"/>
      <c r="G211" s="910"/>
      <c r="H211" s="910"/>
      <c r="I211" s="910"/>
      <c r="J211" s="910"/>
      <c r="K211" s="910"/>
      <c r="L211" s="1244"/>
      <c r="M211" s="1244"/>
      <c r="N211" s="1244"/>
      <c r="O211" s="1245"/>
      <c r="P211" s="1249"/>
      <c r="Q211" s="1249"/>
      <c r="R211" s="1293" t="s">
        <v>190</v>
      </c>
      <c r="S211" s="1294"/>
      <c r="T211" s="1212"/>
      <c r="U211" s="1260" t="s">
        <v>194</v>
      </c>
      <c r="V211" s="1253"/>
      <c r="W211" s="1298"/>
      <c r="X211" s="1298"/>
      <c r="Y211" s="1249"/>
      <c r="Z211" s="1249"/>
      <c r="AA211" s="1249"/>
      <c r="AB211" s="1300"/>
      <c r="AC211" s="1255"/>
      <c r="AD211" s="1255"/>
      <c r="AE211" s="1255"/>
      <c r="AF211" s="1255"/>
      <c r="AG211" s="1301" t="s">
        <v>192</v>
      </c>
      <c r="AH211" s="1302"/>
      <c r="AI211" s="1303"/>
      <c r="AJ211" s="911"/>
      <c r="AK211" s="911"/>
      <c r="AL211" s="911"/>
      <c r="AM211" s="911"/>
      <c r="AN211" s="1306"/>
      <c r="AO211" s="1308"/>
      <c r="AP211" s="1308"/>
      <c r="AQ211" s="1308"/>
      <c r="AR211" s="1308"/>
      <c r="AS211" s="1232"/>
      <c r="AT211" s="1235"/>
      <c r="AU211" s="1218"/>
      <c r="AV211" s="1218"/>
      <c r="AW211" s="1218"/>
      <c r="AX211" s="1219"/>
      <c r="AY211" s="1223"/>
      <c r="AZ211" s="1244"/>
      <c r="BA211" s="1244"/>
      <c r="BB211" s="1244"/>
      <c r="BC211" s="1291"/>
      <c r="BD211" s="912"/>
      <c r="BE211" s="910"/>
      <c r="BF211" s="910"/>
      <c r="BG211" s="912"/>
      <c r="BH211" s="910"/>
      <c r="BI211" s="910"/>
      <c r="BJ211" s="910"/>
      <c r="BK211" s="913"/>
      <c r="BL211" s="1187">
        <v>0</v>
      </c>
      <c r="BM211" s="1188"/>
      <c r="BN211" s="898">
        <v>0.4</v>
      </c>
      <c r="BP211" s="438" t="s">
        <v>1078</v>
      </c>
    </row>
    <row r="212" spans="1:68" ht="23.25" thickBot="1" x14ac:dyDescent="0.35">
      <c r="A212" s="1268"/>
      <c r="B212" s="1269"/>
      <c r="C212" s="1270"/>
      <c r="D212" s="562"/>
      <c r="E212" s="563"/>
      <c r="F212" s="563"/>
      <c r="G212" s="563"/>
      <c r="H212" s="563"/>
      <c r="I212" s="563"/>
      <c r="J212" s="563"/>
      <c r="K212" s="563"/>
      <c r="L212" s="1246"/>
      <c r="M212" s="1246"/>
      <c r="N212" s="1246"/>
      <c r="O212" s="1247"/>
      <c r="P212" s="1250"/>
      <c r="Q212" s="1250"/>
      <c r="R212" s="1295"/>
      <c r="S212" s="1296"/>
      <c r="T212" s="914">
        <v>31</v>
      </c>
      <c r="U212" s="1297"/>
      <c r="V212" s="1254"/>
      <c r="W212" s="1299"/>
      <c r="X212" s="1299"/>
      <c r="Y212" s="1250"/>
      <c r="Z212" s="1250"/>
      <c r="AA212" s="1250"/>
      <c r="AB212" s="1250"/>
      <c r="AC212" s="1271"/>
      <c r="AD212" s="1272" t="s">
        <v>117</v>
      </c>
      <c r="AE212" s="1273"/>
      <c r="AF212" s="1273"/>
      <c r="AG212" s="1273"/>
      <c r="AH212" s="1273"/>
      <c r="AI212" s="1273"/>
      <c r="AJ212" s="1273"/>
      <c r="AK212" s="1273"/>
      <c r="AL212" s="1273"/>
      <c r="AM212" s="1274"/>
      <c r="AN212" s="914">
        <v>32</v>
      </c>
      <c r="AO212" s="1309"/>
      <c r="AP212" s="1309"/>
      <c r="AQ212" s="1309"/>
      <c r="AR212" s="1309"/>
      <c r="AS212" s="1233"/>
      <c r="AT212" s="1236"/>
      <c r="AU212" s="1237"/>
      <c r="AV212" s="1237"/>
      <c r="AW212" s="1237"/>
      <c r="AX212" s="1238"/>
      <c r="AY212" s="1224"/>
      <c r="AZ212" s="1246"/>
      <c r="BA212" s="1246"/>
      <c r="BB212" s="1246"/>
      <c r="BC212" s="1292"/>
      <c r="BD212" s="745"/>
      <c r="BE212" s="563"/>
      <c r="BF212" s="563"/>
      <c r="BG212" s="745"/>
      <c r="BH212" s="563"/>
      <c r="BI212" s="563"/>
      <c r="BJ212" s="563"/>
      <c r="BK212" s="564"/>
      <c r="BL212" s="1275"/>
      <c r="BM212" s="1276"/>
      <c r="BN212" s="915" t="s">
        <v>83</v>
      </c>
      <c r="BP212" s="457" t="s">
        <v>1</v>
      </c>
    </row>
    <row r="213" spans="1:68" ht="26.25" thickTop="1" x14ac:dyDescent="0.3">
      <c r="A213" s="1184" t="s">
        <v>38</v>
      </c>
      <c r="B213" s="1185"/>
      <c r="C213" s="1186"/>
      <c r="D213" s="892"/>
      <c r="E213" s="893"/>
      <c r="F213" s="893"/>
      <c r="G213" s="893"/>
      <c r="H213" s="893"/>
      <c r="I213" s="893"/>
      <c r="J213" s="893"/>
      <c r="K213" s="893"/>
      <c r="L213" s="1277" t="s">
        <v>205</v>
      </c>
      <c r="M213" s="1279" t="s">
        <v>203</v>
      </c>
      <c r="N213" s="1280"/>
      <c r="O213" s="1281"/>
      <c r="P213" s="1282" t="s">
        <v>202</v>
      </c>
      <c r="Q213" s="1284" t="s">
        <v>201</v>
      </c>
      <c r="R213" s="1285"/>
      <c r="S213" s="1286"/>
      <c r="T213" s="1343" t="s">
        <v>44</v>
      </c>
      <c r="U213" s="1344"/>
      <c r="V213" s="1253" t="s">
        <v>121</v>
      </c>
      <c r="W213" s="1450" t="s">
        <v>45</v>
      </c>
      <c r="X213" s="1450" t="s">
        <v>45</v>
      </c>
      <c r="Y213" s="1453"/>
      <c r="Z213" s="1453"/>
      <c r="AA213" s="1453"/>
      <c r="AB213" s="1454" t="s">
        <v>123</v>
      </c>
      <c r="AC213" s="1454"/>
      <c r="AD213" s="1454"/>
      <c r="AE213" s="1454"/>
      <c r="AF213" s="1454"/>
      <c r="AG213" s="1454"/>
      <c r="AH213" s="1454"/>
      <c r="AI213" s="1454"/>
      <c r="AJ213" s="1454"/>
      <c r="AK213" s="1454"/>
      <c r="AL213" s="1454"/>
      <c r="AM213" s="1333" t="s">
        <v>195</v>
      </c>
      <c r="AN213" s="1333"/>
      <c r="AO213" s="1308"/>
      <c r="AP213" s="1308"/>
      <c r="AQ213" s="1308"/>
      <c r="AR213" s="1335" t="s">
        <v>124</v>
      </c>
      <c r="AS213" s="1335" t="s">
        <v>125</v>
      </c>
      <c r="AT213" s="1337" t="s">
        <v>196</v>
      </c>
      <c r="AU213" s="1338"/>
      <c r="AV213" s="1341" t="s">
        <v>197</v>
      </c>
      <c r="AW213" s="1320" t="s">
        <v>126</v>
      </c>
      <c r="AX213" s="1322" t="s">
        <v>127</v>
      </c>
      <c r="AY213" s="1324" t="s">
        <v>83</v>
      </c>
      <c r="AZ213" s="1326" t="s">
        <v>198</v>
      </c>
      <c r="BA213" s="1329" t="s">
        <v>199</v>
      </c>
      <c r="BB213" s="1277"/>
      <c r="BC213" s="1331" t="s">
        <v>200</v>
      </c>
      <c r="BD213" s="896"/>
      <c r="BE213" s="893"/>
      <c r="BF213" s="893"/>
      <c r="BG213" s="896"/>
      <c r="BH213" s="893"/>
      <c r="BI213" s="893"/>
      <c r="BJ213" s="893"/>
      <c r="BK213" s="897"/>
      <c r="BL213" s="1310" t="s">
        <v>38</v>
      </c>
      <c r="BM213" s="1311"/>
      <c r="BN213" s="1312"/>
      <c r="BP213" s="438" t="s">
        <v>0</v>
      </c>
    </row>
    <row r="214" spans="1:68" ht="21.75" x14ac:dyDescent="0.3">
      <c r="A214" s="1187">
        <v>-8.4</v>
      </c>
      <c r="B214" s="1188"/>
      <c r="C214" s="1189"/>
      <c r="D214" s="562"/>
      <c r="E214" s="563"/>
      <c r="F214" s="563"/>
      <c r="G214" s="563"/>
      <c r="H214" s="563"/>
      <c r="I214" s="563"/>
      <c r="J214" s="563"/>
      <c r="K214" s="563"/>
      <c r="L214" s="1277"/>
      <c r="M214" s="1313" t="s">
        <v>204</v>
      </c>
      <c r="N214" s="1313"/>
      <c r="O214" s="1313"/>
      <c r="P214" s="1282"/>
      <c r="Q214" s="1284"/>
      <c r="R214" s="1285"/>
      <c r="S214" s="1286"/>
      <c r="T214" s="1343"/>
      <c r="U214" s="1344"/>
      <c r="V214" s="1253"/>
      <c r="W214" s="1451"/>
      <c r="X214" s="1451"/>
      <c r="Y214" s="1249"/>
      <c r="Z214" s="1249"/>
      <c r="AA214" s="1249"/>
      <c r="AB214" s="1315" t="s">
        <v>122</v>
      </c>
      <c r="AC214" s="1315"/>
      <c r="AD214" s="1315"/>
      <c r="AE214" s="1315"/>
      <c r="AF214" s="1317" t="s">
        <v>44</v>
      </c>
      <c r="AG214" s="1318"/>
      <c r="AH214" s="1315" t="s">
        <v>122</v>
      </c>
      <c r="AI214" s="1315"/>
      <c r="AJ214" s="1315"/>
      <c r="AK214" s="1315"/>
      <c r="AL214" s="1315"/>
      <c r="AM214" s="1315"/>
      <c r="AN214" s="1315"/>
      <c r="AO214" s="1308"/>
      <c r="AP214" s="1308"/>
      <c r="AQ214" s="1308"/>
      <c r="AR214" s="1335"/>
      <c r="AS214" s="1335"/>
      <c r="AT214" s="1337"/>
      <c r="AU214" s="1338"/>
      <c r="AV214" s="1341"/>
      <c r="AW214" s="1320"/>
      <c r="AX214" s="1322"/>
      <c r="AY214" s="1324"/>
      <c r="AZ214" s="1327"/>
      <c r="BA214" s="1329"/>
      <c r="BB214" s="1277"/>
      <c r="BC214" s="1331"/>
      <c r="BD214" s="745"/>
      <c r="BE214" s="563"/>
      <c r="BF214" s="563"/>
      <c r="BG214" s="745"/>
      <c r="BH214" s="563"/>
      <c r="BI214" s="563"/>
      <c r="BJ214" s="563"/>
      <c r="BK214" s="564"/>
      <c r="BL214" s="1187">
        <v>-8.4</v>
      </c>
      <c r="BM214" s="1188"/>
      <c r="BN214" s="1189"/>
      <c r="BP214" s="457" t="s">
        <v>1078</v>
      </c>
    </row>
    <row r="215" spans="1:68" ht="23.25" thickBot="1" x14ac:dyDescent="0.45">
      <c r="A215" s="1199"/>
      <c r="B215" s="1200"/>
      <c r="C215" s="1201"/>
      <c r="D215" s="899"/>
      <c r="E215" s="900"/>
      <c r="F215" s="900"/>
      <c r="G215" s="900"/>
      <c r="H215" s="900"/>
      <c r="I215" s="900"/>
      <c r="J215" s="900"/>
      <c r="K215" s="900"/>
      <c r="L215" s="1278"/>
      <c r="M215" s="1314"/>
      <c r="N215" s="1314"/>
      <c r="O215" s="1314"/>
      <c r="P215" s="1283"/>
      <c r="Q215" s="1287"/>
      <c r="R215" s="1288"/>
      <c r="S215" s="1289"/>
      <c r="T215" s="1345"/>
      <c r="U215" s="1346"/>
      <c r="V215" s="1347"/>
      <c r="W215" s="1452"/>
      <c r="X215" s="1452"/>
      <c r="Y215" s="1259"/>
      <c r="Z215" s="1259"/>
      <c r="AA215" s="1259"/>
      <c r="AB215" s="1316"/>
      <c r="AC215" s="1316"/>
      <c r="AD215" s="1316"/>
      <c r="AE215" s="1316"/>
      <c r="AF215" s="1319"/>
      <c r="AG215" s="1319"/>
      <c r="AH215" s="1316"/>
      <c r="AI215" s="1316"/>
      <c r="AJ215" s="1316"/>
      <c r="AK215" s="1316"/>
      <c r="AL215" s="1316"/>
      <c r="AM215" s="1316"/>
      <c r="AN215" s="1316"/>
      <c r="AO215" s="1334"/>
      <c r="AP215" s="1334"/>
      <c r="AQ215" s="1334"/>
      <c r="AR215" s="1336"/>
      <c r="AS215" s="1336"/>
      <c r="AT215" s="1339"/>
      <c r="AU215" s="1340"/>
      <c r="AV215" s="1342"/>
      <c r="AW215" s="1321"/>
      <c r="AX215" s="1323"/>
      <c r="AY215" s="1325"/>
      <c r="AZ215" s="1328"/>
      <c r="BA215" s="1330"/>
      <c r="BB215" s="1278"/>
      <c r="BC215" s="1332"/>
      <c r="BD215" s="902"/>
      <c r="BE215" s="900"/>
      <c r="BF215" s="900"/>
      <c r="BG215" s="902"/>
      <c r="BH215" s="900"/>
      <c r="BI215" s="900"/>
      <c r="BJ215" s="900"/>
      <c r="BK215" s="903"/>
      <c r="BL215" s="1199"/>
      <c r="BM215" s="1200"/>
      <c r="BN215" s="1201"/>
      <c r="BP215" s="438" t="s">
        <v>1</v>
      </c>
    </row>
    <row r="216" spans="1:68" ht="25.5" x14ac:dyDescent="0.3">
      <c r="A216" s="1239" t="s">
        <v>39</v>
      </c>
      <c r="B216" s="1240"/>
      <c r="C216" s="1241"/>
      <c r="D216" s="904"/>
      <c r="E216" s="905"/>
      <c r="F216" s="905"/>
      <c r="G216" s="905"/>
      <c r="H216" s="905"/>
      <c r="I216" s="905"/>
      <c r="J216" s="905"/>
      <c r="K216" s="905"/>
      <c r="L216" s="1373" t="s">
        <v>207</v>
      </c>
      <c r="M216" s="1374"/>
      <c r="N216" s="1362" t="s">
        <v>208</v>
      </c>
      <c r="O216" s="1362"/>
      <c r="P216" s="1362"/>
      <c r="Q216" s="1377"/>
      <c r="R216" s="1377"/>
      <c r="S216" s="1377"/>
      <c r="T216" s="1377"/>
      <c r="U216" s="1377"/>
      <c r="V216" s="1378" t="s">
        <v>206</v>
      </c>
      <c r="W216" s="1357"/>
      <c r="X216" s="1357"/>
      <c r="Y216" s="1359" t="s">
        <v>1205</v>
      </c>
      <c r="Z216" s="1359"/>
      <c r="AA216" s="1263"/>
      <c r="AB216" s="1362" t="s">
        <v>208</v>
      </c>
      <c r="AC216" s="1362"/>
      <c r="AD216" s="1362"/>
      <c r="AE216" s="1362"/>
      <c r="AF216" s="1362"/>
      <c r="AG216" s="1362"/>
      <c r="AH216" s="1362"/>
      <c r="AI216" s="1362"/>
      <c r="AJ216" s="1362"/>
      <c r="AK216" s="1362"/>
      <c r="AL216" s="1362"/>
      <c r="AM216" s="1362"/>
      <c r="AN216" s="1362"/>
      <c r="AO216" s="1364" t="s">
        <v>43</v>
      </c>
      <c r="AP216" s="1367" t="s">
        <v>208</v>
      </c>
      <c r="AQ216" s="1348"/>
      <c r="AR216" s="1348"/>
      <c r="AS216" s="1348"/>
      <c r="AT216" s="1348"/>
      <c r="AU216" s="1348"/>
      <c r="AV216" s="1348"/>
      <c r="AW216" s="1348"/>
      <c r="AX216" s="1348"/>
      <c r="AY216" s="1370">
        <v>33</v>
      </c>
      <c r="AZ216" s="1348"/>
      <c r="BA216" s="1348"/>
      <c r="BB216" s="1348"/>
      <c r="BC216" s="1349"/>
      <c r="BD216" s="907"/>
      <c r="BE216" s="905"/>
      <c r="BF216" s="905"/>
      <c r="BG216" s="907"/>
      <c r="BH216" s="905"/>
      <c r="BI216" s="905"/>
      <c r="BJ216" s="905"/>
      <c r="BK216" s="908"/>
      <c r="BL216" s="1239" t="s">
        <v>39</v>
      </c>
      <c r="BM216" s="1240"/>
      <c r="BN216" s="1241"/>
      <c r="BP216" s="457" t="s">
        <v>0</v>
      </c>
    </row>
    <row r="217" spans="1:68" ht="22.5" x14ac:dyDescent="0.3">
      <c r="A217" s="1187">
        <v>-12.3</v>
      </c>
      <c r="B217" s="1188"/>
      <c r="C217" s="1189"/>
      <c r="D217" s="909"/>
      <c r="E217" s="910"/>
      <c r="F217" s="910"/>
      <c r="G217" s="910"/>
      <c r="H217" s="910"/>
      <c r="I217" s="910"/>
      <c r="J217" s="910"/>
      <c r="K217" s="910"/>
      <c r="L217" s="1375"/>
      <c r="M217" s="1376"/>
      <c r="N217" s="1363"/>
      <c r="O217" s="1363"/>
      <c r="P217" s="1363"/>
      <c r="Q217" s="1354" t="s">
        <v>43</v>
      </c>
      <c r="R217" s="1355"/>
      <c r="S217" s="1355"/>
      <c r="T217" s="1355"/>
      <c r="U217" s="1355"/>
      <c r="V217" s="1379"/>
      <c r="W217" s="1358"/>
      <c r="X217" s="1358"/>
      <c r="Y217" s="1360"/>
      <c r="Z217" s="1360"/>
      <c r="AA217" s="1361"/>
      <c r="AB217" s="1363"/>
      <c r="AC217" s="1363"/>
      <c r="AD217" s="1363"/>
      <c r="AE217" s="1363"/>
      <c r="AF217" s="1363"/>
      <c r="AG217" s="1363"/>
      <c r="AH217" s="1363"/>
      <c r="AI217" s="1363"/>
      <c r="AJ217" s="1363"/>
      <c r="AK217" s="1363"/>
      <c r="AL217" s="1363"/>
      <c r="AM217" s="1363"/>
      <c r="AN217" s="1363"/>
      <c r="AO217" s="1365"/>
      <c r="AP217" s="1368"/>
      <c r="AQ217" s="1350"/>
      <c r="AR217" s="1350"/>
      <c r="AS217" s="1350"/>
      <c r="AT217" s="1350"/>
      <c r="AU217" s="1350"/>
      <c r="AV217" s="1350"/>
      <c r="AW217" s="1350"/>
      <c r="AX217" s="1350"/>
      <c r="AY217" s="1371"/>
      <c r="AZ217" s="1350"/>
      <c r="BA217" s="1350"/>
      <c r="BB217" s="1350"/>
      <c r="BC217" s="1351"/>
      <c r="BD217" s="912"/>
      <c r="BE217" s="910"/>
      <c r="BF217" s="910"/>
      <c r="BG217" s="912"/>
      <c r="BH217" s="910"/>
      <c r="BI217" s="910"/>
      <c r="BJ217" s="910"/>
      <c r="BK217" s="913"/>
      <c r="BL217" s="1187">
        <v>-12.3</v>
      </c>
      <c r="BM217" s="1188"/>
      <c r="BN217" s="1189"/>
      <c r="BP217" s="438" t="s">
        <v>1078</v>
      </c>
    </row>
    <row r="218" spans="1:68" ht="23.25" thickBot="1" x14ac:dyDescent="0.35">
      <c r="A218" s="1199"/>
      <c r="B218" s="1200"/>
      <c r="C218" s="1201"/>
      <c r="D218" s="562"/>
      <c r="E218" s="563"/>
      <c r="F218" s="563"/>
      <c r="G218" s="563"/>
      <c r="H218" s="563"/>
      <c r="I218" s="563"/>
      <c r="J218" s="563"/>
      <c r="K218" s="563"/>
      <c r="L218" s="1356"/>
      <c r="M218" s="1356"/>
      <c r="N218" s="1356"/>
      <c r="O218" s="1356"/>
      <c r="P218" s="1356"/>
      <c r="Q218" s="916"/>
      <c r="R218" s="916"/>
      <c r="S218" s="916"/>
      <c r="T218" s="916"/>
      <c r="U218" s="916"/>
      <c r="V218" s="916"/>
      <c r="W218" s="901">
        <v>29</v>
      </c>
      <c r="X218" s="901">
        <v>30</v>
      </c>
      <c r="Y218" s="917"/>
      <c r="Z218" s="917"/>
      <c r="AA218" s="917"/>
      <c r="AB218" s="1356"/>
      <c r="AC218" s="1356"/>
      <c r="AD218" s="1356"/>
      <c r="AE218" s="1356"/>
      <c r="AF218" s="1356"/>
      <c r="AG218" s="1356"/>
      <c r="AH218" s="1356"/>
      <c r="AI218" s="1356"/>
      <c r="AJ218" s="1356"/>
      <c r="AK218" s="1356"/>
      <c r="AL218" s="1356"/>
      <c r="AM218" s="1356"/>
      <c r="AN218" s="1356"/>
      <c r="AO218" s="1366"/>
      <c r="AP218" s="1369"/>
      <c r="AQ218" s="1352"/>
      <c r="AR218" s="1352"/>
      <c r="AS218" s="1352"/>
      <c r="AT218" s="1352"/>
      <c r="AU218" s="1352"/>
      <c r="AV218" s="1352"/>
      <c r="AW218" s="1352"/>
      <c r="AX218" s="1352"/>
      <c r="AY218" s="1372"/>
      <c r="AZ218" s="1352"/>
      <c r="BA218" s="1352"/>
      <c r="BB218" s="1352"/>
      <c r="BC218" s="1353"/>
      <c r="BD218" s="745"/>
      <c r="BE218" s="563"/>
      <c r="BF218" s="563"/>
      <c r="BG218" s="745"/>
      <c r="BH218" s="563"/>
      <c r="BI218" s="563"/>
      <c r="BJ218" s="563"/>
      <c r="BK218" s="564"/>
      <c r="BL218" s="1199"/>
      <c r="BM218" s="1200"/>
      <c r="BN218" s="1201"/>
      <c r="BP218" s="457" t="s">
        <v>1</v>
      </c>
    </row>
    <row r="219" spans="1:68" ht="25.5" x14ac:dyDescent="0.3">
      <c r="A219" s="1239" t="s">
        <v>40</v>
      </c>
      <c r="B219" s="1240"/>
      <c r="C219" s="1241"/>
      <c r="D219" s="904"/>
      <c r="E219" s="905"/>
      <c r="F219" s="905"/>
      <c r="G219" s="905"/>
      <c r="H219" s="905"/>
      <c r="I219" s="905"/>
      <c r="J219" s="905"/>
      <c r="K219" s="905"/>
      <c r="L219" s="1409" t="s">
        <v>209</v>
      </c>
      <c r="M219" s="1410"/>
      <c r="N219" s="1411" t="s">
        <v>210</v>
      </c>
      <c r="O219" s="1411"/>
      <c r="P219" s="1411"/>
      <c r="Q219" s="1412"/>
      <c r="R219" s="1412"/>
      <c r="S219" s="1412"/>
      <c r="T219" s="1412"/>
      <c r="U219" s="918" t="s">
        <v>209</v>
      </c>
      <c r="V219" s="919" t="s">
        <v>212</v>
      </c>
      <c r="W219" s="1413"/>
      <c r="X219" s="1413"/>
      <c r="Y219" s="1414"/>
      <c r="Z219" s="1414"/>
      <c r="AA219" s="1414"/>
      <c r="AB219" s="1411" t="s">
        <v>210</v>
      </c>
      <c r="AC219" s="1411"/>
      <c r="AD219" s="1411"/>
      <c r="AE219" s="1411"/>
      <c r="AF219" s="1411"/>
      <c r="AG219" s="1411"/>
      <c r="AH219" s="1411"/>
      <c r="AI219" s="1411"/>
      <c r="AJ219" s="1411"/>
      <c r="AK219" s="1411"/>
      <c r="AL219" s="1411"/>
      <c r="AM219" s="1411"/>
      <c r="AN219" s="1411"/>
      <c r="AO219" s="1397" t="s">
        <v>211</v>
      </c>
      <c r="AP219" s="1398"/>
      <c r="AQ219" s="1401" t="s">
        <v>212</v>
      </c>
      <c r="AR219" s="920" t="s">
        <v>209</v>
      </c>
      <c r="AS219" s="1403"/>
      <c r="AT219" s="1403"/>
      <c r="AU219" s="1403"/>
      <c r="AV219" s="1403"/>
      <c r="AW219" s="1403"/>
      <c r="AX219" s="1403"/>
      <c r="AY219" s="1404" t="s">
        <v>210</v>
      </c>
      <c r="AZ219" s="1404"/>
      <c r="BA219" s="1404"/>
      <c r="BB219" s="1407" t="s">
        <v>209</v>
      </c>
      <c r="BC219" s="1408"/>
      <c r="BD219" s="907"/>
      <c r="BE219" s="905"/>
      <c r="BF219" s="905"/>
      <c r="BG219" s="907"/>
      <c r="BH219" s="905"/>
      <c r="BI219" s="905"/>
      <c r="BJ219" s="905"/>
      <c r="BK219" s="908"/>
      <c r="BL219" s="1239" t="s">
        <v>40</v>
      </c>
      <c r="BM219" s="1240"/>
      <c r="BN219" s="1241"/>
      <c r="BP219" s="438" t="s">
        <v>0</v>
      </c>
    </row>
    <row r="220" spans="1:68" ht="22.5" x14ac:dyDescent="0.3">
      <c r="A220" s="1187">
        <v>-15.35</v>
      </c>
      <c r="B220" s="1188"/>
      <c r="C220" s="1189"/>
      <c r="D220" s="909"/>
      <c r="E220" s="910"/>
      <c r="F220" s="910"/>
      <c r="G220" s="910"/>
      <c r="H220" s="910"/>
      <c r="I220" s="910"/>
      <c r="J220" s="910"/>
      <c r="K220" s="910"/>
      <c r="L220" s="1380"/>
      <c r="M220" s="1380"/>
      <c r="N220" s="1380"/>
      <c r="O220" s="1380"/>
      <c r="P220" s="1380"/>
      <c r="Q220" s="1382" t="s">
        <v>211</v>
      </c>
      <c r="R220" s="1383"/>
      <c r="S220" s="1383"/>
      <c r="T220" s="1383"/>
      <c r="U220" s="1383"/>
      <c r="V220" s="1384"/>
      <c r="W220" s="1413"/>
      <c r="X220" s="1413"/>
      <c r="Y220" s="1413"/>
      <c r="Z220" s="1413"/>
      <c r="AA220" s="1413"/>
      <c r="AB220" s="1380"/>
      <c r="AC220" s="1380"/>
      <c r="AD220" s="1380"/>
      <c r="AE220" s="1380"/>
      <c r="AF220" s="1380"/>
      <c r="AG220" s="1380"/>
      <c r="AH220" s="1380"/>
      <c r="AI220" s="1380"/>
      <c r="AJ220" s="1380"/>
      <c r="AK220" s="1380"/>
      <c r="AL220" s="1380"/>
      <c r="AM220" s="1380"/>
      <c r="AN220" s="1380"/>
      <c r="AO220" s="1399"/>
      <c r="AP220" s="1400"/>
      <c r="AQ220" s="1402"/>
      <c r="AR220" s="921" t="s">
        <v>211</v>
      </c>
      <c r="AS220" s="1391"/>
      <c r="AT220" s="1385" t="s">
        <v>211</v>
      </c>
      <c r="AU220" s="1386"/>
      <c r="AV220" s="1386"/>
      <c r="AW220" s="1386"/>
      <c r="AX220" s="1387"/>
      <c r="AY220" s="1405"/>
      <c r="AZ220" s="1405"/>
      <c r="BA220" s="1405"/>
      <c r="BB220" s="1391"/>
      <c r="BC220" s="1392"/>
      <c r="BD220" s="912"/>
      <c r="BE220" s="910"/>
      <c r="BF220" s="910"/>
      <c r="BG220" s="912"/>
      <c r="BH220" s="910"/>
      <c r="BI220" s="910"/>
      <c r="BJ220" s="910"/>
      <c r="BK220" s="913"/>
      <c r="BL220" s="1187">
        <v>-15.35</v>
      </c>
      <c r="BM220" s="1188"/>
      <c r="BN220" s="1189"/>
      <c r="BP220" s="457" t="s">
        <v>1078</v>
      </c>
    </row>
    <row r="221" spans="1:68" ht="23.25" thickBot="1" x14ac:dyDescent="0.35">
      <c r="A221" s="1199"/>
      <c r="B221" s="1200"/>
      <c r="C221" s="1201"/>
      <c r="D221" s="562"/>
      <c r="E221" s="563"/>
      <c r="F221" s="563"/>
      <c r="G221" s="563"/>
      <c r="H221" s="563"/>
      <c r="I221" s="563"/>
      <c r="J221" s="563"/>
      <c r="K221" s="563"/>
      <c r="L221" s="1381"/>
      <c r="M221" s="1381"/>
      <c r="N221" s="1381"/>
      <c r="O221" s="1381"/>
      <c r="P221" s="1381"/>
      <c r="Q221" s="1395"/>
      <c r="R221" s="1395"/>
      <c r="S221" s="1395"/>
      <c r="T221" s="1395"/>
      <c r="U221" s="1395"/>
      <c r="V221" s="1395"/>
      <c r="W221" s="1415"/>
      <c r="X221" s="1415"/>
      <c r="Y221" s="1415"/>
      <c r="Z221" s="1415"/>
      <c r="AA221" s="1415"/>
      <c r="AB221" s="1381"/>
      <c r="AC221" s="1381"/>
      <c r="AD221" s="1381"/>
      <c r="AE221" s="1381"/>
      <c r="AF221" s="1381"/>
      <c r="AG221" s="1381"/>
      <c r="AH221" s="1381"/>
      <c r="AI221" s="1381"/>
      <c r="AJ221" s="1381"/>
      <c r="AK221" s="1381"/>
      <c r="AL221" s="1381"/>
      <c r="AM221" s="1381"/>
      <c r="AN221" s="1381"/>
      <c r="AO221" s="1396"/>
      <c r="AP221" s="1396"/>
      <c r="AQ221" s="1396"/>
      <c r="AR221" s="1396"/>
      <c r="AS221" s="1393"/>
      <c r="AT221" s="1388"/>
      <c r="AU221" s="1389"/>
      <c r="AV221" s="1389"/>
      <c r="AW221" s="1389"/>
      <c r="AX221" s="1390"/>
      <c r="AY221" s="1406"/>
      <c r="AZ221" s="1406"/>
      <c r="BA221" s="1406"/>
      <c r="BB221" s="1393"/>
      <c r="BC221" s="1394"/>
      <c r="BD221" s="745"/>
      <c r="BE221" s="563"/>
      <c r="BF221" s="563"/>
      <c r="BG221" s="745"/>
      <c r="BH221" s="563"/>
      <c r="BI221" s="563"/>
      <c r="BJ221" s="563"/>
      <c r="BK221" s="564"/>
      <c r="BL221" s="1199"/>
      <c r="BM221" s="1200"/>
      <c r="BN221" s="1201"/>
      <c r="BP221" s="438" t="s">
        <v>1</v>
      </c>
    </row>
    <row r="222" spans="1:68" ht="25.5" x14ac:dyDescent="0.3">
      <c r="A222" s="1239" t="s">
        <v>41</v>
      </c>
      <c r="B222" s="1240"/>
      <c r="C222" s="1241"/>
      <c r="D222" s="960" t="s">
        <v>1075</v>
      </c>
      <c r="E222" s="961" t="s">
        <v>70</v>
      </c>
      <c r="F222" s="922"/>
      <c r="G222" s="922"/>
      <c r="H222" s="922"/>
      <c r="I222" s="961" t="s">
        <v>70</v>
      </c>
      <c r="J222" s="922"/>
      <c r="K222" s="922"/>
      <c r="L222" s="1409" t="s">
        <v>209</v>
      </c>
      <c r="M222" s="1410"/>
      <c r="N222" s="1411" t="s">
        <v>210</v>
      </c>
      <c r="O222" s="1411"/>
      <c r="P222" s="1411"/>
      <c r="Q222" s="1412"/>
      <c r="R222" s="1412"/>
      <c r="S222" s="1412"/>
      <c r="T222" s="1412"/>
      <c r="U222" s="918" t="s">
        <v>209</v>
      </c>
      <c r="V222" s="923"/>
      <c r="W222" s="1414"/>
      <c r="X222" s="1414"/>
      <c r="Y222" s="1414"/>
      <c r="Z222" s="1414"/>
      <c r="AA222" s="1414"/>
      <c r="AB222" s="1411" t="s">
        <v>210</v>
      </c>
      <c r="AC222" s="1411"/>
      <c r="AD222" s="1411"/>
      <c r="AE222" s="1411"/>
      <c r="AF222" s="1411"/>
      <c r="AG222" s="1411"/>
      <c r="AH222" s="1411"/>
      <c r="AI222" s="1411"/>
      <c r="AJ222" s="1411"/>
      <c r="AK222" s="1411"/>
      <c r="AL222" s="1411"/>
      <c r="AM222" s="1411"/>
      <c r="AN222" s="1411"/>
      <c r="AO222" s="1397" t="s">
        <v>211</v>
      </c>
      <c r="AP222" s="1398"/>
      <c r="AQ222" s="1418" t="s">
        <v>213</v>
      </c>
      <c r="AR222" s="920" t="s">
        <v>209</v>
      </c>
      <c r="AS222" s="1403"/>
      <c r="AT222" s="1403"/>
      <c r="AU222" s="1403"/>
      <c r="AV222" s="1403"/>
      <c r="AW222" s="1403"/>
      <c r="AX222" s="1403"/>
      <c r="AY222" s="1404" t="s">
        <v>210</v>
      </c>
      <c r="AZ222" s="1404"/>
      <c r="BA222" s="1404"/>
      <c r="BB222" s="1407" t="s">
        <v>209</v>
      </c>
      <c r="BC222" s="1408"/>
      <c r="BD222" s="924"/>
      <c r="BE222" s="925"/>
      <c r="BF222" s="972" t="s">
        <v>70</v>
      </c>
      <c r="BG222" s="924"/>
      <c r="BH222" s="925"/>
      <c r="BI222" s="925"/>
      <c r="BJ222" s="972" t="s">
        <v>70</v>
      </c>
      <c r="BK222" s="973" t="s">
        <v>1075</v>
      </c>
      <c r="BL222" s="1239" t="s">
        <v>41</v>
      </c>
      <c r="BM222" s="1240"/>
      <c r="BN222" s="1241"/>
      <c r="BP222" s="457" t="s">
        <v>0</v>
      </c>
    </row>
    <row r="223" spans="1:68" ht="22.5" x14ac:dyDescent="0.3">
      <c r="A223" s="1187">
        <v>-18.399999999999999</v>
      </c>
      <c r="B223" s="1188"/>
      <c r="C223" s="1189"/>
      <c r="D223" s="940"/>
      <c r="E223" s="943"/>
      <c r="F223" s="474"/>
      <c r="G223" s="474"/>
      <c r="H223" s="474"/>
      <c r="I223" s="943"/>
      <c r="J223" s="474"/>
      <c r="K223" s="474"/>
      <c r="L223" s="1380"/>
      <c r="M223" s="1380"/>
      <c r="N223" s="1380"/>
      <c r="O223" s="1380"/>
      <c r="P223" s="1380"/>
      <c r="Q223" s="1382" t="s">
        <v>211</v>
      </c>
      <c r="R223" s="1383"/>
      <c r="S223" s="1383"/>
      <c r="T223" s="1383"/>
      <c r="U223" s="1383"/>
      <c r="V223" s="1384"/>
      <c r="W223" s="1413"/>
      <c r="X223" s="1413"/>
      <c r="Y223" s="1413"/>
      <c r="Z223" s="1413"/>
      <c r="AA223" s="1413"/>
      <c r="AB223" s="1380"/>
      <c r="AC223" s="1380"/>
      <c r="AD223" s="1380"/>
      <c r="AE223" s="1380"/>
      <c r="AF223" s="1380"/>
      <c r="AG223" s="1380"/>
      <c r="AH223" s="1380"/>
      <c r="AI223" s="1380"/>
      <c r="AJ223" s="1380"/>
      <c r="AK223" s="1380"/>
      <c r="AL223" s="1380"/>
      <c r="AM223" s="1380"/>
      <c r="AN223" s="1380"/>
      <c r="AO223" s="1399"/>
      <c r="AP223" s="1400"/>
      <c r="AQ223" s="1419"/>
      <c r="AR223" s="921" t="s">
        <v>211</v>
      </c>
      <c r="AS223" s="1391"/>
      <c r="AT223" s="1385" t="s">
        <v>211</v>
      </c>
      <c r="AU223" s="1386"/>
      <c r="AV223" s="1386"/>
      <c r="AW223" s="1386"/>
      <c r="AX223" s="1387"/>
      <c r="AY223" s="1405"/>
      <c r="AZ223" s="1405"/>
      <c r="BA223" s="1405"/>
      <c r="BB223" s="1391"/>
      <c r="BC223" s="1392"/>
      <c r="BD223" s="926"/>
      <c r="BE223" s="927"/>
      <c r="BF223" s="950"/>
      <c r="BG223" s="926"/>
      <c r="BH223" s="927"/>
      <c r="BI223" s="927"/>
      <c r="BJ223" s="950"/>
      <c r="BK223" s="953"/>
      <c r="BL223" s="1187">
        <v>-18.399999999999999</v>
      </c>
      <c r="BM223" s="1188"/>
      <c r="BN223" s="1189"/>
      <c r="BP223" s="438" t="s">
        <v>1078</v>
      </c>
    </row>
    <row r="224" spans="1:68" ht="23.25" thickBot="1" x14ac:dyDescent="0.35">
      <c r="A224" s="1199"/>
      <c r="B224" s="1200"/>
      <c r="C224" s="1201"/>
      <c r="D224" s="940"/>
      <c r="E224" s="943"/>
      <c r="F224" s="547"/>
      <c r="G224" s="524"/>
      <c r="H224" s="547"/>
      <c r="I224" s="943"/>
      <c r="J224" s="524"/>
      <c r="K224" s="547"/>
      <c r="L224" s="1381"/>
      <c r="M224" s="1381"/>
      <c r="N224" s="1381"/>
      <c r="O224" s="1381"/>
      <c r="P224" s="1381"/>
      <c r="Q224" s="1395"/>
      <c r="R224" s="1395"/>
      <c r="S224" s="1395"/>
      <c r="T224" s="1395"/>
      <c r="U224" s="1395"/>
      <c r="V224" s="1395"/>
      <c r="W224" s="1415"/>
      <c r="X224" s="1415"/>
      <c r="Y224" s="1415"/>
      <c r="Z224" s="1415"/>
      <c r="AA224" s="1415"/>
      <c r="AB224" s="1381"/>
      <c r="AC224" s="1381"/>
      <c r="AD224" s="1381"/>
      <c r="AE224" s="1381"/>
      <c r="AF224" s="1381"/>
      <c r="AG224" s="1381"/>
      <c r="AH224" s="1381"/>
      <c r="AI224" s="1381"/>
      <c r="AJ224" s="1381"/>
      <c r="AK224" s="1381"/>
      <c r="AL224" s="1381"/>
      <c r="AM224" s="1381"/>
      <c r="AN224" s="1381"/>
      <c r="AO224" s="1396"/>
      <c r="AP224" s="1396"/>
      <c r="AQ224" s="1396"/>
      <c r="AR224" s="1396"/>
      <c r="AS224" s="1393"/>
      <c r="AT224" s="1388"/>
      <c r="AU224" s="1389"/>
      <c r="AV224" s="1389"/>
      <c r="AW224" s="1389"/>
      <c r="AX224" s="1390"/>
      <c r="AY224" s="1406"/>
      <c r="AZ224" s="1406"/>
      <c r="BA224" s="1406"/>
      <c r="BB224" s="1393"/>
      <c r="BC224" s="1394"/>
      <c r="BD224" s="732"/>
      <c r="BE224" s="536"/>
      <c r="BF224" s="950"/>
      <c r="BG224" s="732"/>
      <c r="BH224" s="536"/>
      <c r="BI224" s="554"/>
      <c r="BJ224" s="950"/>
      <c r="BK224" s="953"/>
      <c r="BL224" s="1199"/>
      <c r="BM224" s="1200"/>
      <c r="BN224" s="1201"/>
      <c r="BP224" s="457" t="s">
        <v>1</v>
      </c>
    </row>
    <row r="225" spans="1:68" ht="25.5" x14ac:dyDescent="0.3">
      <c r="A225" s="1239" t="s">
        <v>42</v>
      </c>
      <c r="B225" s="1240"/>
      <c r="C225" s="1241"/>
      <c r="D225" s="960" t="s">
        <v>74</v>
      </c>
      <c r="E225" s="961" t="s">
        <v>73</v>
      </c>
      <c r="F225" s="961" t="s">
        <v>72</v>
      </c>
      <c r="G225" s="961" t="s">
        <v>71</v>
      </c>
      <c r="H225" s="961" t="s">
        <v>69</v>
      </c>
      <c r="I225" s="961" t="s">
        <v>68</v>
      </c>
      <c r="J225" s="961" t="s">
        <v>67</v>
      </c>
      <c r="K225" s="961" t="s">
        <v>66</v>
      </c>
      <c r="L225" s="1409" t="s">
        <v>209</v>
      </c>
      <c r="M225" s="1410"/>
      <c r="N225" s="1411" t="s">
        <v>210</v>
      </c>
      <c r="O225" s="1411"/>
      <c r="P225" s="1411"/>
      <c r="Q225" s="1412"/>
      <c r="R225" s="1412"/>
      <c r="S225" s="1412"/>
      <c r="T225" s="1412"/>
      <c r="U225" s="918" t="s">
        <v>209</v>
      </c>
      <c r="V225" s="923"/>
      <c r="W225" s="1414"/>
      <c r="X225" s="1414"/>
      <c r="Y225" s="1414"/>
      <c r="Z225" s="1414"/>
      <c r="AA225" s="1414"/>
      <c r="AB225" s="1411" t="s">
        <v>210</v>
      </c>
      <c r="AC225" s="1411"/>
      <c r="AD225" s="1411"/>
      <c r="AE225" s="1411"/>
      <c r="AF225" s="1411"/>
      <c r="AG225" s="1411"/>
      <c r="AH225" s="1411"/>
      <c r="AI225" s="1411"/>
      <c r="AJ225" s="1411"/>
      <c r="AK225" s="1411"/>
      <c r="AL225" s="1411"/>
      <c r="AM225" s="1411"/>
      <c r="AN225" s="1411"/>
      <c r="AO225" s="1397" t="s">
        <v>211</v>
      </c>
      <c r="AP225" s="1398"/>
      <c r="AQ225" s="1418" t="s">
        <v>213</v>
      </c>
      <c r="AR225" s="920" t="s">
        <v>209</v>
      </c>
      <c r="AS225" s="1403"/>
      <c r="AT225" s="1403"/>
      <c r="AU225" s="1403"/>
      <c r="AV225" s="1403"/>
      <c r="AW225" s="1403"/>
      <c r="AX225" s="1403"/>
      <c r="AY225" s="1404" t="s">
        <v>210</v>
      </c>
      <c r="AZ225" s="1404"/>
      <c r="BA225" s="1404"/>
      <c r="BB225" s="1407" t="s">
        <v>209</v>
      </c>
      <c r="BC225" s="1408"/>
      <c r="BD225" s="1431" t="s">
        <v>75</v>
      </c>
      <c r="BE225" s="972" t="s">
        <v>76</v>
      </c>
      <c r="BF225" s="972" t="s">
        <v>77</v>
      </c>
      <c r="BG225" s="972" t="s">
        <v>78</v>
      </c>
      <c r="BH225" s="972" t="s">
        <v>79</v>
      </c>
      <c r="BI225" s="972" t="s">
        <v>80</v>
      </c>
      <c r="BJ225" s="972" t="s">
        <v>81</v>
      </c>
      <c r="BK225" s="973" t="s">
        <v>82</v>
      </c>
      <c r="BL225" s="1239" t="s">
        <v>42</v>
      </c>
      <c r="BM225" s="1240"/>
      <c r="BN225" s="1241"/>
      <c r="BP225" s="438" t="s">
        <v>0</v>
      </c>
    </row>
    <row r="226" spans="1:68" ht="22.5" x14ac:dyDescent="0.3">
      <c r="A226" s="1187">
        <v>-21.45</v>
      </c>
      <c r="B226" s="1188"/>
      <c r="C226" s="1189"/>
      <c r="D226" s="940"/>
      <c r="E226" s="943"/>
      <c r="F226" s="943"/>
      <c r="G226" s="943"/>
      <c r="H226" s="943"/>
      <c r="I226" s="943"/>
      <c r="J226" s="943"/>
      <c r="K226" s="943"/>
      <c r="L226" s="1380"/>
      <c r="M226" s="1380"/>
      <c r="N226" s="1380"/>
      <c r="O226" s="1380"/>
      <c r="P226" s="1380"/>
      <c r="Q226" s="1382" t="s">
        <v>211</v>
      </c>
      <c r="R226" s="1383"/>
      <c r="S226" s="1383"/>
      <c r="T226" s="1383"/>
      <c r="U226" s="1383"/>
      <c r="V226" s="1384"/>
      <c r="W226" s="1413"/>
      <c r="X226" s="1413"/>
      <c r="Y226" s="1413"/>
      <c r="Z226" s="1413"/>
      <c r="AA226" s="1413"/>
      <c r="AB226" s="1380"/>
      <c r="AC226" s="1380"/>
      <c r="AD226" s="1380"/>
      <c r="AE226" s="1380"/>
      <c r="AF226" s="1380"/>
      <c r="AG226" s="1380"/>
      <c r="AH226" s="1380"/>
      <c r="AI226" s="1380"/>
      <c r="AJ226" s="1380"/>
      <c r="AK226" s="1380"/>
      <c r="AL226" s="1380"/>
      <c r="AM226" s="1380"/>
      <c r="AN226" s="1380"/>
      <c r="AO226" s="1399"/>
      <c r="AP226" s="1400"/>
      <c r="AQ226" s="1419"/>
      <c r="AR226" s="921" t="s">
        <v>211</v>
      </c>
      <c r="AS226" s="1391"/>
      <c r="AT226" s="1385" t="s">
        <v>211</v>
      </c>
      <c r="AU226" s="1386"/>
      <c r="AV226" s="1386"/>
      <c r="AW226" s="1386"/>
      <c r="AX226" s="1387"/>
      <c r="AY226" s="1405"/>
      <c r="AZ226" s="1405"/>
      <c r="BA226" s="1405"/>
      <c r="BB226" s="1391"/>
      <c r="BC226" s="1392"/>
      <c r="BD226" s="948"/>
      <c r="BE226" s="950"/>
      <c r="BF226" s="950"/>
      <c r="BG226" s="950"/>
      <c r="BH226" s="950"/>
      <c r="BI226" s="950"/>
      <c r="BJ226" s="950"/>
      <c r="BK226" s="953"/>
      <c r="BL226" s="1187">
        <v>-21.45</v>
      </c>
      <c r="BM226" s="1188"/>
      <c r="BN226" s="1189"/>
      <c r="BP226" s="457" t="s">
        <v>1078</v>
      </c>
    </row>
    <row r="227" spans="1:68" ht="23.25" thickBot="1" x14ac:dyDescent="0.35">
      <c r="A227" s="1268"/>
      <c r="B227" s="1269"/>
      <c r="C227" s="1270"/>
      <c r="D227" s="1416"/>
      <c r="E227" s="1417"/>
      <c r="F227" s="1417"/>
      <c r="G227" s="1417"/>
      <c r="H227" s="1417"/>
      <c r="I227" s="1417"/>
      <c r="J227" s="1417"/>
      <c r="K227" s="1417"/>
      <c r="L227" s="1421"/>
      <c r="M227" s="1421"/>
      <c r="N227" s="1421"/>
      <c r="O227" s="1421"/>
      <c r="P227" s="1421"/>
      <c r="Q227" s="1422"/>
      <c r="R227" s="1422"/>
      <c r="S227" s="1422"/>
      <c r="T227" s="1422"/>
      <c r="U227" s="1422"/>
      <c r="V227" s="1422"/>
      <c r="W227" s="1443"/>
      <c r="X227" s="1443"/>
      <c r="Y227" s="1443"/>
      <c r="Z227" s="1443"/>
      <c r="AA227" s="1443"/>
      <c r="AB227" s="1421"/>
      <c r="AC227" s="1421"/>
      <c r="AD227" s="1421"/>
      <c r="AE227" s="1421"/>
      <c r="AF227" s="1421"/>
      <c r="AG227" s="1421"/>
      <c r="AH227" s="1421"/>
      <c r="AI227" s="1421"/>
      <c r="AJ227" s="1421"/>
      <c r="AK227" s="1421"/>
      <c r="AL227" s="1421"/>
      <c r="AM227" s="1421"/>
      <c r="AN227" s="1421"/>
      <c r="AO227" s="1423"/>
      <c r="AP227" s="1423"/>
      <c r="AQ227" s="1423"/>
      <c r="AR227" s="1423"/>
      <c r="AS227" s="1420"/>
      <c r="AT227" s="1426"/>
      <c r="AU227" s="1427"/>
      <c r="AV227" s="1427"/>
      <c r="AW227" s="1427"/>
      <c r="AX227" s="1428"/>
      <c r="AY227" s="1430"/>
      <c r="AZ227" s="1430"/>
      <c r="BA227" s="1430"/>
      <c r="BB227" s="1420"/>
      <c r="BC227" s="1429"/>
      <c r="BD227" s="1432"/>
      <c r="BE227" s="1424"/>
      <c r="BF227" s="1424"/>
      <c r="BG227" s="1424"/>
      <c r="BH227" s="1424"/>
      <c r="BI227" s="1424"/>
      <c r="BJ227" s="1424"/>
      <c r="BK227" s="1425"/>
      <c r="BL227" s="1268"/>
      <c r="BM227" s="1269"/>
      <c r="BN227" s="1270"/>
      <c r="BP227" s="438" t="s">
        <v>1</v>
      </c>
    </row>
    <row r="228" spans="1:68" ht="17.25" thickTop="1" x14ac:dyDescent="0.3"/>
  </sheetData>
  <mergeCells count="709">
    <mergeCell ref="AH93:AH94"/>
    <mergeCell ref="AI93:AI94"/>
    <mergeCell ref="AJ93:AJ94"/>
    <mergeCell ref="AK93:AK94"/>
    <mergeCell ref="AL93:AL94"/>
    <mergeCell ref="AM93:AM94"/>
    <mergeCell ref="W225:AA227"/>
    <mergeCell ref="AB225:AN227"/>
    <mergeCell ref="AO225:AP226"/>
    <mergeCell ref="AD137:AD139"/>
    <mergeCell ref="AL137:AL139"/>
    <mergeCell ref="AD141:AD143"/>
    <mergeCell ref="AL141:AL143"/>
    <mergeCell ref="AD165:AD167"/>
    <mergeCell ref="AL165:AL167"/>
    <mergeCell ref="AD161:AD163"/>
    <mergeCell ref="AL161:AL163"/>
    <mergeCell ref="AD157:AD159"/>
    <mergeCell ref="AL157:AL159"/>
    <mergeCell ref="W213:W215"/>
    <mergeCell ref="X213:X215"/>
    <mergeCell ref="Y213:AA215"/>
    <mergeCell ref="AB213:AL213"/>
    <mergeCell ref="AC99:AF99"/>
    <mergeCell ref="L225:M225"/>
    <mergeCell ref="N225:P227"/>
    <mergeCell ref="Q225:T225"/>
    <mergeCell ref="BL226:BN226"/>
    <mergeCell ref="A227:C227"/>
    <mergeCell ref="Q227:V227"/>
    <mergeCell ref="AO227:AR227"/>
    <mergeCell ref="BL227:BN227"/>
    <mergeCell ref="BH225:BH227"/>
    <mergeCell ref="BI225:BI227"/>
    <mergeCell ref="BJ225:BJ227"/>
    <mergeCell ref="BK225:BK227"/>
    <mergeCell ref="BL225:BN225"/>
    <mergeCell ref="A226:C226"/>
    <mergeCell ref="L226:M227"/>
    <mergeCell ref="Q226:V226"/>
    <mergeCell ref="AT226:AX227"/>
    <mergeCell ref="BB226:BC227"/>
    <mergeCell ref="AY225:BA227"/>
    <mergeCell ref="BB225:BC225"/>
    <mergeCell ref="BD225:BD227"/>
    <mergeCell ref="BE225:BE227"/>
    <mergeCell ref="BF225:BF227"/>
    <mergeCell ref="BG225:BG227"/>
    <mergeCell ref="A225:C225"/>
    <mergeCell ref="D225:D227"/>
    <mergeCell ref="E225:E227"/>
    <mergeCell ref="F225:F227"/>
    <mergeCell ref="G225:G227"/>
    <mergeCell ref="H225:H227"/>
    <mergeCell ref="BF222:BF224"/>
    <mergeCell ref="BJ222:BJ224"/>
    <mergeCell ref="BK222:BK224"/>
    <mergeCell ref="A223:C223"/>
    <mergeCell ref="L223:M224"/>
    <mergeCell ref="Q223:V223"/>
    <mergeCell ref="AT223:AX224"/>
    <mergeCell ref="BB223:BC224"/>
    <mergeCell ref="AO222:AP223"/>
    <mergeCell ref="AQ222:AQ223"/>
    <mergeCell ref="AS222:AS224"/>
    <mergeCell ref="AT222:AX222"/>
    <mergeCell ref="AQ225:AQ226"/>
    <mergeCell ref="AS225:AS227"/>
    <mergeCell ref="AT225:AX225"/>
    <mergeCell ref="I225:I227"/>
    <mergeCell ref="J225:J227"/>
    <mergeCell ref="K225:K227"/>
    <mergeCell ref="AY222:BA224"/>
    <mergeCell ref="BB222:BC222"/>
    <mergeCell ref="BL221:BN221"/>
    <mergeCell ref="A222:C222"/>
    <mergeCell ref="D222:D224"/>
    <mergeCell ref="E222:E224"/>
    <mergeCell ref="I222:I224"/>
    <mergeCell ref="L222:M222"/>
    <mergeCell ref="N222:P224"/>
    <mergeCell ref="Q222:T222"/>
    <mergeCell ref="W222:AA224"/>
    <mergeCell ref="AB222:AN224"/>
    <mergeCell ref="A224:C224"/>
    <mergeCell ref="Q224:V224"/>
    <mergeCell ref="AO224:AR224"/>
    <mergeCell ref="BL224:BN224"/>
    <mergeCell ref="BL222:BN222"/>
    <mergeCell ref="BL223:BN223"/>
    <mergeCell ref="BL219:BN219"/>
    <mergeCell ref="A220:C220"/>
    <mergeCell ref="L220:M221"/>
    <mergeCell ref="Q220:V220"/>
    <mergeCell ref="AT220:AX221"/>
    <mergeCell ref="BB220:BC221"/>
    <mergeCell ref="BL220:BN220"/>
    <mergeCell ref="A221:C221"/>
    <mergeCell ref="Q221:V221"/>
    <mergeCell ref="AO221:AR221"/>
    <mergeCell ref="AO219:AP220"/>
    <mergeCell ref="AQ219:AQ220"/>
    <mergeCell ref="AS219:AS221"/>
    <mergeCell ref="AT219:AX219"/>
    <mergeCell ref="AY219:BA221"/>
    <mergeCell ref="BB219:BC219"/>
    <mergeCell ref="A219:C219"/>
    <mergeCell ref="L219:M219"/>
    <mergeCell ref="N219:P221"/>
    <mergeCell ref="Q219:T219"/>
    <mergeCell ref="W219:AA221"/>
    <mergeCell ref="AB219:AN221"/>
    <mergeCell ref="AZ216:BC218"/>
    <mergeCell ref="BL216:BN216"/>
    <mergeCell ref="A217:C217"/>
    <mergeCell ref="Q217:U217"/>
    <mergeCell ref="BL217:BN217"/>
    <mergeCell ref="A218:C218"/>
    <mergeCell ref="L218:M218"/>
    <mergeCell ref="BL218:BN218"/>
    <mergeCell ref="X216:X217"/>
    <mergeCell ref="Y216:AA217"/>
    <mergeCell ref="AB216:AN218"/>
    <mergeCell ref="AO216:AO218"/>
    <mergeCell ref="AP216:AX218"/>
    <mergeCell ref="AY216:AY218"/>
    <mergeCell ref="A216:C216"/>
    <mergeCell ref="L216:M217"/>
    <mergeCell ref="N216:P218"/>
    <mergeCell ref="Q216:U216"/>
    <mergeCell ref="V216:V217"/>
    <mergeCell ref="W216:W217"/>
    <mergeCell ref="BL213:BN213"/>
    <mergeCell ref="A214:C214"/>
    <mergeCell ref="M214:O215"/>
    <mergeCell ref="AB214:AE215"/>
    <mergeCell ref="AF214:AG214"/>
    <mergeCell ref="AH214:AN215"/>
    <mergeCell ref="BL214:BN214"/>
    <mergeCell ref="A215:C215"/>
    <mergeCell ref="AF215:AG215"/>
    <mergeCell ref="BL215:BN215"/>
    <mergeCell ref="AW213:AW215"/>
    <mergeCell ref="AX213:AX215"/>
    <mergeCell ref="AY213:AY215"/>
    <mergeCell ref="AZ213:AZ215"/>
    <mergeCell ref="BA213:BB215"/>
    <mergeCell ref="BC213:BC215"/>
    <mergeCell ref="AM213:AN213"/>
    <mergeCell ref="AO213:AQ215"/>
    <mergeCell ref="AR213:AR215"/>
    <mergeCell ref="AS213:AS215"/>
    <mergeCell ref="AT213:AU215"/>
    <mergeCell ref="AV213:AV215"/>
    <mergeCell ref="T213:U215"/>
    <mergeCell ref="V213:V215"/>
    <mergeCell ref="BL211:BM211"/>
    <mergeCell ref="A212:C212"/>
    <mergeCell ref="AB212:AC212"/>
    <mergeCell ref="AD212:AM212"/>
    <mergeCell ref="BL212:BM212"/>
    <mergeCell ref="A213:C213"/>
    <mergeCell ref="L213:L215"/>
    <mergeCell ref="M213:O213"/>
    <mergeCell ref="P213:P215"/>
    <mergeCell ref="Q213:S215"/>
    <mergeCell ref="AY210:AY212"/>
    <mergeCell ref="AZ210:BC212"/>
    <mergeCell ref="BL210:BN210"/>
    <mergeCell ref="A211:C211"/>
    <mergeCell ref="R211:S212"/>
    <mergeCell ref="U211:U212"/>
    <mergeCell ref="W211:W212"/>
    <mergeCell ref="X211:X212"/>
    <mergeCell ref="AB211:AF211"/>
    <mergeCell ref="AG211:AI211"/>
    <mergeCell ref="Y210:AA212"/>
    <mergeCell ref="AB210:AM210"/>
    <mergeCell ref="AN210:AN211"/>
    <mergeCell ref="AO210:AR212"/>
    <mergeCell ref="AS210:AS212"/>
    <mergeCell ref="AT210:AX212"/>
    <mergeCell ref="A210:C210"/>
    <mergeCell ref="L210:O212"/>
    <mergeCell ref="P210:Q212"/>
    <mergeCell ref="R210:S210"/>
    <mergeCell ref="T210:T211"/>
    <mergeCell ref="V210:V212"/>
    <mergeCell ref="A207:C207"/>
    <mergeCell ref="L207:O209"/>
    <mergeCell ref="P207:Q209"/>
    <mergeCell ref="R207:S207"/>
    <mergeCell ref="U207:U209"/>
    <mergeCell ref="V207:W209"/>
    <mergeCell ref="BL207:BN207"/>
    <mergeCell ref="A208:C208"/>
    <mergeCell ref="R208:S209"/>
    <mergeCell ref="T208:T209"/>
    <mergeCell ref="AB208:AM208"/>
    <mergeCell ref="AN208:AN209"/>
    <mergeCell ref="BL208:BN208"/>
    <mergeCell ref="A209:C209"/>
    <mergeCell ref="AB209:AM209"/>
    <mergeCell ref="BL209:BN209"/>
    <mergeCell ref="X207:Z209"/>
    <mergeCell ref="AA207:AA208"/>
    <mergeCell ref="AB207:AM207"/>
    <mergeCell ref="AO207:AX209"/>
    <mergeCell ref="AY207:AY209"/>
    <mergeCell ref="AZ207:BC209"/>
    <mergeCell ref="BI199:BI202"/>
    <mergeCell ref="BJ199:BJ202"/>
    <mergeCell ref="BN199:BN202"/>
    <mergeCell ref="A203:A206"/>
    <mergeCell ref="L203:L206"/>
    <mergeCell ref="M203:N206"/>
    <mergeCell ref="V203:W206"/>
    <mergeCell ref="X203:Y206"/>
    <mergeCell ref="Z203:Z206"/>
    <mergeCell ref="AA203:AA206"/>
    <mergeCell ref="A199:A202"/>
    <mergeCell ref="E199:E202"/>
    <mergeCell ref="F199:F202"/>
    <mergeCell ref="G199:G202"/>
    <mergeCell ref="V199:AA202"/>
    <mergeCell ref="BH199:BH202"/>
    <mergeCell ref="AD203:AL206"/>
    <mergeCell ref="AM203:AN205"/>
    <mergeCell ref="AY203:AY206"/>
    <mergeCell ref="AB205:AC206"/>
    <mergeCell ref="BJ195:BJ198"/>
    <mergeCell ref="BH187:BH190"/>
    <mergeCell ref="BI187:BI190"/>
    <mergeCell ref="BJ187:BJ190"/>
    <mergeCell ref="E191:E194"/>
    <mergeCell ref="F191:F194"/>
    <mergeCell ref="G191:G194"/>
    <mergeCell ref="AB191:AB198"/>
    <mergeCell ref="AN191:AN198"/>
    <mergeCell ref="BH191:BH194"/>
    <mergeCell ref="BI191:BI194"/>
    <mergeCell ref="BN171:BN198"/>
    <mergeCell ref="E175:E178"/>
    <mergeCell ref="F175:F178"/>
    <mergeCell ref="G175:G178"/>
    <mergeCell ref="BH175:BH178"/>
    <mergeCell ref="BI175:BI178"/>
    <mergeCell ref="BJ175:BJ178"/>
    <mergeCell ref="E179:E182"/>
    <mergeCell ref="F179:F182"/>
    <mergeCell ref="G179:G182"/>
    <mergeCell ref="BJ179:BJ182"/>
    <mergeCell ref="E183:E186"/>
    <mergeCell ref="F183:F186"/>
    <mergeCell ref="G183:G186"/>
    <mergeCell ref="AB183:AB189"/>
    <mergeCell ref="AN183:AN189"/>
    <mergeCell ref="BH183:BH186"/>
    <mergeCell ref="BI183:BI186"/>
    <mergeCell ref="BJ183:BJ186"/>
    <mergeCell ref="E187:E190"/>
    <mergeCell ref="BJ191:BJ194"/>
    <mergeCell ref="E195:E198"/>
    <mergeCell ref="F195:F198"/>
    <mergeCell ref="G195:G198"/>
    <mergeCell ref="A167:A198"/>
    <mergeCell ref="E167:E170"/>
    <mergeCell ref="F167:F170"/>
    <mergeCell ref="G167:G170"/>
    <mergeCell ref="BH167:BH170"/>
    <mergeCell ref="BI167:BI170"/>
    <mergeCell ref="BH179:BH182"/>
    <mergeCell ref="BI179:BI182"/>
    <mergeCell ref="F187:F190"/>
    <mergeCell ref="G187:G190"/>
    <mergeCell ref="BH195:BH198"/>
    <mergeCell ref="BI195:BI198"/>
    <mergeCell ref="BJ163:BJ166"/>
    <mergeCell ref="E159:E162"/>
    <mergeCell ref="F159:F162"/>
    <mergeCell ref="G159:G162"/>
    <mergeCell ref="BH159:BH162"/>
    <mergeCell ref="BI159:BI162"/>
    <mergeCell ref="BJ159:BJ162"/>
    <mergeCell ref="BJ167:BJ170"/>
    <mergeCell ref="E171:E174"/>
    <mergeCell ref="F171:F174"/>
    <mergeCell ref="G171:G174"/>
    <mergeCell ref="BH171:BH174"/>
    <mergeCell ref="BI171:BI174"/>
    <mergeCell ref="BJ171:BJ174"/>
    <mergeCell ref="BJ147:BJ150"/>
    <mergeCell ref="AD145:AD147"/>
    <mergeCell ref="AL145:AL147"/>
    <mergeCell ref="E155:E158"/>
    <mergeCell ref="F155:F158"/>
    <mergeCell ref="G155:G158"/>
    <mergeCell ref="BH155:BH158"/>
    <mergeCell ref="BI155:BI158"/>
    <mergeCell ref="BJ155:BJ158"/>
    <mergeCell ref="AD153:AD155"/>
    <mergeCell ref="AL153:AL155"/>
    <mergeCell ref="E151:E154"/>
    <mergeCell ref="F151:F154"/>
    <mergeCell ref="G151:G154"/>
    <mergeCell ref="BH151:BH154"/>
    <mergeCell ref="BI151:BI154"/>
    <mergeCell ref="BJ151:BJ154"/>
    <mergeCell ref="AD149:AD151"/>
    <mergeCell ref="AL149:AL151"/>
    <mergeCell ref="BN131:BN170"/>
    <mergeCell ref="E135:E138"/>
    <mergeCell ref="F135:F138"/>
    <mergeCell ref="G135:G138"/>
    <mergeCell ref="BH135:BH138"/>
    <mergeCell ref="BI135:BI138"/>
    <mergeCell ref="BJ135:BJ138"/>
    <mergeCell ref="E139:E142"/>
    <mergeCell ref="F139:F142"/>
    <mergeCell ref="G139:G142"/>
    <mergeCell ref="BH139:BH142"/>
    <mergeCell ref="BI139:BI142"/>
    <mergeCell ref="BJ139:BJ142"/>
    <mergeCell ref="E143:E146"/>
    <mergeCell ref="F143:F146"/>
    <mergeCell ref="G143:G146"/>
    <mergeCell ref="BH143:BH146"/>
    <mergeCell ref="BI143:BI146"/>
    <mergeCell ref="BJ143:BJ146"/>
    <mergeCell ref="E147:E150"/>
    <mergeCell ref="F147:F150"/>
    <mergeCell ref="G147:G150"/>
    <mergeCell ref="BH147:BH150"/>
    <mergeCell ref="BI147:BI150"/>
    <mergeCell ref="BJ123:BJ126"/>
    <mergeCell ref="E127:E130"/>
    <mergeCell ref="F127:F130"/>
    <mergeCell ref="G127:G130"/>
    <mergeCell ref="BH127:BH130"/>
    <mergeCell ref="BI127:BI130"/>
    <mergeCell ref="BJ127:BJ130"/>
    <mergeCell ref="AD129:AD131"/>
    <mergeCell ref="AL129:AL131"/>
    <mergeCell ref="AD126:AD127"/>
    <mergeCell ref="BI131:BI134"/>
    <mergeCell ref="BJ131:BJ134"/>
    <mergeCell ref="AK126:AK127"/>
    <mergeCell ref="AL126:AL127"/>
    <mergeCell ref="AE126:AE127"/>
    <mergeCell ref="AF126:AF127"/>
    <mergeCell ref="AG126:AG127"/>
    <mergeCell ref="AH126:AH127"/>
    <mergeCell ref="AI126:AI127"/>
    <mergeCell ref="AJ126:AJ127"/>
    <mergeCell ref="AD133:AD135"/>
    <mergeCell ref="AL133:AL135"/>
    <mergeCell ref="A123:A166"/>
    <mergeCell ref="E123:E126"/>
    <mergeCell ref="F123:F126"/>
    <mergeCell ref="G123:G126"/>
    <mergeCell ref="BH123:BH126"/>
    <mergeCell ref="BI123:BI126"/>
    <mergeCell ref="E131:E134"/>
    <mergeCell ref="F131:F134"/>
    <mergeCell ref="G131:G134"/>
    <mergeCell ref="BH131:BH134"/>
    <mergeCell ref="E163:E166"/>
    <mergeCell ref="F163:F166"/>
    <mergeCell ref="G163:G166"/>
    <mergeCell ref="BH163:BH166"/>
    <mergeCell ref="BI163:BI166"/>
    <mergeCell ref="E119:E122"/>
    <mergeCell ref="F119:F122"/>
    <mergeCell ref="G119:G122"/>
    <mergeCell ref="BH119:BH122"/>
    <mergeCell ref="BI119:BI122"/>
    <mergeCell ref="BJ119:BJ122"/>
    <mergeCell ref="E115:E118"/>
    <mergeCell ref="F115:F118"/>
    <mergeCell ref="G115:G118"/>
    <mergeCell ref="BH115:BH118"/>
    <mergeCell ref="BI115:BI118"/>
    <mergeCell ref="BJ115:BJ118"/>
    <mergeCell ref="E111:E114"/>
    <mergeCell ref="F111:F114"/>
    <mergeCell ref="G111:G114"/>
    <mergeCell ref="BH111:BH114"/>
    <mergeCell ref="BI111:BI114"/>
    <mergeCell ref="BJ111:BJ114"/>
    <mergeCell ref="E107:E110"/>
    <mergeCell ref="F107:F110"/>
    <mergeCell ref="G107:G110"/>
    <mergeCell ref="BH107:BH110"/>
    <mergeCell ref="BI107:BI110"/>
    <mergeCell ref="BJ107:BJ110"/>
    <mergeCell ref="G87:G90"/>
    <mergeCell ref="BH87:BH90"/>
    <mergeCell ref="BI87:BI90"/>
    <mergeCell ref="BJ87:BJ90"/>
    <mergeCell ref="AC89:AC90"/>
    <mergeCell ref="E103:E106"/>
    <mergeCell ref="F103:F106"/>
    <mergeCell ref="G103:G106"/>
    <mergeCell ref="BH103:BH106"/>
    <mergeCell ref="BI103:BI106"/>
    <mergeCell ref="BJ103:BJ106"/>
    <mergeCell ref="BI95:BI98"/>
    <mergeCell ref="BJ95:BJ98"/>
    <mergeCell ref="E99:E102"/>
    <mergeCell ref="F99:F102"/>
    <mergeCell ref="G99:G102"/>
    <mergeCell ref="BH99:BH102"/>
    <mergeCell ref="BI99:BI102"/>
    <mergeCell ref="BJ99:BJ102"/>
    <mergeCell ref="AC93:AC94"/>
    <mergeCell ref="AD93:AD94"/>
    <mergeCell ref="AE93:AE94"/>
    <mergeCell ref="AF93:AF94"/>
    <mergeCell ref="AG93:AG94"/>
    <mergeCell ref="AG85:AG86"/>
    <mergeCell ref="AH85:AH86"/>
    <mergeCell ref="AI85:AI86"/>
    <mergeCell ref="AJ85:AJ86"/>
    <mergeCell ref="AK85:AK86"/>
    <mergeCell ref="BH91:BH94"/>
    <mergeCell ref="BI91:BI94"/>
    <mergeCell ref="BJ91:BJ94"/>
    <mergeCell ref="E95:E98"/>
    <mergeCell ref="F95:F98"/>
    <mergeCell ref="G95:G98"/>
    <mergeCell ref="BH95:BH98"/>
    <mergeCell ref="AM89:AM90"/>
    <mergeCell ref="E91:E94"/>
    <mergeCell ref="F91:F94"/>
    <mergeCell ref="G91:G94"/>
    <mergeCell ref="AG89:AG90"/>
    <mergeCell ref="AH89:AH90"/>
    <mergeCell ref="AI89:AI90"/>
    <mergeCell ref="AJ89:AJ90"/>
    <mergeCell ref="AK89:AK90"/>
    <mergeCell ref="AL89:AL90"/>
    <mergeCell ref="E87:E90"/>
    <mergeCell ref="F87:F90"/>
    <mergeCell ref="BG75:BG78"/>
    <mergeCell ref="BH75:BH78"/>
    <mergeCell ref="BI75:BI78"/>
    <mergeCell ref="BJ75:BJ78"/>
    <mergeCell ref="AM81:AM82"/>
    <mergeCell ref="E83:E86"/>
    <mergeCell ref="F83:F86"/>
    <mergeCell ref="G83:G86"/>
    <mergeCell ref="BH83:BH86"/>
    <mergeCell ref="BI83:BI86"/>
    <mergeCell ref="AL85:AL86"/>
    <mergeCell ref="AM85:AM86"/>
    <mergeCell ref="BF79:BF82"/>
    <mergeCell ref="BH79:BH82"/>
    <mergeCell ref="BI79:BI82"/>
    <mergeCell ref="E79:E82"/>
    <mergeCell ref="F79:F82"/>
    <mergeCell ref="G79:G82"/>
    <mergeCell ref="I79:I82"/>
    <mergeCell ref="BJ83:BJ86"/>
    <mergeCell ref="AC85:AC86"/>
    <mergeCell ref="AD85:AD86"/>
    <mergeCell ref="AE85:AE86"/>
    <mergeCell ref="AF85:AF86"/>
    <mergeCell ref="BN75:BN130"/>
    <mergeCell ref="AC77:AC78"/>
    <mergeCell ref="AD77:AD78"/>
    <mergeCell ref="AE77:AE78"/>
    <mergeCell ref="AF77:AF78"/>
    <mergeCell ref="AG77:AG78"/>
    <mergeCell ref="I75:I78"/>
    <mergeCell ref="J75:J78"/>
    <mergeCell ref="K75:K78"/>
    <mergeCell ref="BD75:BD78"/>
    <mergeCell ref="BE75:BE78"/>
    <mergeCell ref="BF75:BF78"/>
    <mergeCell ref="AH77:AH78"/>
    <mergeCell ref="AI77:AI78"/>
    <mergeCell ref="AJ77:AJ78"/>
    <mergeCell ref="AK77:AK78"/>
    <mergeCell ref="BJ79:BJ82"/>
    <mergeCell ref="AC81:AC82"/>
    <mergeCell ref="AD81:AD82"/>
    <mergeCell ref="AE81:AE82"/>
    <mergeCell ref="AF81:AF82"/>
    <mergeCell ref="AG81:AG82"/>
    <mergeCell ref="AH81:AH82"/>
    <mergeCell ref="AL77:AL78"/>
    <mergeCell ref="AI73:AI74"/>
    <mergeCell ref="AJ73:AJ74"/>
    <mergeCell ref="AK73:AK74"/>
    <mergeCell ref="AL73:AL74"/>
    <mergeCell ref="AM73:AM74"/>
    <mergeCell ref="A75:A122"/>
    <mergeCell ref="E75:E78"/>
    <mergeCell ref="F75:F78"/>
    <mergeCell ref="G75:G78"/>
    <mergeCell ref="H75:H78"/>
    <mergeCell ref="AC73:AC74"/>
    <mergeCell ref="AD73:AD74"/>
    <mergeCell ref="AE73:AE74"/>
    <mergeCell ref="AF73:AF74"/>
    <mergeCell ref="AG73:AG74"/>
    <mergeCell ref="AH73:AH74"/>
    <mergeCell ref="AM77:AM78"/>
    <mergeCell ref="AI81:AI82"/>
    <mergeCell ref="AJ81:AJ82"/>
    <mergeCell ref="AK81:AK82"/>
    <mergeCell ref="AL81:AL82"/>
    <mergeCell ref="AD89:AD90"/>
    <mergeCell ref="AE89:AE90"/>
    <mergeCell ref="AF89:AF90"/>
    <mergeCell ref="AH69:AH70"/>
    <mergeCell ref="AI69:AI70"/>
    <mergeCell ref="AJ69:AJ70"/>
    <mergeCell ref="AK69:AK70"/>
    <mergeCell ref="AL69:AL70"/>
    <mergeCell ref="AM69:AM70"/>
    <mergeCell ref="AI65:AI66"/>
    <mergeCell ref="AJ65:AJ66"/>
    <mergeCell ref="AK65:AK66"/>
    <mergeCell ref="AL65:AL66"/>
    <mergeCell ref="AM65:AM66"/>
    <mergeCell ref="AH65:AH66"/>
    <mergeCell ref="AC69:AC70"/>
    <mergeCell ref="AD69:AD70"/>
    <mergeCell ref="AE69:AE70"/>
    <mergeCell ref="AF69:AF70"/>
    <mergeCell ref="AG69:AG70"/>
    <mergeCell ref="AC65:AC66"/>
    <mergeCell ref="AD65:AD66"/>
    <mergeCell ref="AE65:AE66"/>
    <mergeCell ref="AF65:AF66"/>
    <mergeCell ref="AG65:AG66"/>
    <mergeCell ref="AH61:AH62"/>
    <mergeCell ref="AI61:AI62"/>
    <mergeCell ref="AJ61:AJ62"/>
    <mergeCell ref="AK61:AK62"/>
    <mergeCell ref="AL61:AL62"/>
    <mergeCell ref="AM61:AM62"/>
    <mergeCell ref="AI57:AI58"/>
    <mergeCell ref="AJ57:AJ58"/>
    <mergeCell ref="AK57:AK58"/>
    <mergeCell ref="AL57:AL58"/>
    <mergeCell ref="AM57:AM58"/>
    <mergeCell ref="AH57:AH58"/>
    <mergeCell ref="AC61:AC62"/>
    <mergeCell ref="AD61:AD62"/>
    <mergeCell ref="AE61:AE62"/>
    <mergeCell ref="AF61:AF62"/>
    <mergeCell ref="AG61:AG62"/>
    <mergeCell ref="AC57:AC58"/>
    <mergeCell ref="AD57:AD58"/>
    <mergeCell ref="AE57:AE58"/>
    <mergeCell ref="AF57:AF58"/>
    <mergeCell ref="AG57:AG58"/>
    <mergeCell ref="AH53:AH54"/>
    <mergeCell ref="AI53:AI54"/>
    <mergeCell ref="AJ53:AJ54"/>
    <mergeCell ref="AK53:AK54"/>
    <mergeCell ref="AL53:AL54"/>
    <mergeCell ref="AM53:AM54"/>
    <mergeCell ref="AI49:AI50"/>
    <mergeCell ref="AJ49:AJ50"/>
    <mergeCell ref="AK49:AK50"/>
    <mergeCell ref="AL49:AL50"/>
    <mergeCell ref="AM49:AM50"/>
    <mergeCell ref="AH49:AH50"/>
    <mergeCell ref="AC53:AC54"/>
    <mergeCell ref="AD53:AD54"/>
    <mergeCell ref="AE53:AE54"/>
    <mergeCell ref="AF53:AF54"/>
    <mergeCell ref="AG53:AG54"/>
    <mergeCell ref="AC49:AC50"/>
    <mergeCell ref="AD49:AD50"/>
    <mergeCell ref="AE49:AE50"/>
    <mergeCell ref="AF49:AF50"/>
    <mergeCell ref="AG49:AG50"/>
    <mergeCell ref="AH45:AH46"/>
    <mergeCell ref="AI45:AI46"/>
    <mergeCell ref="AJ45:AJ46"/>
    <mergeCell ref="AK45:AK46"/>
    <mergeCell ref="AL45:AL46"/>
    <mergeCell ref="AM45:AM46"/>
    <mergeCell ref="AI41:AI42"/>
    <mergeCell ref="AJ41:AJ42"/>
    <mergeCell ref="AK41:AK42"/>
    <mergeCell ref="AL41:AL42"/>
    <mergeCell ref="AM41:AM42"/>
    <mergeCell ref="AH41:AH42"/>
    <mergeCell ref="AC45:AC46"/>
    <mergeCell ref="AD45:AD46"/>
    <mergeCell ref="AE45:AE46"/>
    <mergeCell ref="AF45:AF46"/>
    <mergeCell ref="AG45:AG46"/>
    <mergeCell ref="AC41:AC42"/>
    <mergeCell ref="AD41:AD42"/>
    <mergeCell ref="AE41:AE42"/>
    <mergeCell ref="AF41:AF42"/>
    <mergeCell ref="AG41:AG42"/>
    <mergeCell ref="AE37:AE38"/>
    <mergeCell ref="AF37:AF38"/>
    <mergeCell ref="AG37:AG38"/>
    <mergeCell ref="AJ29:AJ30"/>
    <mergeCell ref="AK29:AK30"/>
    <mergeCell ref="AL29:AL30"/>
    <mergeCell ref="AM29:AM30"/>
    <mergeCell ref="AC33:AC34"/>
    <mergeCell ref="AD33:AD34"/>
    <mergeCell ref="AE33:AE34"/>
    <mergeCell ref="AF33:AF34"/>
    <mergeCell ref="AG33:AG34"/>
    <mergeCell ref="AH33:AH34"/>
    <mergeCell ref="AH37:AH38"/>
    <mergeCell ref="AI37:AI38"/>
    <mergeCell ref="AJ37:AJ38"/>
    <mergeCell ref="AK37:AK38"/>
    <mergeCell ref="AL37:AL38"/>
    <mergeCell ref="AM37:AM38"/>
    <mergeCell ref="AI33:AI34"/>
    <mergeCell ref="AJ33:AJ34"/>
    <mergeCell ref="AK33:AK34"/>
    <mergeCell ref="AL33:AL34"/>
    <mergeCell ref="AM33:AM34"/>
    <mergeCell ref="A19:A74"/>
    <mergeCell ref="BN19:BN74"/>
    <mergeCell ref="AC23:AG23"/>
    <mergeCell ref="AH23:AH26"/>
    <mergeCell ref="AI23:AM23"/>
    <mergeCell ref="AC25:AC26"/>
    <mergeCell ref="AK25:AK26"/>
    <mergeCell ref="AL25:AL26"/>
    <mergeCell ref="AM25:AM26"/>
    <mergeCell ref="AC29:AC30"/>
    <mergeCell ref="AD29:AD30"/>
    <mergeCell ref="AE29:AE30"/>
    <mergeCell ref="AF29:AF30"/>
    <mergeCell ref="AG29:AG30"/>
    <mergeCell ref="AH29:AH30"/>
    <mergeCell ref="AI29:AI30"/>
    <mergeCell ref="AD25:AD26"/>
    <mergeCell ref="AE25:AE26"/>
    <mergeCell ref="AF25:AF26"/>
    <mergeCell ref="AG25:AG26"/>
    <mergeCell ref="AI25:AI26"/>
    <mergeCell ref="AJ25:AJ26"/>
    <mergeCell ref="AC37:AC38"/>
    <mergeCell ref="AD37:AD38"/>
    <mergeCell ref="BN11:BN18"/>
    <mergeCell ref="H13:O13"/>
    <mergeCell ref="Y13:AA13"/>
    <mergeCell ref="AF13:AF14"/>
    <mergeCell ref="AG13:AG14"/>
    <mergeCell ref="AH13:AH14"/>
    <mergeCell ref="AI13:AI14"/>
    <mergeCell ref="AJ13:AJ14"/>
    <mergeCell ref="H15:O15"/>
    <mergeCell ref="Y15:AA15"/>
    <mergeCell ref="AO15:AP15"/>
    <mergeCell ref="AY15:BG15"/>
    <mergeCell ref="H17:O17"/>
    <mergeCell ref="Y17:AA17"/>
    <mergeCell ref="AO17:AP17"/>
    <mergeCell ref="AY17:BG17"/>
    <mergeCell ref="AO13:AP13"/>
    <mergeCell ref="AY13:BG13"/>
    <mergeCell ref="H14:O14"/>
    <mergeCell ref="Y14:AA14"/>
    <mergeCell ref="AO14:AP14"/>
    <mergeCell ref="AY14:BG14"/>
    <mergeCell ref="H18:O18"/>
    <mergeCell ref="Y18:AA18"/>
    <mergeCell ref="A11:A18"/>
    <mergeCell ref="D11:D14"/>
    <mergeCell ref="E11:E14"/>
    <mergeCell ref="H11:O11"/>
    <mergeCell ref="Y11:AA11"/>
    <mergeCell ref="AO11:AP11"/>
    <mergeCell ref="AY11:BG11"/>
    <mergeCell ref="BJ11:BJ14"/>
    <mergeCell ref="BK11:BK14"/>
    <mergeCell ref="AO18:AP18"/>
    <mergeCell ref="AY18:BG18"/>
    <mergeCell ref="A1:BN1"/>
    <mergeCell ref="A2:BN2"/>
    <mergeCell ref="A7:A10"/>
    <mergeCell ref="D7:D10"/>
    <mergeCell ref="E7:E10"/>
    <mergeCell ref="F7:F10"/>
    <mergeCell ref="G7:G10"/>
    <mergeCell ref="BH7:BH10"/>
    <mergeCell ref="BI7:BI10"/>
    <mergeCell ref="BJ7:BJ10"/>
    <mergeCell ref="BK7:BK10"/>
    <mergeCell ref="BN7:BN10"/>
    <mergeCell ref="AJ99:AM99"/>
    <mergeCell ref="AC101:AD101"/>
    <mergeCell ref="AC102:AD102"/>
    <mergeCell ref="AC103:AD103"/>
    <mergeCell ref="AC105:AD105"/>
    <mergeCell ref="AC106:AD106"/>
    <mergeCell ref="AJ101:AK101"/>
    <mergeCell ref="AJ102:AK102"/>
    <mergeCell ref="AJ103:AK103"/>
    <mergeCell ref="AJ105:AK105"/>
    <mergeCell ref="AJ106:AK106"/>
  </mergeCells>
  <conditionalFormatting sqref="H7:AA74 AO7:BG74 AF11:AJ14 L75:AA198 AO75:BC202 L199:U202 O203:U206">
    <cfRule type="expression" dxfId="12" priority="1">
      <formula>COUNTIF(H5,"*.MHM.*")&gt;0</formula>
    </cfRule>
    <cfRule type="expression" dxfId="11" priority="2">
      <formula>COUNTIF(H5,"*.MH.*")&gt;0</formula>
    </cfRule>
    <cfRule type="expression" dxfId="10" priority="3">
      <formula>COUNTIF(H5,"*.TMM.*")&gt;0</formula>
    </cfRule>
    <cfRule type="expression" dxfId="9" priority="4">
      <formula>COUNTIF(H5,"*.TM.*")&gt;0</formula>
    </cfRule>
    <cfRule type="expression" dxfId="8" priority="5">
      <formula>COUNTIF(H5,"*.ZLT.*")&gt;0</formula>
    </cfRule>
    <cfRule type="expression" dxfId="7" priority="12">
      <formula>COUNTIF(H5:H8,"*.DS.*")&gt;0</formula>
    </cfRule>
    <cfRule type="expression" dxfId="6" priority="13">
      <formula>COUNTIF(H5:H8,"*.GMC.*")&gt;0</formula>
    </cfRule>
    <cfRule type="expression" dxfId="5" priority="15">
      <formula>COUNTIF(H5:H8,"*.GM.*")&gt;0</formula>
    </cfRule>
    <cfRule type="expression" dxfId="4" priority="17">
      <formula>COUNTIF(H5:H8,"*GMS*")&gt;0</formula>
    </cfRule>
    <cfRule type="expression" dxfId="3" priority="66">
      <formula>COUNTIF(H5:H8,"S.*")&gt;0</formula>
    </cfRule>
    <cfRule type="expression" dxfId="2" priority="68">
      <formula>COUNTIF(H5:H8,"O.*")&gt;0</formula>
    </cfRule>
    <cfRule type="expression" dxfId="1" priority="69">
      <formula>COUNTIF(H5:H8,"V.*")&gt;0</formula>
    </cfRule>
    <cfRule type="expression" dxfId="0" priority="70">
      <formula>COUNTIF(H5:H8,"H.*")&gt;0</formula>
    </cfRule>
  </conditionalFormatting>
  <printOptions horizontalCentered="1"/>
  <pageMargins left="0.11811023622047245" right="0.11811023622047245" top="0.43307086614173229" bottom="0.74803149606299213" header="0.31496062992125984" footer="0.31496062992125984"/>
  <pageSetup paperSize="8" scale="27"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EB5E-A4C7-4721-81B0-DF89D567C6A2}">
  <sheetPr codeName="גיליון4"/>
  <dimension ref="A1:L38"/>
  <sheetViews>
    <sheetView rightToLeft="1" topLeftCell="A9" workbookViewId="0">
      <selection activeCell="F39" sqref="F39"/>
    </sheetView>
  </sheetViews>
  <sheetFormatPr defaultColWidth="9" defaultRowHeight="15" x14ac:dyDescent="0.2"/>
  <cols>
    <col min="1" max="1" width="11.875" style="2" customWidth="1"/>
    <col min="2" max="4" width="9" style="2"/>
    <col min="5" max="5" width="10.75" style="2" customWidth="1"/>
    <col min="6" max="16384" width="9" style="2"/>
  </cols>
  <sheetData>
    <row r="1" spans="1:12" x14ac:dyDescent="0.2">
      <c r="A1" s="2" t="s">
        <v>148</v>
      </c>
      <c r="B1" s="2" t="s">
        <v>131</v>
      </c>
      <c r="D1" s="2" t="s">
        <v>1</v>
      </c>
      <c r="E1" s="2" t="s">
        <v>152</v>
      </c>
      <c r="F1" s="2" t="s">
        <v>106</v>
      </c>
      <c r="G1" s="2" t="s">
        <v>181</v>
      </c>
      <c r="H1" s="2" t="s">
        <v>131</v>
      </c>
      <c r="K1" s="2" t="s">
        <v>54</v>
      </c>
      <c r="L1" s="2" t="s">
        <v>131</v>
      </c>
    </row>
    <row r="2" spans="1:12" ht="15.75" x14ac:dyDescent="0.2">
      <c r="A2" s="2" t="s">
        <v>108</v>
      </c>
      <c r="B2" s="2" t="s">
        <v>149</v>
      </c>
      <c r="D2" s="3" t="s">
        <v>6</v>
      </c>
      <c r="E2" s="2">
        <v>2</v>
      </c>
      <c r="F2" s="2" t="s">
        <v>106</v>
      </c>
      <c r="G2" s="3" t="s">
        <v>92</v>
      </c>
      <c r="H2" s="3" t="s">
        <v>153</v>
      </c>
      <c r="K2" s="2" t="s">
        <v>56</v>
      </c>
      <c r="L2" s="2" t="s">
        <v>179</v>
      </c>
    </row>
    <row r="3" spans="1:12" ht="15.75" x14ac:dyDescent="0.2">
      <c r="A3" s="2" t="s">
        <v>130</v>
      </c>
      <c r="B3" s="2" t="s">
        <v>150</v>
      </c>
      <c r="D3" s="3" t="s">
        <v>7</v>
      </c>
      <c r="E3" s="2">
        <v>2</v>
      </c>
      <c r="F3" s="2" t="s">
        <v>106</v>
      </c>
      <c r="G3" s="3" t="s">
        <v>93</v>
      </c>
      <c r="H3" s="3" t="s">
        <v>154</v>
      </c>
      <c r="K3" s="2" t="s">
        <v>55</v>
      </c>
      <c r="L3" s="2" t="s">
        <v>180</v>
      </c>
    </row>
    <row r="4" spans="1:12" ht="15.75" x14ac:dyDescent="0.2">
      <c r="A4" s="2" t="s">
        <v>91</v>
      </c>
      <c r="B4" s="2" t="s">
        <v>151</v>
      </c>
      <c r="D4" s="3" t="s">
        <v>8</v>
      </c>
      <c r="E4" s="2">
        <v>2</v>
      </c>
      <c r="F4" s="2" t="s">
        <v>106</v>
      </c>
      <c r="G4" s="3" t="s">
        <v>90</v>
      </c>
      <c r="H4" s="3" t="s">
        <v>155</v>
      </c>
    </row>
    <row r="5" spans="1:12" ht="15.75" x14ac:dyDescent="0.2">
      <c r="A5" s="2" t="s">
        <v>1230</v>
      </c>
      <c r="B5" s="2" t="s">
        <v>100</v>
      </c>
      <c r="D5" s="3" t="s">
        <v>4</v>
      </c>
      <c r="E5" s="2">
        <v>2</v>
      </c>
      <c r="F5" s="2" t="s">
        <v>106</v>
      </c>
      <c r="G5" s="2" t="s">
        <v>90</v>
      </c>
      <c r="H5" s="3" t="s">
        <v>155</v>
      </c>
    </row>
    <row r="6" spans="1:12" ht="15.75" x14ac:dyDescent="0.2">
      <c r="D6" s="3" t="s">
        <v>10</v>
      </c>
      <c r="E6" s="2">
        <v>2</v>
      </c>
      <c r="F6" s="2" t="s">
        <v>106</v>
      </c>
      <c r="G6" s="3" t="s">
        <v>95</v>
      </c>
      <c r="H6" s="3" t="s">
        <v>156</v>
      </c>
    </row>
    <row r="7" spans="1:12" ht="15.75" x14ac:dyDescent="0.2">
      <c r="D7" s="3" t="s">
        <v>11</v>
      </c>
      <c r="E7" s="2">
        <v>2</v>
      </c>
      <c r="F7" s="2" t="s">
        <v>106</v>
      </c>
      <c r="G7" s="3" t="s">
        <v>96</v>
      </c>
      <c r="H7" s="3" t="s">
        <v>157</v>
      </c>
    </row>
    <row r="8" spans="1:12" ht="15.75" x14ac:dyDescent="0.2">
      <c r="D8" s="3" t="s">
        <v>12</v>
      </c>
      <c r="E8" s="2">
        <v>2</v>
      </c>
      <c r="F8" s="2" t="s">
        <v>106</v>
      </c>
      <c r="G8" s="3" t="s">
        <v>97</v>
      </c>
      <c r="H8" s="3" t="s">
        <v>158</v>
      </c>
    </row>
    <row r="9" spans="1:12" ht="15.75" x14ac:dyDescent="0.2">
      <c r="D9" s="3" t="s">
        <v>15</v>
      </c>
      <c r="E9" s="2">
        <v>2</v>
      </c>
      <c r="F9" s="2" t="s">
        <v>106</v>
      </c>
      <c r="G9" s="2" t="s">
        <v>99</v>
      </c>
      <c r="H9" s="3" t="s">
        <v>159</v>
      </c>
    </row>
    <row r="10" spans="1:12" ht="15.75" x14ac:dyDescent="0.2">
      <c r="D10" s="3" t="s">
        <v>9</v>
      </c>
      <c r="E10" s="2">
        <v>3</v>
      </c>
      <c r="F10" s="2" t="s">
        <v>106</v>
      </c>
      <c r="G10" s="2" t="s">
        <v>94</v>
      </c>
      <c r="H10" s="3" t="s">
        <v>160</v>
      </c>
    </row>
    <row r="11" spans="1:12" ht="15.75" x14ac:dyDescent="0.2">
      <c r="D11" s="3" t="s">
        <v>19</v>
      </c>
      <c r="E11" s="2">
        <v>3</v>
      </c>
      <c r="F11" s="2" t="s">
        <v>106</v>
      </c>
      <c r="G11" s="3" t="s">
        <v>92</v>
      </c>
      <c r="H11" s="3" t="s">
        <v>161</v>
      </c>
    </row>
    <row r="12" spans="1:12" ht="15.75" x14ac:dyDescent="0.2">
      <c r="D12" s="3" t="s">
        <v>18</v>
      </c>
      <c r="E12" s="2">
        <v>3</v>
      </c>
      <c r="F12" s="2" t="s">
        <v>106</v>
      </c>
      <c r="G12" s="3" t="s">
        <v>90</v>
      </c>
      <c r="H12" s="3" t="s">
        <v>162</v>
      </c>
    </row>
    <row r="13" spans="1:12" ht="15.75" x14ac:dyDescent="0.2">
      <c r="D13" s="3" t="s">
        <v>21</v>
      </c>
      <c r="E13" s="2">
        <v>3</v>
      </c>
      <c r="F13" s="2" t="s">
        <v>106</v>
      </c>
      <c r="G13" s="3" t="s">
        <v>95</v>
      </c>
      <c r="H13" s="3" t="s">
        <v>163</v>
      </c>
    </row>
    <row r="14" spans="1:12" ht="15.75" x14ac:dyDescent="0.2">
      <c r="D14" s="3" t="s">
        <v>20</v>
      </c>
      <c r="E14" s="2">
        <v>3</v>
      </c>
      <c r="F14" s="2" t="s">
        <v>106</v>
      </c>
      <c r="G14" s="3" t="s">
        <v>97</v>
      </c>
      <c r="H14" s="3" t="s">
        <v>164</v>
      </c>
    </row>
    <row r="15" spans="1:12" ht="15.75" x14ac:dyDescent="0.2">
      <c r="D15" s="3" t="s">
        <v>23</v>
      </c>
      <c r="E15" s="2">
        <v>3</v>
      </c>
      <c r="F15" s="2" t="s">
        <v>106</v>
      </c>
      <c r="G15" s="3" t="s">
        <v>92</v>
      </c>
      <c r="H15" s="3" t="s">
        <v>165</v>
      </c>
    </row>
    <row r="16" spans="1:12" ht="15.75" x14ac:dyDescent="0.2">
      <c r="D16" s="3" t="s">
        <v>22</v>
      </c>
      <c r="E16" s="2">
        <v>3</v>
      </c>
      <c r="F16" s="2" t="s">
        <v>106</v>
      </c>
      <c r="G16" s="2" t="s">
        <v>90</v>
      </c>
      <c r="H16" s="3" t="s">
        <v>166</v>
      </c>
    </row>
    <row r="17" spans="4:8" ht="15.75" x14ac:dyDescent="0.2">
      <c r="D17" s="3" t="s">
        <v>14</v>
      </c>
      <c r="E17" s="2">
        <v>4</v>
      </c>
      <c r="F17" s="2" t="s">
        <v>106</v>
      </c>
      <c r="G17" s="2" t="s">
        <v>98</v>
      </c>
      <c r="H17" s="3" t="s">
        <v>167</v>
      </c>
    </row>
    <row r="18" spans="4:8" ht="15.75" x14ac:dyDescent="0.2">
      <c r="D18" s="3" t="s">
        <v>16</v>
      </c>
      <c r="E18" s="2">
        <v>4</v>
      </c>
      <c r="F18" s="2" t="s">
        <v>106</v>
      </c>
      <c r="G18" s="2" t="s">
        <v>100</v>
      </c>
      <c r="H18" s="3" t="s">
        <v>168</v>
      </c>
    </row>
    <row r="19" spans="4:8" ht="15.75" x14ac:dyDescent="0.2">
      <c r="D19" s="3" t="s">
        <v>26</v>
      </c>
      <c r="E19" s="2">
        <v>4</v>
      </c>
      <c r="F19" s="2" t="s">
        <v>106</v>
      </c>
      <c r="G19" s="2" t="s">
        <v>97</v>
      </c>
      <c r="H19" s="3" t="s">
        <v>169</v>
      </c>
    </row>
    <row r="20" spans="4:8" ht="15.75" x14ac:dyDescent="0.2">
      <c r="D20" s="3" t="s">
        <v>27</v>
      </c>
      <c r="E20" s="2">
        <v>4</v>
      </c>
      <c r="F20" s="2" t="s">
        <v>107</v>
      </c>
      <c r="G20" s="3" t="s">
        <v>101</v>
      </c>
      <c r="H20" s="3" t="s">
        <v>170</v>
      </c>
    </row>
    <row r="21" spans="4:8" ht="15.75" x14ac:dyDescent="0.2">
      <c r="D21" s="3" t="s">
        <v>28</v>
      </c>
      <c r="E21" s="2">
        <v>4</v>
      </c>
      <c r="F21" s="2" t="s">
        <v>107</v>
      </c>
      <c r="G21" s="3" t="s">
        <v>102</v>
      </c>
      <c r="H21" s="3" t="s">
        <v>171</v>
      </c>
    </row>
    <row r="22" spans="4:8" ht="15.75" x14ac:dyDescent="0.2">
      <c r="D22" s="3" t="s">
        <v>29</v>
      </c>
      <c r="E22" s="2">
        <v>4</v>
      </c>
      <c r="F22" s="2" t="s">
        <v>107</v>
      </c>
      <c r="G22" s="3" t="s">
        <v>103</v>
      </c>
      <c r="H22" s="3" t="s">
        <v>172</v>
      </c>
    </row>
    <row r="23" spans="4:8" ht="15.75" x14ac:dyDescent="0.2">
      <c r="D23" s="3" t="s">
        <v>3</v>
      </c>
      <c r="E23" s="2">
        <v>4</v>
      </c>
      <c r="F23" s="2" t="s">
        <v>106</v>
      </c>
      <c r="G23" s="3" t="s">
        <v>3</v>
      </c>
      <c r="H23" s="3" t="s">
        <v>173</v>
      </c>
    </row>
    <row r="24" spans="4:8" ht="15.75" x14ac:dyDescent="0.2">
      <c r="D24" s="3" t="s">
        <v>13</v>
      </c>
      <c r="E24" s="2">
        <v>4</v>
      </c>
      <c r="F24" s="2" t="s">
        <v>106</v>
      </c>
      <c r="G24" s="3" t="s">
        <v>13</v>
      </c>
      <c r="H24" s="3" t="s">
        <v>173</v>
      </c>
    </row>
    <row r="25" spans="4:8" ht="15.75" x14ac:dyDescent="0.2">
      <c r="D25" s="3" t="s">
        <v>2</v>
      </c>
      <c r="E25" s="2">
        <v>4</v>
      </c>
      <c r="F25" s="2" t="s">
        <v>106</v>
      </c>
      <c r="G25" s="3" t="s">
        <v>2</v>
      </c>
      <c r="H25" s="3" t="s">
        <v>174</v>
      </c>
    </row>
    <row r="26" spans="4:8" ht="15.75" x14ac:dyDescent="0.2">
      <c r="D26" s="3" t="s">
        <v>17</v>
      </c>
      <c r="E26" s="2">
        <v>4</v>
      </c>
      <c r="F26" s="2" t="s">
        <v>106</v>
      </c>
      <c r="G26" s="3" t="s">
        <v>17</v>
      </c>
      <c r="H26" s="3" t="s">
        <v>174</v>
      </c>
    </row>
    <row r="27" spans="4:8" ht="15.75" x14ac:dyDescent="0.2">
      <c r="D27" s="3" t="s">
        <v>25</v>
      </c>
      <c r="E27" s="2">
        <v>5</v>
      </c>
      <c r="F27" s="2" t="s">
        <v>106</v>
      </c>
      <c r="G27" s="3" t="s">
        <v>98</v>
      </c>
      <c r="H27" s="3" t="s">
        <v>175</v>
      </c>
    </row>
    <row r="28" spans="4:8" ht="15.75" x14ac:dyDescent="0.2">
      <c r="D28" s="3" t="s">
        <v>24</v>
      </c>
      <c r="E28" s="2">
        <v>5</v>
      </c>
      <c r="F28" s="2" t="s">
        <v>106</v>
      </c>
      <c r="G28" s="3" t="s">
        <v>100</v>
      </c>
      <c r="H28" s="3" t="s">
        <v>176</v>
      </c>
    </row>
    <row r="29" spans="4:8" ht="15.75" x14ac:dyDescent="0.2">
      <c r="D29" s="3" t="s">
        <v>30</v>
      </c>
      <c r="E29" s="2">
        <v>5</v>
      </c>
      <c r="F29" s="2" t="s">
        <v>107</v>
      </c>
      <c r="G29" s="3" t="s">
        <v>98</v>
      </c>
      <c r="H29" s="3" t="s">
        <v>177</v>
      </c>
    </row>
    <row r="30" spans="4:8" ht="15.75" x14ac:dyDescent="0.2">
      <c r="D30" s="3" t="s">
        <v>31</v>
      </c>
      <c r="E30" s="2">
        <v>5</v>
      </c>
      <c r="F30" s="2" t="s">
        <v>107</v>
      </c>
      <c r="G30" s="3" t="s">
        <v>100</v>
      </c>
      <c r="H30" s="3" t="s">
        <v>178</v>
      </c>
    </row>
    <row r="31" spans="4:8" ht="15.6" x14ac:dyDescent="0.25">
      <c r="D31" s="3" t="s">
        <v>32</v>
      </c>
      <c r="E31" s="2">
        <v>6</v>
      </c>
      <c r="F31" s="2" t="s">
        <v>85</v>
      </c>
      <c r="G31" s="3" t="s">
        <v>32</v>
      </c>
      <c r="H31" s="3" t="s">
        <v>32</v>
      </c>
    </row>
    <row r="32" spans="4:8" ht="15.6" x14ac:dyDescent="0.25">
      <c r="D32" s="3" t="s">
        <v>33</v>
      </c>
      <c r="E32" s="2">
        <v>6</v>
      </c>
      <c r="F32" s="2" t="s">
        <v>85</v>
      </c>
      <c r="G32" s="3" t="s">
        <v>33</v>
      </c>
      <c r="H32" s="3" t="s">
        <v>33</v>
      </c>
    </row>
    <row r="33" spans="4:8" ht="15.6" x14ac:dyDescent="0.25">
      <c r="D33" s="3" t="s">
        <v>34</v>
      </c>
      <c r="E33" s="2">
        <v>5</v>
      </c>
      <c r="F33" s="2" t="s">
        <v>85</v>
      </c>
      <c r="G33" s="3" t="s">
        <v>34</v>
      </c>
      <c r="H33" s="3" t="s">
        <v>34</v>
      </c>
    </row>
    <row r="34" spans="4:8" ht="15.6" x14ac:dyDescent="0.25">
      <c r="D34" s="3" t="s">
        <v>35</v>
      </c>
      <c r="E34" s="2">
        <v>5</v>
      </c>
      <c r="F34" s="2" t="s">
        <v>85</v>
      </c>
      <c r="G34" s="3" t="s">
        <v>35</v>
      </c>
      <c r="H34" s="3" t="s">
        <v>35</v>
      </c>
    </row>
    <row r="35" spans="4:8" ht="15.6" x14ac:dyDescent="0.25">
      <c r="D35" s="3" t="s">
        <v>5</v>
      </c>
      <c r="E35" s="2">
        <v>5</v>
      </c>
      <c r="F35" s="2" t="s">
        <v>85</v>
      </c>
      <c r="G35" s="3" t="s">
        <v>5</v>
      </c>
      <c r="H35" s="3" t="s">
        <v>5</v>
      </c>
    </row>
    <row r="36" spans="4:8" ht="15.6" x14ac:dyDescent="0.25">
      <c r="D36" s="3" t="s">
        <v>1267</v>
      </c>
      <c r="E36" s="2">
        <v>5</v>
      </c>
      <c r="F36" s="2" t="s">
        <v>106</v>
      </c>
      <c r="G36" s="2" t="s">
        <v>98</v>
      </c>
      <c r="H36" s="3" t="s">
        <v>1268</v>
      </c>
    </row>
    <row r="37" spans="4:8" ht="15.6" x14ac:dyDescent="0.25">
      <c r="D37" s="3" t="s">
        <v>1269</v>
      </c>
      <c r="E37" s="2">
        <v>5</v>
      </c>
      <c r="F37" s="2" t="s">
        <v>107</v>
      </c>
      <c r="G37" s="2" t="s">
        <v>98</v>
      </c>
      <c r="H37" s="3" t="s">
        <v>1270</v>
      </c>
    </row>
    <row r="38" spans="4:8" ht="15.6" x14ac:dyDescent="0.25">
      <c r="D38" s="3" t="s">
        <v>1271</v>
      </c>
      <c r="E38" s="2">
        <v>4</v>
      </c>
      <c r="F38" s="2" t="s">
        <v>107</v>
      </c>
      <c r="G38" s="2" t="s">
        <v>100</v>
      </c>
      <c r="H38" s="3" t="s">
        <v>1272</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AD2990FBDD63468101B9674E950C79" ma:contentTypeVersion="16" ma:contentTypeDescription="Create a new document." ma:contentTypeScope="" ma:versionID="ea9a89f5b42d85bbd359125358aadb10">
  <xsd:schema xmlns:xsd="http://www.w3.org/2001/XMLSchema" xmlns:xs="http://www.w3.org/2001/XMLSchema" xmlns:p="http://schemas.microsoft.com/office/2006/metadata/properties" xmlns:ns2="25d5bec4-17e3-467d-b2c8-c97ad5327db9" xmlns:ns3="27e8ac2e-ecae-4901-818a-025335234e54" xmlns:ns4="http://schemas.microsoft.com/sharepoint/v3/fields" targetNamespace="http://schemas.microsoft.com/office/2006/metadata/properties" ma:root="true" ma:fieldsID="0c382abf4006df328b1d20ba0a41f71a" ns2:_="" ns3:_="" ns4:_="">
    <xsd:import namespace="25d5bec4-17e3-467d-b2c8-c97ad5327db9"/>
    <xsd:import namespace="27e8ac2e-ecae-4901-818a-025335234e54"/>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4:ImageCreateDate" minOccurs="0"/>
                <xsd:element ref="ns4:_Versio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d5bec4-17e3-467d-b2c8-c97ad5327d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405ec64-220e-4dd5-bf3c-ddafe7874c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8ac2e-ecae-4901-818a-025335234e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44f47a7-af9f-4d77-96b8-15e565fb8a04}" ma:internalName="TaxCatchAll" ma:showField="CatchAllData" ma:web="27e8ac2e-ecae-4901-818a-025335234e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ImageCreateDate" ma:index="18" nillable="true" ma:displayName="Date Picture Taken" ma:description="" ma:format="DateTime" ma:hidden="true" ma:internalName="ImageCreateDate">
      <xsd:simpleType>
        <xsd:restriction base="dms:DateTime"/>
      </xsd:simpleType>
    </xsd:element>
    <xsd:element name="_Version" ma:index="19"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lcf76f155ced4ddcb4097134ff3c332f xmlns="25d5bec4-17e3-467d-b2c8-c97ad5327db9">
      <Terms xmlns="http://schemas.microsoft.com/office/infopath/2007/PartnerControls"/>
    </lcf76f155ced4ddcb4097134ff3c332f>
    <TaxCatchAll xmlns="27e8ac2e-ecae-4901-818a-025335234e54" xsi:nil="true"/>
    <ImageCreateDate xmlns="http://schemas.microsoft.com/sharepoint/v3/fields" xsi:nil="true"/>
  </documentManagement>
</p:properties>
</file>

<file path=customXml/itemProps1.xml><?xml version="1.0" encoding="utf-8"?>
<ds:datastoreItem xmlns:ds="http://schemas.openxmlformats.org/officeDocument/2006/customXml" ds:itemID="{FBF3CDAB-212B-406E-BAC5-9F6E333DA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d5bec4-17e3-467d-b2c8-c97ad5327db9"/>
    <ds:schemaRef ds:uri="27e8ac2e-ecae-4901-818a-025335234e54"/>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2A33A6-0796-4446-8925-68552B2DCEE4}">
  <ds:schemaRefs>
    <ds:schemaRef ds:uri="http://schemas.microsoft.com/sharepoint/v3/contenttype/forms"/>
  </ds:schemaRefs>
</ds:datastoreItem>
</file>

<file path=customXml/itemProps3.xml><?xml version="1.0" encoding="utf-8"?>
<ds:datastoreItem xmlns:ds="http://schemas.openxmlformats.org/officeDocument/2006/customXml" ds:itemID="{DDFD0574-CB4C-4CD5-9209-9746FB195825}">
  <ds:schemaRefs>
    <ds:schemaRef ds:uri="25d5bec4-17e3-467d-b2c8-c97ad5327db9"/>
    <ds:schemaRef ds:uri="http://schemas.microsoft.com/office/2006/documentManagement/types"/>
    <ds:schemaRef ds:uri="http://purl.org/dc/elements/1.1/"/>
    <ds:schemaRef ds:uri="http://www.w3.org/XML/1998/namespace"/>
    <ds:schemaRef ds:uri="http://schemas.microsoft.com/sharepoint/v3/fields"/>
    <ds:schemaRef ds:uri="27e8ac2e-ecae-4901-818a-025335234e54"/>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9</vt:i4>
      </vt:variant>
    </vt:vector>
  </HeadingPairs>
  <TitlesOfParts>
    <vt:vector size="13" baseType="lpstr">
      <vt:lpstr>מטריצת סטטוס עם מעליות</vt:lpstr>
      <vt:lpstr>טבלת סטטוס</vt:lpstr>
      <vt:lpstr>מטריצת סטטוס עם הולד</vt:lpstr>
      <vt:lpstr>קודים</vt:lpstr>
      <vt:lpstr>Aps</vt:lpstr>
      <vt:lpstr>Check2</vt:lpstr>
      <vt:lpstr>PHL</vt:lpstr>
      <vt:lpstr>PHR</vt:lpstr>
      <vt:lpstr>'מטריצת סטטוס עם מעליות'!Sold</vt:lpstr>
      <vt:lpstr>Sold</vt:lpstr>
      <vt:lpstr>Sold1</vt:lpstr>
      <vt:lpstr>'מטריצת סטטוס עם מעליות'!Tower</vt:lpstr>
      <vt:lpstr>Tower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nir</dc:creator>
  <cp:lastModifiedBy>ליאור חג'בי</cp:lastModifiedBy>
  <cp:lastPrinted>2026-07-16T05:21:41Z</cp:lastPrinted>
  <dcterms:created xsi:type="dcterms:W3CDTF">2023-01-02T07:45:21Z</dcterms:created>
  <dcterms:modified xsi:type="dcterms:W3CDTF">2026-07-20T07:39:05Z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0x0101003FAD2990FBDD63468101B9674E950C79</vt:lpwstr>
  </property>
</Properties>
</file>